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2ab047f39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e0a96d4634def"/>
    <x:sheet xmlns:r="http://schemas.openxmlformats.org/officeDocument/2006/relationships" name="D4 Source" sheetId="2" r:id="Rc216803726f4493e"/>
    <x:sheet xmlns:r="http://schemas.openxmlformats.org/officeDocument/2006/relationships" name="D4 Work" sheetId="3" r:id="R3da231f5752f4ada"/>
    <x:sheet xmlns:r="http://schemas.openxmlformats.org/officeDocument/2006/relationships" name="D5 Source" sheetId="4" r:id="Ra184641fcaab4487"/>
    <x:sheet xmlns:r="http://schemas.openxmlformats.org/officeDocument/2006/relationships" name="D5 Churn" sheetId="5" r:id="R8a772ab0d98c4519"/>
    <x:sheet xmlns:r="http://schemas.openxmlformats.org/officeDocument/2006/relationships" name="HubSpot Import" sheetId="6" r:id="Rfa87e5907d29487a"/>
    <x:sheet xmlns:r="http://schemas.openxmlformats.org/officeDocument/2006/relationships" name="Automation Plan" sheetId="7" r:id="R784662aa59c8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#,##0"/>
    <x:numFmt numFmtId="203" formatCode="$0.00"/>
    <x:numFmt numFmtId="204" formatCode="0.0%"/>
    <x:numFmt numFmtId="205" formatCode="0.000"/>
  </x:numFmts>
  <x:fonts count="7">
    <x:font>
      <x:sz val="11"/>
      <x:name val="Carlito"/>
    </x:font>
    <x:font>
      <x:sz val="10"/>
      <x:color rgb="FF11172F"/>
      <x:name val="Arial"/>
    </x:font>
    <x:font>
      <x:b/>
      <x:sz val="10"/>
      <x:color rgb="FFFFFFFF"/>
      <x:name val="Arial"/>
    </x:font>
    <x:font>
      <x:b/>
      <x:sz val="16"/>
      <x:color rgb="FF11172F"/>
      <x:name val="Arial"/>
    </x:font>
    <x:font>
      <x:i/>
      <x:sz val="10"/>
      <x:color rgb="FF5B6579"/>
      <x:name val="Arial"/>
    </x:font>
    <x:font>
      <x:i/>
      <x:sz val="9"/>
      <x:color rgb="FF5B6579"/>
      <x:name val="Arial"/>
    </x:font>
    <x:font>
      <x:b/>
      <x:sz val="10"/>
      <x:color rgb="FF11172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172F"/>
      </x:patternFill>
    </x:fill>
    <x:fill>
      <x:patternFill patternType="solid">
        <x:fgColor rgb="FF159B67"/>
      </x:patternFill>
    </x:fill>
    <x:fill>
      <x:patternFill patternType="solid">
        <x:fgColor rgb="FFE5F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30b8cc27a4280" /><Relationship Type="http://schemas.openxmlformats.org/officeDocument/2006/relationships/theme" Target="/xl/theme/theme1.xml" Id="R2409a8f57ab1495f" /><Relationship Type="http://schemas.openxmlformats.org/officeDocument/2006/relationships/sharedStrings" Target="/xl/sharedStrings.xml" Id="Re2337d9a28c6481a" /><Relationship Type="http://schemas.openxmlformats.org/officeDocument/2006/relationships/worksheet" Target="/xl/worksheets/sheet1.xml" Id="Rda5e0a96d4634def" /><Relationship Type="http://schemas.openxmlformats.org/officeDocument/2006/relationships/worksheet" Target="/xl/worksheets/sheet2.xml" Id="Rc216803726f4493e" /><Relationship Type="http://schemas.openxmlformats.org/officeDocument/2006/relationships/worksheet" Target="/xl/worksheets/sheet3.xml" Id="R3da231f5752f4ada" /><Relationship Type="http://schemas.openxmlformats.org/officeDocument/2006/relationships/worksheet" Target="/xl/worksheets/sheet4.xml" Id="Ra184641fcaab4487" /><Relationship Type="http://schemas.openxmlformats.org/officeDocument/2006/relationships/worksheet" Target="/xl/worksheets/sheet5.xml" Id="R8a772ab0d98c4519" /><Relationship Type="http://schemas.openxmlformats.org/officeDocument/2006/relationships/worksheet" Target="/xl/worksheets/sheet6.xml" Id="Rfa87e5907d29487a" /><Relationship Type="http://schemas.openxmlformats.org/officeDocument/2006/relationships/worksheet" Target="/xl/worksheets/sheet7.xml" Id="R784662aa59c84d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cab6e660924d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per customer by segment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per customer (USD)</c:v>
          </c:tx>
          <c:spPr>
            <a:solidFill xmlns:a="http://schemas.openxmlformats.org/drawingml/2006/main">
              <a:srgbClr val="159B67"/>
            </a:solidFill>
          </c:spPr>
          <c:invertIfNegative val="0"/>
          <c:cat>
            <c:strRef>
              <c:f>'Summary'!$A$5:$A$10</c:f>
              <c:strCache>
                <c:ptCount val="0"/>
              </c:strCache>
            </c:strRef>
          </c:cat>
          <c:val>
            <c:numRef>
              <c:f>'Summary'!$D$5:$D$10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cab6e660924d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fmCustomers" displayName="RfmCustomers" ref="A1:O401" headerRowCount="1" totalsRowCount="0" totalsRowShown="0">
  <x:tableColumns count="15">
    <x:tableColumn id="1" name="customer_id"/>
    <x:tableColumn id="2" name="first_name"/>
    <x:tableColumn id="3" name="email"/>
    <x:tableColumn id="4" name="country"/>
    <x:tableColumn id="5" name="signup_date"/>
    <x:tableColumn id="6" name="last_order_date"/>
    <x:tableColumn id="7" name="orders_12m"/>
    <x:tableColumn id="8" name="revenue_12m_usd"/>
    <x:tableColumn id="9" name="email_clicks_90d"/>
    <x:tableColumn id="10" name="main_channel"/>
    <x:tableColumn id="11" name="Recency days"/>
    <x:tableColumn id="12" name="R"/>
    <x:tableColumn id="13" name="F"/>
    <x:tableColumn id="14" name="M"/>
    <x:tableColumn id="15" name="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urnPractice" displayName="ChurnPractice" ref="A1:L1201" headerRowCount="1" totalsRowCount="0" totalsRowShown="0">
  <x:tableColumns count="12">
    <x:tableColumn id="1" name="subscriber_id"/>
    <x:tableColumn id="2" name="tenure_months"/>
    <x:tableColumn id="3" name="plan"/>
    <x:tableColumn id="4" name="monthly_fee_usd"/>
    <x:tableColumn id="5" name="support_tickets_90d"/>
    <x:tableColumn id="6" name="sessions_last_30d"/>
    <x:tableColumn id="7" name="days_since_last_login"/>
    <x:tableColumn id="8" name="payment_failures_90d"/>
    <x:tableColumn id="9" name="joined_on_discount"/>
    <x:tableColumn id="10" name="churned"/>
    <x:tableColumn id="11" name="Risk points"/>
    <x:tableColumn id="12" name="High ris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bSpotFirst50" displayName="HubSpotFirst50" ref="A1:J51" headerRowCount="1" totalsRowCount="0" totalsRowShown="0">
  <x:tableColumns count="10">
    <x:tableColumn id="1" name="customer_id"/>
    <x:tableColumn id="2" name="first_name"/>
    <x:tableColumn id="3" name="email"/>
    <x:tableColumn id="4" name="country"/>
    <x:tableColumn id="5" name="signup_date"/>
    <x:tableColumn id="6" name="last_order_date"/>
    <x:tableColumn id="7" name="orders_12m"/>
    <x:tableColumn id="8" name="revenue_12m_usd"/>
    <x:tableColumn id="9" name="email_clicks_90d"/>
    <x:tableColumn id="10" name="main_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764d1476fe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f6e1d01260649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a5dc2b8b44548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f509fc36a5847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64" hidden="0" customWidth="1"/>
    <x:col min="1" max="1" width="34" hidden="0" customWidth="1"/>
    <x:col min="3" max="3" width="48" hidden="0" customWidth="1"/>
    <x:col min="4" max="4" width="28" hidden="0" customWidth="1"/>
  </x:cols>
  <x:sheetData>
    <x:row r="1">
      <x:c r="A1" s="10" t="str">
        <x:v>L5 Time Loop | CRM, RFM and churn analysis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1" t="str">
        <x:v>Practice data analysis for the Day 5 worksheet. CRM and MailerLite account actions still require setup in those services.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4" t="str">
        <x:v>RFM segment</x:v>
      </x:c>
      <x:c r="B4" s="14" t="str">
        <x:v>Customers</x:v>
      </x:c>
      <x:c r="C4" s="14" t="str">
        <x:v>Revenue (USD)</x:v>
      </x:c>
      <x:c r="D4" s="14" t="str">
        <x:v>Revenue per customer (USD)</x:v>
      </x:c>
      <x:c r="E4" s="1"/>
      <x:c r="F4" s="1" t="str">
        <x:v>Revenue per customer by RFM segment (USD)</x:v>
      </x:c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Champions</x:v>
      </x:c>
      <x:c r="B5" s="7" t="n">
        <x:f>COUNTIF('D4 Work'!$O$2:$O$401,A5)</x:f>
        <x:v>57</x:v>
      </x:c>
      <x:c r="C5" s="6" t="n">
        <x:f>SUMIF('D4 Work'!$O$2:$O$401,A5,'D4 Work'!$H$2:$H$401)</x:f>
        <x:v>76108.56999999998</x:v>
      </x:c>
      <x:c r="D5" s="6" t="n">
        <x:f>IFERROR(C5/B5,0)</x:f>
        <x:v>1335.2380701754382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At risk</x:v>
      </x:c>
      <x:c r="B6" s="7" t="n">
        <x:f>COUNTIF('D4 Work'!$O$2:$O$401,A6)</x:f>
        <x:v>70</x:v>
      </x:c>
      <x:c r="C6" s="6" t="n">
        <x:f>SUMIF('D4 Work'!$O$2:$O$401,A6,'D4 Work'!$H$2:$H$401)</x:f>
        <x:v>55675.91000000002</x:v>
      </x:c>
      <x:c r="D6" s="6" t="n">
        <x:f>IFERROR(C6/B6,0)</x:f>
        <x:v>795.3701428571432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 t="str">
        <x:v>Loyal</x:v>
      </x:c>
      <x:c r="B7" s="7" t="n">
        <x:f>COUNTIF('D4 Work'!$O$2:$O$401,A7)</x:f>
        <x:v>82</x:v>
      </x:c>
      <x:c r="C7" s="6" t="n">
        <x:f>SUMIF('D4 Work'!$O$2:$O$401,A7,'D4 Work'!$H$2:$H$401)</x:f>
        <x:v>45161.24999999999</x:v>
      </x:c>
      <x:c r="D7" s="6" t="n">
        <x:f>IFERROR(C7/B7,0)</x:f>
        <x:v>550.7469512195121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 t="str">
        <x:v>New</x:v>
      </x:c>
      <x:c r="B8" s="7" t="n">
        <x:f>COUNTIF('D4 Work'!$O$2:$O$401,A8)</x:f>
        <x:v>84</x:v>
      </x:c>
      <x:c r="C8" s="6" t="n">
        <x:f>SUMIF('D4 Work'!$O$2:$O$401,A8,'D4 Work'!$H$2:$H$401)</x:f>
        <x:v>7716.530000000003</x:v>
      </x:c>
      <x:c r="D8" s="6" t="n">
        <x:f>IFERROR(C8/B8,0)</x:f>
        <x:v>91.86345238095242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 t="str">
        <x:v>Hibernating</x:v>
      </x:c>
      <x:c r="B9" s="7" t="n">
        <x:f>COUNTIF('D4 Work'!$O$2:$O$401,A9)</x:f>
        <x:v>107</x:v>
      </x:c>
      <x:c r="C9" s="6" t="n">
        <x:f>SUMIF('D4 Work'!$O$2:$O$401,A9,'D4 Work'!$H$2:$H$401)</x:f>
        <x:v>9514.390000000001</x:v>
      </x:c>
      <x:c r="D9" s="6" t="n">
        <x:f>IFERROR(C9/B9,0)</x:f>
        <x:v>88.91953271028038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 t="str">
        <x:v>Promising</x:v>
      </x:c>
      <x:c r="B10" s="7" t="n">
        <x:f>COUNTIF('D4 Work'!$O$2:$O$401,A10)</x:f>
        <x:v>0</x:v>
      </x:c>
      <x:c r="C10" s="6" t="n">
        <x:f>SUMIF('D4 Work'!$O$2:$O$401,A10,'D4 Work'!$H$2:$H$401)</x:f>
        <x:v>0</x:v>
      </x:c>
      <x:c r="D10" s="6" t="n">
        <x:f>IFERROR(C10/B10,0)</x:f>
        <x:v>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 t="str">
        <x:v>Insight</x:v>
      </x:c>
      <x:c r="B12" s="9" t="str">
        <x:v>Champions lead revenue per customer ($1,335.24). Prioritize retention, exclusive benefits and referral invitations for this group.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3" t="str">
        <x:v>HubSpot first-50 segment check</x:v>
      </x:c>
      <x:c r="B15" s="13" t="str">
        <x:v>Count</x:v>
      </x:c>
      <x:c r="C15" s="13" t="str">
        <x:v>Rule</x:v>
      </x:c>
      <x:c r="D15" s="1" t="str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Champions</x:v>
      </x:c>
      <x:c r="B16" s="7" t="n">
        <x:f>COUNTIF('HubSpot Import'!$G$2:$G$51,"&gt;=8")</x:f>
        <x:v>12</x:v>
      </x:c>
      <x:c r="C16" s="1" t="str">
        <x:v>orders_12m ≥ 8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At risk</x:v>
      </x:c>
      <x:c r="B17" s="7" t="n">
        <x:f>COUNTIFS('HubSpot Import'!$G$2:$G$51,"&gt;=3",'HubSpot Import'!$F$2:$F$51,"&lt;"&amp;DATE(2026,7,3))</x:f>
        <x:v>11</x:v>
      </x:c>
      <x:c r="C17" s="1" t="str">
        <x:v>orders_12m ≥ 3 and last_order_date before 2026-07-03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3" t="str">
        <x:v>Churn fallback score | holdout: last 360 rows</x:v>
      </x:c>
      <x:c r="B20" s="3" t="str"/>
      <x:c r="C20" s="3" t="str"/>
      <x:c r="D20" s="3" t="str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 t="str">
        <x:v>Holdout definition</x:v>
      </x:c>
      <x:c r="B21" s="9" t="str">
        <x:v>Rows 842–1201; first 840 rows reserved as development partition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 t="str">
        <x:v>Holdout cases</x:v>
      </x:c>
      <x:c r="B22" s="1" t="n">
        <x:v>360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 t="str">
        <x:v>Churners caught (TP)</x:v>
      </x:c>
      <x:c r="B23" s="1" t="n">
        <x:f>COUNTIFS('D5 Churn'!$J$842:$J$1201,"yes",'D5 Churn'!$L$842:$L$1201,"yes")</x:f>
        <x:v>28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 t="str">
        <x:v>False alarms (FP)</x:v>
      </x:c>
      <x:c r="B24" s="1" t="n">
        <x:f>COUNTIFS('D5 Churn'!$J$842:$J$1201,"no",'D5 Churn'!$L$842:$L$1201,"yes")</x:f>
        <x:v>28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 t="str">
        <x:v>Churners missed (FN)</x:v>
      </x:c>
      <x:c r="B25" s="1" t="n">
        <x:f>COUNTIFS('D5 Churn'!$J$842:$J$1201,"yes",'D5 Churn'!$L$842:$L$1201,"no")</x:f>
        <x:v>37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 t="str">
        <x:v>Correctly identified non-churners (TN)</x:v>
      </x:c>
      <x:c r="B26" s="1" t="n">
        <x:f>COUNTIFS('D5 Churn'!$J$842:$J$1201,"no",'D5 Churn'!$L$842:$L$1201,"no")</x:f>
        <x:v>267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 t="str">
        <x:v>Accuracy</x:v>
      </x:c>
      <x:c r="B27" s="15" t="n">
        <x:f>(B23+B26)/B22</x:f>
        <x:v>0.8194444444444444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 t="str">
        <x:v>Precision</x:v>
      </x:c>
      <x:c r="B28" s="15" t="n">
        <x:f>B23/(B23+B24)</x:f>
        <x:v>0.5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 t="str">
        <x:v>Recall</x:v>
      </x:c>
      <x:c r="B29" s="15" t="n">
        <x:f>B23/(B23+B25)</x:f>
        <x:v>0.4307692307692308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 t="str">
        <x:v>AUC (risk-point ranking)</x:v>
      </x:c>
      <x:c r="B31" s="16" t="n">
        <x:v>0.7829726206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 t="str">
        <x:v>Highest weighted rule inputs</x:v>
      </x:c>
      <x:c r="B32" s="9" t="str">
        <x:v>Payment failures (+2 each); inactivity over 30 days (+2); support tickets (+1).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7" t="str">
        <x:v>Method note</x:v>
      </x:c>
      <x:c r="B33" s="18" t="str">
        <x:v>The prescribed spreadsheet fallback is a fixed rule score, not an Orange-trained logistic/tree model. AUC is pairwise rank AUC on the holdout rows.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21" t="str">
        <x:v>CRM and email automation status</x:v>
      </x:c>
      <x:c r="B35" s="21" t="str">
        <x:v>The workbook contains an import-ready first-50 extract and a consent-aware automation plan. HubSpot/MailerLite account setup and screenshots are not represented as completed.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  <x:drawing xmlns:r="http://schemas.openxmlformats.org/officeDocument/2006/relationships" r:id="R12764d1476fe4bb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9" hidden="0" customWidth="1"/>
    <x:col min="3" max="3" width="4.880000114440918" hidden="0" customWidth="1"/>
    <x:col min="4" max="4" width="6.630000114440918" hidden="0" customWidth="1"/>
    <x:col min="5" max="5" width="10.380000114440918" hidden="0" customWidth="1"/>
    <x:col min="6" max="6" width="13" hidden="0" customWidth="1"/>
    <x:col min="7" max="7" width="10" hidden="0" customWidth="1"/>
    <x:col min="8" max="8" width="15.130000114440918" hidden="0" customWidth="1"/>
    <x:col min="9" max="9" width="14.130000114440918" hidden="0" customWidth="1"/>
    <x:col min="10" max="10" width="11.630000114440918" hidden="0" customWidth="1"/>
    <x:col min="12" max="12" width="54.380001068115234" hidden="0" customWidth="1"/>
  </x:cols>
  <x:sheetData>
    <x:row r="1">
      <x:c r="A1" s="4" t="str">
        <x:v>customer_id</x:v>
      </x:c>
      <x:c r="B1" s="4" t="str">
        <x:v>first_name</x:v>
      </x:c>
      <x:c r="C1" s="4" t="str">
        <x:v>email</x:v>
      </x:c>
      <x:c r="D1" s="4" t="str">
        <x:v>country</x:v>
      </x:c>
      <x:c r="E1" s="4" t="str">
        <x:v>signup_date</x:v>
      </x:c>
      <x:c r="F1" s="4" t="str">
        <x:v>last_order_date</x:v>
      </x:c>
      <x:c r="G1" s="4" t="str">
        <x:v>orders_12m</x:v>
      </x:c>
      <x:c r="H1" s="4" t="str">
        <x:v>revenue_12m_usd</x:v>
      </x:c>
      <x:c r="I1" s="4" t="str">
        <x:v>email_clicks_90d</x:v>
      </x:c>
      <x:c r="J1" s="4" t="str">
        <x:v>main_channel</x:v>
      </x:c>
      <x:c r="K1" s="1"/>
      <x:c r="L1" s="1" t="str">
        <x:v>Source: doomsday_d4_customers_practice.csv (400 practice customers)</x:v>
      </x:c>
      <x:c r="M1" s="1"/>
      <x:c r="N1" s="1"/>
      <x:c r="O1" s="1"/>
    </x:row>
    <x:row r="2">
      <x:c r="A2" s="1" t="str">
        <x:v>C0001</x:v>
      </x:c>
      <x:c r="B2" s="1" t="str">
        <x:v>Samuel</x:v>
      </x:c>
      <x:c r="C2" s="1" t="str">
        <x:v>customer0001@example.com</x:v>
      </x:c>
      <x:c r="D2" s="1" t="str">
        <x:v>Japan</x:v>
      </x:c>
      <x:c r="E2" s="1" t="str">
        <x:v>2026-06-20</x:v>
      </x:c>
      <x:c r="F2" s="1" t="str">
        <x:v>2026-09-02</x:v>
      </x:c>
      <x:c r="G2" s="1" t="str">
        <x:v>6</x:v>
      </x:c>
      <x:c r="H2" s="1" t="str">
        <x:v>655.65</x:v>
      </x:c>
      <x:c r="I2" s="1" t="str">
        <x:v>1</x:v>
      </x:c>
      <x:c r="J2" s="1" t="str">
        <x:v>web</x:v>
      </x:c>
      <x:c r="K2" s="1"/>
      <x:c r="L2" s="1"/>
      <x:c r="M2" s="1"/>
      <x:c r="N2" s="1"/>
      <x:c r="O2" s="1"/>
    </x:row>
    <x:row r="3">
      <x:c r="A3" s="1" t="str">
        <x:v>C0002</x:v>
      </x:c>
      <x:c r="B3" s="1" t="str">
        <x:v>Hana</x:v>
      </x:c>
      <x:c r="C3" s="1" t="str">
        <x:v>customer0002@example.com</x:v>
      </x:c>
      <x:c r="D3" s="1" t="str">
        <x:v>Singapore</x:v>
      </x:c>
      <x:c r="E3" s="1" t="str">
        <x:v>2026-08-05</x:v>
      </x:c>
      <x:c r="F3" s="1" t="str">
        <x:v>2026-09-01</x:v>
      </x:c>
      <x:c r="G3" s="1" t="str">
        <x:v>1</x:v>
      </x:c>
      <x:c r="H3" s="1" t="str">
        <x:v>26.0</x:v>
      </x:c>
      <x:c r="I3" s="1" t="str">
        <x:v>3</x:v>
      </x:c>
      <x:c r="J3" s="1" t="str">
        <x:v>app</x:v>
      </x:c>
      <x:c r="K3" s="1"/>
      <x:c r="L3" s="1"/>
      <x:c r="M3" s="1"/>
      <x:c r="N3" s="1"/>
      <x:c r="O3" s="1"/>
    </x:row>
    <x:row r="4">
      <x:c r="A4" s="1" t="str">
        <x:v>C0003</x:v>
      </x:c>
      <x:c r="B4" s="1" t="str">
        <x:v>Felix</x:v>
      </x:c>
      <x:c r="C4" s="1" t="str">
        <x:v>customer0003@example.com</x:v>
      </x:c>
      <x:c r="D4" s="1" t="str">
        <x:v>Nigeria</x:v>
      </x:c>
      <x:c r="E4" s="1" t="str">
        <x:v>2025-10-28</x:v>
      </x:c>
      <x:c r="F4" s="1" t="str">
        <x:v>2026-06-13</x:v>
      </x:c>
      <x:c r="G4" s="1" t="str">
        <x:v>12</x:v>
      </x:c>
      <x:c r="H4" s="1" t="str">
        <x:v>392.37</x:v>
      </x:c>
      <x:c r="I4" s="1" t="str">
        <x:v>0</x:v>
      </x:c>
      <x:c r="J4" s="1" t="str">
        <x:v>store</x:v>
      </x:c>
      <x:c r="K4" s="1"/>
      <x:c r="L4" s="1"/>
      <x:c r="M4" s="1"/>
      <x:c r="N4" s="1"/>
      <x:c r="O4" s="1"/>
    </x:row>
    <x:row r="5">
      <x:c r="A5" s="1" t="str">
        <x:v>C0004</x:v>
      </x:c>
      <x:c r="B5" s="1" t="str">
        <x:v>Ines</x:v>
      </x:c>
      <x:c r="C5" s="1" t="str">
        <x:v>customer0004@example.com</x:v>
      </x:c>
      <x:c r="D5" s="1" t="str">
        <x:v>UAE</x:v>
      </x:c>
      <x:c r="E5" s="1" t="str">
        <x:v>2026-09-21</x:v>
      </x:c>
      <x:c r="F5" s="1" t="str">
        <x:v>2026-09-29</x:v>
      </x:c>
      <x:c r="G5" s="1" t="str">
        <x:v>1</x:v>
      </x:c>
      <x:c r="H5" s="1" t="str">
        <x:v>27.45</x:v>
      </x:c>
      <x:c r="I5" s="1" t="str">
        <x:v>2</x:v>
      </x:c>
      <x:c r="J5" s="1" t="str">
        <x:v>store</x:v>
      </x:c>
      <x:c r="K5" s="1"/>
      <x:c r="L5" s="1"/>
      <x:c r="M5" s="1"/>
      <x:c r="N5" s="1"/>
      <x:c r="O5" s="1"/>
    </x:row>
    <x:row r="6">
      <x:c r="A6" s="1" t="str">
        <x:v>C0005</x:v>
      </x:c>
      <x:c r="B6" s="1" t="str">
        <x:v>Sofia</x:v>
      </x:c>
      <x:c r="C6" s="1" t="str">
        <x:v>customer0005@example.com</x:v>
      </x:c>
      <x:c r="D6" s="1" t="str">
        <x:v>Nigeria</x:v>
      </x:c>
      <x:c r="E6" s="1" t="str">
        <x:v>2026-03-20</x:v>
      </x:c>
      <x:c r="F6" s="1" t="str">
        <x:v>2026-09-21</x:v>
      </x:c>
      <x:c r="G6" s="1" t="str">
        <x:v>16</x:v>
      </x:c>
      <x:c r="H6" s="1" t="str">
        <x:v>1905.8</x:v>
      </x:c>
      <x:c r="I6" s="1" t="str">
        <x:v>9</x:v>
      </x:c>
      <x:c r="J6" s="1" t="str">
        <x:v>store</x:v>
      </x:c>
      <x:c r="K6" s="1"/>
      <x:c r="L6" s="1"/>
      <x:c r="M6" s="1"/>
      <x:c r="N6" s="1"/>
      <x:c r="O6" s="1"/>
    </x:row>
    <x:row r="7">
      <x:c r="A7" s="1" t="str">
        <x:v>C0006</x:v>
      </x:c>
      <x:c r="B7" s="1" t="str">
        <x:v>Maya</x:v>
      </x:c>
      <x:c r="C7" s="1" t="str">
        <x:v>customer0006@example.com</x:v>
      </x:c>
      <x:c r="D7" s="1" t="str">
        <x:v>Nigeria</x:v>
      </x:c>
      <x:c r="E7" s="1" t="str">
        <x:v>2025-02-09</x:v>
      </x:c>
      <x:c r="F7" s="1" t="str">
        <x:v>2026-09-09</x:v>
      </x:c>
      <x:c r="G7" s="1" t="str">
        <x:v>7</x:v>
      </x:c>
      <x:c r="H7" s="1" t="str">
        <x:v>698.48</x:v>
      </x:c>
      <x:c r="I7" s="1" t="str">
        <x:v>3</x:v>
      </x:c>
      <x:c r="J7" s="1" t="str">
        <x:v>web</x:v>
      </x:c>
      <x:c r="K7" s="1"/>
      <x:c r="L7" s="1"/>
      <x:c r="M7" s="1"/>
      <x:c r="N7" s="1"/>
      <x:c r="O7" s="1"/>
    </x:row>
    <x:row r="8">
      <x:c r="A8" s="1" t="str">
        <x:v>C0007</x:v>
      </x:c>
      <x:c r="B8" s="1" t="str">
        <x:v>Chloe</x:v>
      </x:c>
      <x:c r="C8" s="1" t="str">
        <x:v>customer0007@example.com</x:v>
      </x:c>
      <x:c r="D8" s="1" t="str">
        <x:v>Germany</x:v>
      </x:c>
      <x:c r="E8" s="1" t="str">
        <x:v>2026-08-19</x:v>
      </x:c>
      <x:c r="F8" s="1" t="str">
        <x:v>2026-09-17</x:v>
      </x:c>
      <x:c r="G8" s="1" t="str">
        <x:v>2</x:v>
      </x:c>
      <x:c r="H8" s="1" t="str">
        <x:v>94.5</x:v>
      </x:c>
      <x:c r="I8" s="1" t="str">
        <x:v>3</x:v>
      </x:c>
      <x:c r="J8" s="1" t="str">
        <x:v>app</x:v>
      </x:c>
      <x:c r="K8" s="1"/>
      <x:c r="L8" s="1"/>
      <x:c r="M8" s="1"/>
      <x:c r="N8" s="1"/>
      <x:c r="O8" s="1"/>
    </x:row>
    <x:row r="9">
      <x:c r="A9" s="1" t="str">
        <x:v>C0008</x:v>
      </x:c>
      <x:c r="B9" s="1" t="str">
        <x:v>Priya</x:v>
      </x:c>
      <x:c r="C9" s="1" t="str">
        <x:v>customer0008@example.com</x:v>
      </x:c>
      <x:c r="D9" s="1" t="str">
        <x:v>Brazil</x:v>
      </x:c>
      <x:c r="E9" s="1" t="str">
        <x:v>2026-08-21</x:v>
      </x:c>
      <x:c r="F9" s="1" t="str">
        <x:v>2026-09-23</x:v>
      </x:c>
      <x:c r="G9" s="1" t="str">
        <x:v>1</x:v>
      </x:c>
      <x:c r="H9" s="1" t="str">
        <x:v>111.91</x:v>
      </x:c>
      <x:c r="I9" s="1" t="str">
        <x:v>11</x:v>
      </x:c>
      <x:c r="J9" s="1" t="str">
        <x:v>web</x:v>
      </x:c>
      <x:c r="K9" s="1"/>
      <x:c r="L9" s="1"/>
      <x:c r="M9" s="1"/>
      <x:c r="N9" s="1"/>
      <x:c r="O9" s="1"/>
    </x:row>
    <x:row r="10">
      <x:c r="A10" s="1" t="str">
        <x:v>C0009</x:v>
      </x:c>
      <x:c r="B10" s="1" t="str">
        <x:v>Kai</x:v>
      </x:c>
      <x:c r="C10" s="1" t="str">
        <x:v>customer0009@example.com</x:v>
      </x:c>
      <x:c r="D10" s="1" t="str">
        <x:v>Brazil</x:v>
      </x:c>
      <x:c r="E10" s="1" t="str">
        <x:v>2026-03-28</x:v>
      </x:c>
      <x:c r="F10" s="1" t="str">
        <x:v>2026-09-12</x:v>
      </x:c>
      <x:c r="G10" s="1" t="str">
        <x:v>3</x:v>
      </x:c>
      <x:c r="H10" s="1" t="str">
        <x:v>558.35</x:v>
      </x:c>
      <x:c r="I10" s="1" t="str">
        <x:v>2</x:v>
      </x:c>
      <x:c r="J10" s="1" t="str">
        <x:v>web</x:v>
      </x:c>
      <x:c r="K10" s="1"/>
      <x:c r="L10" s="1"/>
      <x:c r="M10" s="1"/>
      <x:c r="N10" s="1"/>
      <x:c r="O10" s="1"/>
    </x:row>
    <x:row r="11">
      <x:c r="A11" s="1" t="str">
        <x:v>C0010</x:v>
      </x:c>
      <x:c r="B11" s="1" t="str">
        <x:v>Ravi</x:v>
      </x:c>
      <x:c r="C11" s="1" t="str">
        <x:v>customer0010@example.com</x:v>
      </x:c>
      <x:c r="D11" s="1" t="str">
        <x:v>Brazil</x:v>
      </x:c>
      <x:c r="E11" s="1" t="str">
        <x:v>2025-07-23</x:v>
      </x:c>
      <x:c r="F11" s="1" t="str">
        <x:v>2026-06-09</x:v>
      </x:c>
      <x:c r="G11" s="1" t="str">
        <x:v>11</x:v>
      </x:c>
      <x:c r="H11" s="1" t="str">
        <x:v>908.98</x:v>
      </x:c>
      <x:c r="I11" s="1" t="str">
        <x:v>9</x:v>
      </x:c>
      <x:c r="J11" s="1" t="str">
        <x:v>web</x:v>
      </x:c>
      <x:c r="K11" s="1"/>
      <x:c r="L11" s="1"/>
      <x:c r="M11" s="1"/>
      <x:c r="N11" s="1"/>
      <x:c r="O11" s="1"/>
    </x:row>
    <x:row r="12">
      <x:c r="A12" s="1" t="str">
        <x:v>C0011</x:v>
      </x:c>
      <x:c r="B12" s="1" t="str">
        <x:v>Priya</x:v>
      </x:c>
      <x:c r="C12" s="1" t="str">
        <x:v>customer0011@example.com</x:v>
      </x:c>
      <x:c r="D12" s="1" t="str">
        <x:v>Singapore</x:v>
      </x:c>
      <x:c r="E12" s="1" t="str">
        <x:v>2026-08-30</x:v>
      </x:c>
      <x:c r="F12" s="1" t="str">
        <x:v>2026-09-16</x:v>
      </x:c>
      <x:c r="G12" s="1" t="str">
        <x:v>1</x:v>
      </x:c>
      <x:c r="H12" s="1" t="str">
        <x:v>154.39</x:v>
      </x:c>
      <x:c r="I12" s="1" t="str">
        <x:v>0</x:v>
      </x:c>
      <x:c r="J12" s="1" t="str">
        <x:v>store</x:v>
      </x:c>
      <x:c r="K12" s="1"/>
      <x:c r="L12" s="1"/>
      <x:c r="M12" s="1"/>
      <x:c r="N12" s="1"/>
      <x:c r="O12" s="1"/>
    </x:row>
    <x:row r="13">
      <x:c r="A13" s="1" t="str">
        <x:v>C0012</x:v>
      </x:c>
      <x:c r="B13" s="1" t="str">
        <x:v>Jonas</x:v>
      </x:c>
      <x:c r="C13" s="1" t="str">
        <x:v>customer0012@example.com</x:v>
      </x:c>
      <x:c r="D13" s="1" t="str">
        <x:v>Brazil</x:v>
      </x:c>
      <x:c r="E13" s="1" t="str">
        <x:v>2026-08-17</x:v>
      </x:c>
      <x:c r="F13" s="1" t="str">
        <x:v>2026-09-10</x:v>
      </x:c>
      <x:c r="G13" s="1" t="str">
        <x:v>2</x:v>
      </x:c>
      <x:c r="H13" s="1" t="str">
        <x:v>65.54</x:v>
      </x:c>
      <x:c r="I13" s="1" t="str">
        <x:v>0</x:v>
      </x:c>
      <x:c r="J13" s="1" t="str">
        <x:v>web</x:v>
      </x:c>
      <x:c r="K13" s="1"/>
      <x:c r="L13" s="1"/>
      <x:c r="M13" s="1"/>
      <x:c r="N13" s="1"/>
      <x:c r="O13" s="1"/>
    </x:row>
    <x:row r="14">
      <x:c r="A14" s="1" t="str">
        <x:v>C0013</x:v>
      </x:c>
      <x:c r="B14" s="1" t="str">
        <x:v>Kenji</x:v>
      </x:c>
      <x:c r="C14" s="1" t="str">
        <x:v>customer0013@example.com</x:v>
      </x:c>
      <x:c r="D14" s="1" t="str">
        <x:v>USA</x:v>
      </x:c>
      <x:c r="E14" s="1" t="str">
        <x:v>2025-11-17</x:v>
      </x:c>
      <x:c r="F14" s="1" t="str">
        <x:v>2026-09-07</x:v>
      </x:c>
      <x:c r="G14" s="1" t="str">
        <x:v>6</x:v>
      </x:c>
      <x:c r="H14" s="1" t="str">
        <x:v>241.27</x:v>
      </x:c>
      <x:c r="I14" s="1" t="str">
        <x:v>6</x:v>
      </x:c>
      <x:c r="J14" s="1" t="str">
        <x:v>web</x:v>
      </x:c>
      <x:c r="K14" s="1"/>
      <x:c r="L14" s="1"/>
      <x:c r="M14" s="1"/>
      <x:c r="N14" s="1"/>
      <x:c r="O14" s="1"/>
    </x:row>
    <x:row r="15">
      <x:c r="A15" s="1" t="str">
        <x:v>C0014</x:v>
      </x:c>
      <x:c r="B15" s="1" t="str">
        <x:v>Lina</x:v>
      </x:c>
      <x:c r="C15" s="1" t="str">
        <x:v>customer0014@example.com</x:v>
      </x:c>
      <x:c r="D15" s="1" t="str">
        <x:v>Germany</x:v>
      </x:c>
      <x:c r="E15" s="1" t="str">
        <x:v>2024-08-27</x:v>
      </x:c>
      <x:c r="F15" s="1" t="str">
        <x:v>2025-10-12</x:v>
      </x:c>
      <x:c r="G15" s="1" t="str">
        <x:v>1</x:v>
      </x:c>
      <x:c r="H15" s="1" t="str">
        <x:v>44.11</x:v>
      </x:c>
      <x:c r="I15" s="1" t="str">
        <x:v>2</x:v>
      </x:c>
      <x:c r="J15" s="1" t="str">
        <x:v>web</x:v>
      </x:c>
      <x:c r="K15" s="1"/>
      <x:c r="L15" s="1"/>
      <x:c r="M15" s="1"/>
      <x:c r="N15" s="1"/>
      <x:c r="O15" s="1"/>
    </x:row>
    <x:row r="16">
      <x:c r="A16" s="1" t="str">
        <x:v>C0015</x:v>
      </x:c>
      <x:c r="B16" s="1" t="str">
        <x:v>Jonas</x:v>
      </x:c>
      <x:c r="C16" s="1" t="str">
        <x:v>customer0015@example.com</x:v>
      </x:c>
      <x:c r="D16" s="1" t="str">
        <x:v>UAE</x:v>
      </x:c>
      <x:c r="E16" s="1" t="str">
        <x:v>2024-03-04</x:v>
      </x:c>
      <x:c r="F16" s="1" t="str">
        <x:v>2026-02-01</x:v>
      </x:c>
      <x:c r="G16" s="1" t="str">
        <x:v>2</x:v>
      </x:c>
      <x:c r="H16" s="1" t="str">
        <x:v>187.63</x:v>
      </x:c>
      <x:c r="I16" s="1" t="str">
        <x:v>3</x:v>
      </x:c>
      <x:c r="J16" s="1" t="str">
        <x:v>app</x:v>
      </x:c>
      <x:c r="K16" s="1"/>
      <x:c r="L16" s="1"/>
      <x:c r="M16" s="1"/>
      <x:c r="N16" s="1"/>
      <x:c r="O16" s="1"/>
    </x:row>
    <x:row r="17">
      <x:c r="A17" s="1" t="str">
        <x:v>C0016</x:v>
      </x:c>
      <x:c r="B17" s="1" t="str">
        <x:v>Priya</x:v>
      </x:c>
      <x:c r="C17" s="1" t="str">
        <x:v>customer0016@example.com</x:v>
      </x:c>
      <x:c r="D17" s="1" t="str">
        <x:v>Nigeria</x:v>
      </x:c>
      <x:c r="E17" s="1" t="str">
        <x:v>2026-09-14</x:v>
      </x:c>
      <x:c r="F17" s="1" t="str">
        <x:v>2026-09-26</x:v>
      </x:c>
      <x:c r="G17" s="1" t="str">
        <x:v>11</x:v>
      </x:c>
      <x:c r="H17" s="1" t="str">
        <x:v>1653.63</x:v>
      </x:c>
      <x:c r="I17" s="1" t="str">
        <x:v>2</x:v>
      </x:c>
      <x:c r="J17" s="1" t="str">
        <x:v>web</x:v>
      </x:c>
      <x:c r="K17" s="1"/>
      <x:c r="L17" s="1"/>
      <x:c r="M17" s="1"/>
      <x:c r="N17" s="1"/>
      <x:c r="O17" s="1"/>
    </x:row>
    <x:row r="18">
      <x:c r="A18" s="1" t="str">
        <x:v>C0017</x:v>
      </x:c>
      <x:c r="B18" s="1" t="str">
        <x:v>Diego</x:v>
      </x:c>
      <x:c r="C18" s="1" t="str">
        <x:v>customer0017@example.com</x:v>
      </x:c>
      <x:c r="D18" s="1" t="str">
        <x:v>Brazil</x:v>
      </x:c>
      <x:c r="E18" s="1" t="str">
        <x:v>2024-12-18</x:v>
      </x:c>
      <x:c r="F18" s="1" t="str">
        <x:v>2026-09-03</x:v>
      </x:c>
      <x:c r="G18" s="1" t="str">
        <x:v>6</x:v>
      </x:c>
      <x:c r="H18" s="1" t="str">
        <x:v>574.21</x:v>
      </x:c>
      <x:c r="I18" s="1" t="str">
        <x:v>2</x:v>
      </x:c>
      <x:c r="J18" s="1" t="str">
        <x:v>store</x:v>
      </x:c>
      <x:c r="K18" s="1"/>
      <x:c r="L18" s="1"/>
      <x:c r="M18" s="1"/>
      <x:c r="N18" s="1"/>
      <x:c r="O18" s="1"/>
    </x:row>
    <x:row r="19">
      <x:c r="A19" s="1" t="str">
        <x:v>C0018</x:v>
      </x:c>
      <x:c r="B19" s="1" t="str">
        <x:v>Yara</x:v>
      </x:c>
      <x:c r="C19" s="1" t="str">
        <x:v>customer0018@example.com</x:v>
      </x:c>
      <x:c r="D19" s="1" t="str">
        <x:v>Japan</x:v>
      </x:c>
      <x:c r="E19" s="1" t="str">
        <x:v>2024-06-30</x:v>
      </x:c>
      <x:c r="F19" s="1" t="str">
        <x:v>2026-05-27</x:v>
      </x:c>
      <x:c r="G19" s="1" t="str">
        <x:v>2</x:v>
      </x:c>
      <x:c r="H19" s="1" t="str">
        <x:v>172.42</x:v>
      </x:c>
      <x:c r="I19" s="1" t="str">
        <x:v>6</x:v>
      </x:c>
      <x:c r="J19" s="1" t="str">
        <x:v>web</x:v>
      </x:c>
      <x:c r="K19" s="1"/>
      <x:c r="L19" s="1"/>
      <x:c r="M19" s="1"/>
      <x:c r="N19" s="1"/>
      <x:c r="O19" s="1"/>
    </x:row>
    <x:row r="20">
      <x:c r="A20" s="1" t="str">
        <x:v>C0019</x:v>
      </x:c>
      <x:c r="B20" s="1" t="str">
        <x:v>Lucas</x:v>
      </x:c>
      <x:c r="C20" s="1" t="str">
        <x:v>customer0019@example.com</x:v>
      </x:c>
      <x:c r="D20" s="1" t="str">
        <x:v>Singapore</x:v>
      </x:c>
      <x:c r="E20" s="1" t="str">
        <x:v>2026-03-31</x:v>
      </x:c>
      <x:c r="F20" s="1" t="str">
        <x:v>2026-06-02</x:v>
      </x:c>
      <x:c r="G20" s="1" t="str">
        <x:v>10</x:v>
      </x:c>
      <x:c r="H20" s="1" t="str">
        <x:v>979.43</x:v>
      </x:c>
      <x:c r="I20" s="1" t="str">
        <x:v>3</x:v>
      </x:c>
      <x:c r="J20" s="1" t="str">
        <x:v>web</x:v>
      </x:c>
      <x:c r="K20" s="1"/>
      <x:c r="L20" s="1"/>
      <x:c r="M20" s="1"/>
      <x:c r="N20" s="1"/>
      <x:c r="O20" s="1"/>
    </x:row>
    <x:row r="21">
      <x:c r="A21" s="1" t="str">
        <x:v>C0020</x:v>
      </x:c>
      <x:c r="B21" s="1" t="str">
        <x:v>Diego</x:v>
      </x:c>
      <x:c r="C21" s="1" t="str">
        <x:v>customer0020@example.com</x:v>
      </x:c>
      <x:c r="D21" s="1" t="str">
        <x:v>UK</x:v>
      </x:c>
      <x:c r="E21" s="1" t="str">
        <x:v>2026-08-09</x:v>
      </x:c>
      <x:c r="F21" s="1" t="str">
        <x:v>2026-08-09</x:v>
      </x:c>
      <x:c r="G21" s="1" t="str">
        <x:v>7</x:v>
      </x:c>
      <x:c r="H21" s="1" t="str">
        <x:v>236.8</x:v>
      </x:c>
      <x:c r="I21" s="1" t="str">
        <x:v>8</x:v>
      </x:c>
      <x:c r="J21" s="1" t="str">
        <x:v>app</x:v>
      </x:c>
      <x:c r="K21" s="1"/>
      <x:c r="L21" s="1"/>
      <x:c r="M21" s="1"/>
      <x:c r="N21" s="1"/>
      <x:c r="O21" s="1"/>
    </x:row>
    <x:row r="22">
      <x:c r="A22" s="1" t="str">
        <x:v>C0021</x:v>
      </x:c>
      <x:c r="B22" s="1" t="str">
        <x:v>Mateo</x:v>
      </x:c>
      <x:c r="C22" s="1" t="str">
        <x:v>customer0021@example.com</x:v>
      </x:c>
      <x:c r="D22" s="1" t="str">
        <x:v>UK</x:v>
      </x:c>
      <x:c r="E22" s="1" t="str">
        <x:v>2024-09-20</x:v>
      </x:c>
      <x:c r="F22" s="1" t="str">
        <x:v>2026-06-10</x:v>
      </x:c>
      <x:c r="G22" s="1" t="str">
        <x:v>1</x:v>
      </x:c>
      <x:c r="H22" s="1" t="str">
        <x:v>168.01</x:v>
      </x:c>
      <x:c r="I22" s="1" t="str">
        <x:v>10</x:v>
      </x:c>
      <x:c r="J22" s="1" t="str">
        <x:v>web</x:v>
      </x:c>
      <x:c r="K22" s="1"/>
      <x:c r="L22" s="1"/>
      <x:c r="M22" s="1"/>
      <x:c r="N22" s="1"/>
      <x:c r="O22" s="1"/>
    </x:row>
    <x:row r="23">
      <x:c r="A23" s="1" t="str">
        <x:v>C0022</x:v>
      </x:c>
      <x:c r="B23" s="1" t="str">
        <x:v>Noah</x:v>
      </x:c>
      <x:c r="C23" s="1" t="str">
        <x:v>customer0022@example.com</x:v>
      </x:c>
      <x:c r="D23" s="1" t="str">
        <x:v>Australia</x:v>
      </x:c>
      <x:c r="E23" s="1" t="str">
        <x:v>2024-08-07</x:v>
      </x:c>
      <x:c r="F23" s="1" t="str">
        <x:v>2025-12-19</x:v>
      </x:c>
      <x:c r="G23" s="1" t="str">
        <x:v>2</x:v>
      </x:c>
      <x:c r="H23" s="1" t="str">
        <x:v>36.5</x:v>
      </x:c>
      <x:c r="I23" s="1" t="str">
        <x:v>7</x:v>
      </x:c>
      <x:c r="J23" s="1" t="str">
        <x:v>web</x:v>
      </x:c>
      <x:c r="K23" s="1"/>
      <x:c r="L23" s="1"/>
      <x:c r="M23" s="1"/>
      <x:c r="N23" s="1"/>
      <x:c r="O23" s="1"/>
    </x:row>
    <x:row r="24">
      <x:c r="A24" s="1" t="str">
        <x:v>C0023</x:v>
      </x:c>
      <x:c r="B24" s="1" t="str">
        <x:v>Priya</x:v>
      </x:c>
      <x:c r="C24" s="1" t="str">
        <x:v>customer0023@example.com</x:v>
      </x:c>
      <x:c r="D24" s="1" t="str">
        <x:v>UK</x:v>
      </x:c>
      <x:c r="E24" s="1" t="str">
        <x:v>2025-12-30</x:v>
      </x:c>
      <x:c r="F24" s="1" t="str">
        <x:v>2026-09-27</x:v>
      </x:c>
      <x:c r="G24" s="1" t="str">
        <x:v>19</x:v>
      </x:c>
      <x:c r="H24" s="1" t="str">
        <x:v>1148.22</x:v>
      </x:c>
      <x:c r="I24" s="1" t="str">
        <x:v>8</x:v>
      </x:c>
      <x:c r="J24" s="1" t="str">
        <x:v>app</x:v>
      </x:c>
      <x:c r="K24" s="1"/>
      <x:c r="L24" s="1"/>
      <x:c r="M24" s="1"/>
      <x:c r="N24" s="1"/>
      <x:c r="O24" s="1"/>
    </x:row>
    <x:row r="25">
      <x:c r="A25" s="1" t="str">
        <x:v>C0024</x:v>
      </x:c>
      <x:c r="B25" s="1" t="str">
        <x:v>Leila</x:v>
      </x:c>
      <x:c r="C25" s="1" t="str">
        <x:v>customer0024@example.com</x:v>
      </x:c>
      <x:c r="D25" s="1" t="str">
        <x:v>India</x:v>
      </x:c>
      <x:c r="E25" s="1" t="str">
        <x:v>2025-01-06</x:v>
      </x:c>
      <x:c r="F25" s="1" t="str">
        <x:v>2026-07-16</x:v>
      </x:c>
      <x:c r="G25" s="1" t="str">
        <x:v>5</x:v>
      </x:c>
      <x:c r="H25" s="1" t="str">
        <x:v>302.62</x:v>
      </x:c>
      <x:c r="I25" s="1" t="str">
        <x:v>12</x:v>
      </x:c>
      <x:c r="J25" s="1" t="str">
        <x:v>store</x:v>
      </x:c>
      <x:c r="K25" s="1"/>
      <x:c r="L25" s="1"/>
      <x:c r="M25" s="1"/>
      <x:c r="N25" s="1"/>
      <x:c r="O25" s="1"/>
    </x:row>
    <x:row r="26">
      <x:c r="A26" s="1" t="str">
        <x:v>C0025</x:v>
      </x:c>
      <x:c r="B26" s="1" t="str">
        <x:v>Chloe</x:v>
      </x:c>
      <x:c r="C26" s="1" t="str">
        <x:v>customer0025@example.com</x:v>
      </x:c>
      <x:c r="D26" s="1" t="str">
        <x:v>UK</x:v>
      </x:c>
      <x:c r="E26" s="1" t="str">
        <x:v>2025-03-29</x:v>
      </x:c>
      <x:c r="F26" s="1" t="str">
        <x:v>2026-09-10</x:v>
      </x:c>
      <x:c r="G26" s="1" t="str">
        <x:v>8</x:v>
      </x:c>
      <x:c r="H26" s="1" t="str">
        <x:v>791.81</x:v>
      </x:c>
      <x:c r="I26" s="1" t="str">
        <x:v>5</x:v>
      </x:c>
      <x:c r="J26" s="1" t="str">
        <x:v>app</x:v>
      </x:c>
      <x:c r="K26" s="1"/>
      <x:c r="L26" s="1"/>
      <x:c r="M26" s="1"/>
      <x:c r="N26" s="1"/>
      <x:c r="O26" s="1"/>
    </x:row>
    <x:row r="27">
      <x:c r="A27" s="1" t="str">
        <x:v>C0026</x:v>
      </x:c>
      <x:c r="B27" s="1" t="str">
        <x:v>Yara</x:v>
      </x:c>
      <x:c r="C27" s="1" t="str">
        <x:v>customer0026@example.com</x:v>
      </x:c>
      <x:c r="D27" s="1" t="str">
        <x:v>USA</x:v>
      </x:c>
      <x:c r="E27" s="1" t="str">
        <x:v>2024-06-03</x:v>
      </x:c>
      <x:c r="F27" s="1" t="str">
        <x:v>2026-02-20</x:v>
      </x:c>
      <x:c r="G27" s="1" t="str">
        <x:v>8</x:v>
      </x:c>
      <x:c r="H27" s="1" t="str">
        <x:v>981.91</x:v>
      </x:c>
      <x:c r="I27" s="1" t="str">
        <x:v>12</x:v>
      </x:c>
      <x:c r="J27" s="1" t="str">
        <x:v>app</x:v>
      </x:c>
      <x:c r="K27" s="1"/>
      <x:c r="L27" s="1"/>
      <x:c r="M27" s="1"/>
      <x:c r="N27" s="1"/>
      <x:c r="O27" s="1"/>
    </x:row>
    <x:row r="28">
      <x:c r="A28" s="1" t="str">
        <x:v>C0027</x:v>
      </x:c>
      <x:c r="B28" s="1" t="str">
        <x:v>Elena</x:v>
      </x:c>
      <x:c r="C28" s="1" t="str">
        <x:v>customer0027@example.com</x:v>
      </x:c>
      <x:c r="D28" s="1" t="str">
        <x:v>India</x:v>
      </x:c>
      <x:c r="E28" s="1" t="str">
        <x:v>2025-02-28</x:v>
      </x:c>
      <x:c r="F28" s="1" t="str">
        <x:v>2026-02-27</x:v>
      </x:c>
      <x:c r="G28" s="1" t="str">
        <x:v>1</x:v>
      </x:c>
      <x:c r="H28" s="1" t="str">
        <x:v>105.59</x:v>
      </x:c>
      <x:c r="I28" s="1" t="str">
        <x:v>0</x:v>
      </x:c>
      <x:c r="J28" s="1" t="str">
        <x:v>web</x:v>
      </x:c>
      <x:c r="K28" s="1"/>
      <x:c r="L28" s="1"/>
      <x:c r="M28" s="1"/>
      <x:c r="N28" s="1"/>
      <x:c r="O28" s="1"/>
    </x:row>
    <x:row r="29">
      <x:c r="A29" s="1" t="str">
        <x:v>C0028</x:v>
      </x:c>
      <x:c r="B29" s="1" t="str">
        <x:v>Yara</x:v>
      </x:c>
      <x:c r="C29" s="1" t="str">
        <x:v>customer0028@example.com</x:v>
      </x:c>
      <x:c r="D29" s="1" t="str">
        <x:v>Brazil</x:v>
      </x:c>
      <x:c r="E29" s="1" t="str">
        <x:v>2025-02-07</x:v>
      </x:c>
      <x:c r="F29" s="1" t="str">
        <x:v>2026-05-10</x:v>
      </x:c>
      <x:c r="G29" s="1" t="str">
        <x:v>12</x:v>
      </x:c>
      <x:c r="H29" s="1" t="str">
        <x:v>1349.99</x:v>
      </x:c>
      <x:c r="I29" s="1" t="str">
        <x:v>5</x:v>
      </x:c>
      <x:c r="J29" s="1" t="str">
        <x:v>app</x:v>
      </x:c>
      <x:c r="K29" s="1"/>
      <x:c r="L29" s="1"/>
      <x:c r="M29" s="1"/>
      <x:c r="N29" s="1"/>
      <x:c r="O29" s="1"/>
    </x:row>
    <x:row r="30">
      <x:c r="A30" s="1" t="str">
        <x:v>C0029</x:v>
      </x:c>
      <x:c r="B30" s="1" t="str">
        <x:v>Priya</x:v>
      </x:c>
      <x:c r="C30" s="1" t="str">
        <x:v>customer0029@example.com</x:v>
      </x:c>
      <x:c r="D30" s="1" t="str">
        <x:v>Nigeria</x:v>
      </x:c>
      <x:c r="E30" s="1" t="str">
        <x:v>2026-01-26</x:v>
      </x:c>
      <x:c r="F30" s="1" t="str">
        <x:v>2026-08-23</x:v>
      </x:c>
      <x:c r="G30" s="1" t="str">
        <x:v>6</x:v>
      </x:c>
      <x:c r="H30" s="1" t="str">
        <x:v>337.69</x:v>
      </x:c>
      <x:c r="I30" s="1" t="str">
        <x:v>9</x:v>
      </x:c>
      <x:c r="J30" s="1" t="str">
        <x:v>app</x:v>
      </x:c>
      <x:c r="K30" s="1"/>
      <x:c r="L30" s="1"/>
      <x:c r="M30" s="1"/>
      <x:c r="N30" s="1"/>
      <x:c r="O30" s="1"/>
    </x:row>
    <x:row r="31">
      <x:c r="A31" s="1" t="str">
        <x:v>C0030</x:v>
      </x:c>
      <x:c r="B31" s="1" t="str">
        <x:v>Leila</x:v>
      </x:c>
      <x:c r="C31" s="1" t="str">
        <x:v>customer0030@example.com</x:v>
      </x:c>
      <x:c r="D31" s="1" t="str">
        <x:v>UAE</x:v>
      </x:c>
      <x:c r="E31" s="1" t="str">
        <x:v>2025-11-30</x:v>
      </x:c>
      <x:c r="F31" s="1" t="str">
        <x:v>2026-04-01</x:v>
      </x:c>
      <x:c r="G31" s="1" t="str">
        <x:v>4</x:v>
      </x:c>
      <x:c r="H31" s="1" t="str">
        <x:v>1209.85</x:v>
      </x:c>
      <x:c r="I31" s="1" t="str">
        <x:v>12</x:v>
      </x:c>
      <x:c r="J31" s="1" t="str">
        <x:v>store</x:v>
      </x:c>
      <x:c r="K31" s="1"/>
      <x:c r="L31" s="1"/>
      <x:c r="M31" s="1"/>
      <x:c r="N31" s="1"/>
      <x:c r="O31" s="1"/>
    </x:row>
    <x:row r="32">
      <x:c r="A32" s="1" t="str">
        <x:v>C0031</x:v>
      </x:c>
      <x:c r="B32" s="1" t="str">
        <x:v>Ravi</x:v>
      </x:c>
      <x:c r="C32" s="1" t="str">
        <x:v>customer0031@example.com</x:v>
      </x:c>
      <x:c r="D32" s="1" t="str">
        <x:v>Singapore</x:v>
      </x:c>
      <x:c r="E32" s="1" t="str">
        <x:v>2024-01-10</x:v>
      </x:c>
      <x:c r="F32" s="1" t="str">
        <x:v>2025-10-22</x:v>
      </x:c>
      <x:c r="G32" s="1" t="str">
        <x:v>1</x:v>
      </x:c>
      <x:c r="H32" s="1" t="str">
        <x:v>90.94</x:v>
      </x:c>
      <x:c r="I32" s="1" t="str">
        <x:v>12</x:v>
      </x:c>
      <x:c r="J32" s="1" t="str">
        <x:v>store</x:v>
      </x:c>
      <x:c r="K32" s="1"/>
      <x:c r="L32" s="1"/>
      <x:c r="M32" s="1"/>
      <x:c r="N32" s="1"/>
      <x:c r="O32" s="1"/>
    </x:row>
    <x:row r="33">
      <x:c r="A33" s="1" t="str">
        <x:v>C0032</x:v>
      </x:c>
      <x:c r="B33" s="1" t="str">
        <x:v>Kenji</x:v>
      </x:c>
      <x:c r="C33" s="1" t="str">
        <x:v>customer0032@example.com</x:v>
      </x:c>
      <x:c r="D33" s="1" t="str">
        <x:v>India</x:v>
      </x:c>
      <x:c r="E33" s="1" t="str">
        <x:v>2025-09-25</x:v>
      </x:c>
      <x:c r="F33" s="1" t="str">
        <x:v>2026-03-18</x:v>
      </x:c>
      <x:c r="G33" s="1" t="str">
        <x:v>4</x:v>
      </x:c>
      <x:c r="H33" s="1" t="str">
        <x:v>1083.52</x:v>
      </x:c>
      <x:c r="I33" s="1" t="str">
        <x:v>2</x:v>
      </x:c>
      <x:c r="J33" s="1" t="str">
        <x:v>store</x:v>
      </x:c>
      <x:c r="K33" s="1"/>
      <x:c r="L33" s="1"/>
      <x:c r="M33" s="1"/>
      <x:c r="N33" s="1"/>
      <x:c r="O33" s="1"/>
    </x:row>
    <x:row r="34">
      <x:c r="A34" s="1" t="str">
        <x:v>C0033</x:v>
      </x:c>
      <x:c r="B34" s="1" t="str">
        <x:v>Kenji</x:v>
      </x:c>
      <x:c r="C34" s="1" t="str">
        <x:v>customer0033@example.com</x:v>
      </x:c>
      <x:c r="D34" s="1" t="str">
        <x:v>Japan</x:v>
      </x:c>
      <x:c r="E34" s="1" t="str">
        <x:v>2025-04-17</x:v>
      </x:c>
      <x:c r="F34" s="1" t="str">
        <x:v>2026-04-10</x:v>
      </x:c>
      <x:c r="G34" s="1" t="str">
        <x:v>2</x:v>
      </x:c>
      <x:c r="H34" s="1" t="str">
        <x:v>130.02</x:v>
      </x:c>
      <x:c r="I34" s="1" t="str">
        <x:v>8</x:v>
      </x:c>
      <x:c r="J34" s="1" t="str">
        <x:v>app</x:v>
      </x:c>
      <x:c r="K34" s="1"/>
      <x:c r="L34" s="1"/>
      <x:c r="M34" s="1"/>
      <x:c r="N34" s="1"/>
      <x:c r="O34" s="1"/>
    </x:row>
    <x:row r="35">
      <x:c r="A35" s="1" t="str">
        <x:v>C0034</x:v>
      </x:c>
      <x:c r="B35" s="1" t="str">
        <x:v>Elena</x:v>
      </x:c>
      <x:c r="C35" s="1" t="str">
        <x:v>customer0034@example.com</x:v>
      </x:c>
      <x:c r="D35" s="1" t="str">
        <x:v>UK</x:v>
      </x:c>
      <x:c r="E35" s="1" t="str">
        <x:v>2025-03-15</x:v>
      </x:c>
      <x:c r="F35" s="1" t="str">
        <x:v>2026-09-05</x:v>
      </x:c>
      <x:c r="G35" s="1" t="str">
        <x:v>19</x:v>
      </x:c>
      <x:c r="H35" s="1" t="str">
        <x:v>1639.48</x:v>
      </x:c>
      <x:c r="I35" s="1" t="str">
        <x:v>6</x:v>
      </x:c>
      <x:c r="J35" s="1" t="str">
        <x:v>app</x:v>
      </x:c>
      <x:c r="K35" s="1"/>
      <x:c r="L35" s="1"/>
      <x:c r="M35" s="1"/>
      <x:c r="N35" s="1"/>
      <x:c r="O35" s="1"/>
    </x:row>
    <x:row r="36">
      <x:c r="A36" s="1" t="str">
        <x:v>C0035</x:v>
      </x:c>
      <x:c r="B36" s="1" t="str">
        <x:v>Ethan</x:v>
      </x:c>
      <x:c r="C36" s="1" t="str">
        <x:v>customer0035@example.com</x:v>
      </x:c>
      <x:c r="D36" s="1" t="str">
        <x:v>USA</x:v>
      </x:c>
      <x:c r="E36" s="1" t="str">
        <x:v>2025-05-12</x:v>
      </x:c>
      <x:c r="F36" s="1" t="str">
        <x:v>2026-03-07</x:v>
      </x:c>
      <x:c r="G36" s="1" t="str">
        <x:v>1</x:v>
      </x:c>
      <x:c r="H36" s="1" t="str">
        <x:v>59.07</x:v>
      </x:c>
      <x:c r="I36" s="1" t="str">
        <x:v>12</x:v>
      </x:c>
      <x:c r="J36" s="1" t="str">
        <x:v>store</x:v>
      </x:c>
      <x:c r="K36" s="1"/>
      <x:c r="L36" s="1"/>
      <x:c r="M36" s="1"/>
      <x:c r="N36" s="1"/>
      <x:c r="O36" s="1"/>
    </x:row>
    <x:row r="37">
      <x:c r="A37" s="1" t="str">
        <x:v>C0036</x:v>
      </x:c>
      <x:c r="B37" s="1" t="str">
        <x:v>Leila</x:v>
      </x:c>
      <x:c r="C37" s="1" t="str">
        <x:v>customer0036@example.com</x:v>
      </x:c>
      <x:c r="D37" s="1" t="str">
        <x:v>Brazil</x:v>
      </x:c>
      <x:c r="E37" s="1" t="str">
        <x:v>2026-05-13</x:v>
      </x:c>
      <x:c r="F37" s="1" t="str">
        <x:v>2026-07-14</x:v>
      </x:c>
      <x:c r="G37" s="1" t="str">
        <x:v>6</x:v>
      </x:c>
      <x:c r="H37" s="1" t="str">
        <x:v>783.94</x:v>
      </x:c>
      <x:c r="I37" s="1" t="str">
        <x:v>7</x:v>
      </x:c>
      <x:c r="J37" s="1" t="str">
        <x:v>store</x:v>
      </x:c>
      <x:c r="K37" s="1"/>
      <x:c r="L37" s="1"/>
      <x:c r="M37" s="1"/>
      <x:c r="N37" s="1"/>
      <x:c r="O37" s="1"/>
    </x:row>
    <x:row r="38">
      <x:c r="A38" s="1" t="str">
        <x:v>C0037</x:v>
      </x:c>
      <x:c r="B38" s="1" t="str">
        <x:v>Kenji</x:v>
      </x:c>
      <x:c r="C38" s="1" t="str">
        <x:v>customer0037@example.com</x:v>
      </x:c>
      <x:c r="D38" s="1" t="str">
        <x:v>Japan</x:v>
      </x:c>
      <x:c r="E38" s="1" t="str">
        <x:v>2026-08-01</x:v>
      </x:c>
      <x:c r="F38" s="1" t="str">
        <x:v>2026-09-02</x:v>
      </x:c>
      <x:c r="G38" s="1" t="str">
        <x:v>2</x:v>
      </x:c>
      <x:c r="H38" s="1" t="str">
        <x:v>152.34</x:v>
      </x:c>
      <x:c r="I38" s="1" t="str">
        <x:v>2</x:v>
      </x:c>
      <x:c r="J38" s="1" t="str">
        <x:v>store</x:v>
      </x:c>
      <x:c r="K38" s="1"/>
      <x:c r="L38" s="1"/>
      <x:c r="M38" s="1"/>
      <x:c r="N38" s="1"/>
      <x:c r="O38" s="1"/>
    </x:row>
    <x:row r="39">
      <x:c r="A39" s="1" t="str">
        <x:v>C0038</x:v>
      </x:c>
      <x:c r="B39" s="1" t="str">
        <x:v>Amara</x:v>
      </x:c>
      <x:c r="C39" s="1" t="str">
        <x:v>customer0038@example.com</x:v>
      </x:c>
      <x:c r="D39" s="1" t="str">
        <x:v>UK</x:v>
      </x:c>
      <x:c r="E39" s="1" t="str">
        <x:v>2025-10-06</x:v>
      </x:c>
      <x:c r="F39" s="1" t="str">
        <x:v>2026-03-08</x:v>
      </x:c>
      <x:c r="G39" s="1" t="str">
        <x:v>5</x:v>
      </x:c>
      <x:c r="H39" s="1" t="str">
        <x:v>949.84</x:v>
      </x:c>
      <x:c r="I39" s="1" t="str">
        <x:v>7</x:v>
      </x:c>
      <x:c r="J39" s="1" t="str">
        <x:v>store</x:v>
      </x:c>
      <x:c r="K39" s="1"/>
      <x:c r="L39" s="1"/>
      <x:c r="M39" s="1"/>
      <x:c r="N39" s="1"/>
      <x:c r="O39" s="1"/>
    </x:row>
    <x:row r="40">
      <x:c r="A40" s="1" t="str">
        <x:v>C0039</x:v>
      </x:c>
      <x:c r="B40" s="1" t="str">
        <x:v>Ethan</x:v>
      </x:c>
      <x:c r="C40" s="1" t="str">
        <x:v>customer0039@example.com</x:v>
      </x:c>
      <x:c r="D40" s="1" t="str">
        <x:v>Japan</x:v>
      </x:c>
      <x:c r="E40" s="1" t="str">
        <x:v>2026-08-11</x:v>
      </x:c>
      <x:c r="F40" s="1" t="str">
        <x:v>2026-09-13</x:v>
      </x:c>
      <x:c r="G40" s="1" t="str">
        <x:v>1</x:v>
      </x:c>
      <x:c r="H40" s="1" t="str">
        <x:v>72.16</x:v>
      </x:c>
      <x:c r="I40" s="1" t="str">
        <x:v>7</x:v>
      </x:c>
      <x:c r="J40" s="1" t="str">
        <x:v>app</x:v>
      </x:c>
      <x:c r="K40" s="1"/>
      <x:c r="L40" s="1"/>
      <x:c r="M40" s="1"/>
      <x:c r="N40" s="1"/>
      <x:c r="O40" s="1"/>
    </x:row>
    <x:row r="41">
      <x:c r="A41" s="1" t="str">
        <x:v>C0040</x:v>
      </x:c>
      <x:c r="B41" s="1" t="str">
        <x:v>Kai</x:v>
      </x:c>
      <x:c r="C41" s="1" t="str">
        <x:v>customer0040@example.com</x:v>
      </x:c>
      <x:c r="D41" s="1" t="str">
        <x:v>Singapore</x:v>
      </x:c>
      <x:c r="E41" s="1" t="str">
        <x:v>2026-04-12</x:v>
      </x:c>
      <x:c r="F41" s="1" t="str">
        <x:v>2026-05-25</x:v>
      </x:c>
      <x:c r="G41" s="1" t="str">
        <x:v>1</x:v>
      </x:c>
      <x:c r="H41" s="1" t="str">
        <x:v>48.48</x:v>
      </x:c>
      <x:c r="I41" s="1" t="str">
        <x:v>8</x:v>
      </x:c>
      <x:c r="J41" s="1" t="str">
        <x:v>web</x:v>
      </x:c>
      <x:c r="K41" s="1"/>
      <x:c r="L41" s="1"/>
      <x:c r="M41" s="1"/>
      <x:c r="N41" s="1"/>
      <x:c r="O41" s="1"/>
    </x:row>
    <x:row r="42">
      <x:c r="A42" s="1" t="str">
        <x:v>C0041</x:v>
      </x:c>
      <x:c r="B42" s="1" t="str">
        <x:v>Aisha</x:v>
      </x:c>
      <x:c r="C42" s="1" t="str">
        <x:v>customer0041@example.com</x:v>
      </x:c>
      <x:c r="D42" s="1" t="str">
        <x:v>Japan</x:v>
      </x:c>
      <x:c r="E42" s="1" t="str">
        <x:v>2025-01-11</x:v>
      </x:c>
      <x:c r="F42" s="1" t="str">
        <x:v>2026-06-12</x:v>
      </x:c>
      <x:c r="G42" s="1" t="str">
        <x:v>10</x:v>
      </x:c>
      <x:c r="H42" s="1" t="str">
        <x:v>624.46</x:v>
      </x:c>
      <x:c r="I42" s="1" t="str">
        <x:v>3</x:v>
      </x:c>
      <x:c r="J42" s="1" t="str">
        <x:v>store</x:v>
      </x:c>
      <x:c r="K42" s="1"/>
      <x:c r="L42" s="1"/>
      <x:c r="M42" s="1"/>
      <x:c r="N42" s="1"/>
      <x:c r="O42" s="1"/>
    </x:row>
    <x:row r="43">
      <x:c r="A43" s="1" t="str">
        <x:v>C0042</x:v>
      </x:c>
      <x:c r="B43" s="1" t="str">
        <x:v>Zara</x:v>
      </x:c>
      <x:c r="C43" s="1" t="str">
        <x:v>customer0042@example.com</x:v>
      </x:c>
      <x:c r="D43" s="1" t="str">
        <x:v>Japan</x:v>
      </x:c>
      <x:c r="E43" s="1" t="str">
        <x:v>2025-02-14</x:v>
      </x:c>
      <x:c r="F43" s="1" t="str">
        <x:v>2026-07-18</x:v>
      </x:c>
      <x:c r="G43" s="1" t="str">
        <x:v>7</x:v>
      </x:c>
      <x:c r="H43" s="1" t="str">
        <x:v>765.15</x:v>
      </x:c>
      <x:c r="I43" s="1" t="str">
        <x:v>4</x:v>
      </x:c>
      <x:c r="J43" s="1" t="str">
        <x:v>store</x:v>
      </x:c>
      <x:c r="K43" s="1"/>
      <x:c r="L43" s="1"/>
      <x:c r="M43" s="1"/>
      <x:c r="N43" s="1"/>
      <x:c r="O43" s="1"/>
    </x:row>
    <x:row r="44">
      <x:c r="A44" s="1" t="str">
        <x:v>C0043</x:v>
      </x:c>
      <x:c r="B44" s="1" t="str">
        <x:v>Mateo</x:v>
      </x:c>
      <x:c r="C44" s="1" t="str">
        <x:v>customer0043@example.com</x:v>
      </x:c>
      <x:c r="D44" s="1" t="str">
        <x:v>Australia</x:v>
      </x:c>
      <x:c r="E44" s="1" t="str">
        <x:v>2025-11-08</x:v>
      </x:c>
      <x:c r="F44" s="1" t="str">
        <x:v>2026-03-12</x:v>
      </x:c>
      <x:c r="G44" s="1" t="str">
        <x:v>2</x:v>
      </x:c>
      <x:c r="H44" s="1" t="str">
        <x:v>39.0</x:v>
      </x:c>
      <x:c r="I44" s="1" t="str">
        <x:v>5</x:v>
      </x:c>
      <x:c r="J44" s="1" t="str">
        <x:v>app</x:v>
      </x:c>
      <x:c r="K44" s="1"/>
      <x:c r="L44" s="1"/>
      <x:c r="M44" s="1"/>
      <x:c r="N44" s="1"/>
      <x:c r="O44" s="1"/>
    </x:row>
    <x:row r="45">
      <x:c r="A45" s="1" t="str">
        <x:v>C0044</x:v>
      </x:c>
      <x:c r="B45" s="1" t="str">
        <x:v>Yara</x:v>
      </x:c>
      <x:c r="C45" s="1" t="str">
        <x:v>customer0044@example.com</x:v>
      </x:c>
      <x:c r="D45" s="1" t="str">
        <x:v>Singapore</x:v>
      </x:c>
      <x:c r="E45" s="1" t="str">
        <x:v>2026-08-29</x:v>
      </x:c>
      <x:c r="F45" s="1" t="str">
        <x:v>2026-09-17</x:v>
      </x:c>
      <x:c r="G45" s="1" t="str">
        <x:v>1</x:v>
      </x:c>
      <x:c r="H45" s="1" t="str">
        <x:v>54.03</x:v>
      </x:c>
      <x:c r="I45" s="1" t="str">
        <x:v>12</x:v>
      </x:c>
      <x:c r="J45" s="1" t="str">
        <x:v>app</x:v>
      </x:c>
      <x:c r="K45" s="1"/>
      <x:c r="L45" s="1"/>
      <x:c r="M45" s="1"/>
      <x:c r="N45" s="1"/>
      <x:c r="O45" s="1"/>
    </x:row>
    <x:row r="46">
      <x:c r="A46" s="1" t="str">
        <x:v>C0045</x:v>
      </x:c>
      <x:c r="B46" s="1" t="str">
        <x:v>Noah</x:v>
      </x:c>
      <x:c r="C46" s="1" t="str">
        <x:v>customer0045@example.com</x:v>
      </x:c>
      <x:c r="D46" s="1" t="str">
        <x:v>USA</x:v>
      </x:c>
      <x:c r="E46" s="1" t="str">
        <x:v>2025-07-31</x:v>
      </x:c>
      <x:c r="F46" s="1" t="str">
        <x:v>2025-12-18</x:v>
      </x:c>
      <x:c r="G46" s="1" t="str">
        <x:v>1</x:v>
      </x:c>
      <x:c r="H46" s="1" t="str">
        <x:v>59.29</x:v>
      </x:c>
      <x:c r="I46" s="1" t="str">
        <x:v>11</x:v>
      </x:c>
      <x:c r="J46" s="1" t="str">
        <x:v>app</x:v>
      </x:c>
      <x:c r="K46" s="1"/>
      <x:c r="L46" s="1"/>
      <x:c r="M46" s="1"/>
      <x:c r="N46" s="1"/>
      <x:c r="O46" s="1"/>
    </x:row>
    <x:row r="47">
      <x:c r="A47" s="1" t="str">
        <x:v>C0046</x:v>
      </x:c>
      <x:c r="B47" s="1" t="str">
        <x:v>Amara</x:v>
      </x:c>
      <x:c r="C47" s="1" t="str">
        <x:v>customer0046@example.com</x:v>
      </x:c>
      <x:c r="D47" s="1" t="str">
        <x:v>UAE</x:v>
      </x:c>
      <x:c r="E47" s="1" t="str">
        <x:v>2025-07-10</x:v>
      </x:c>
      <x:c r="F47" s="1" t="str">
        <x:v>2026-02-24</x:v>
      </x:c>
      <x:c r="G47" s="1" t="str">
        <x:v>5</x:v>
      </x:c>
      <x:c r="H47" s="1" t="str">
        <x:v>1388.35</x:v>
      </x:c>
      <x:c r="I47" s="1" t="str">
        <x:v>8</x:v>
      </x:c>
      <x:c r="J47" s="1" t="str">
        <x:v>web</x:v>
      </x:c>
      <x:c r="K47" s="1"/>
      <x:c r="L47" s="1"/>
      <x:c r="M47" s="1"/>
      <x:c r="N47" s="1"/>
      <x:c r="O47" s="1"/>
    </x:row>
    <x:row r="48">
      <x:c r="A48" s="1" t="str">
        <x:v>C0047</x:v>
      </x:c>
      <x:c r="B48" s="1" t="str">
        <x:v>Aarav</x:v>
      </x:c>
      <x:c r="C48" s="1" t="str">
        <x:v>customer0047@example.com</x:v>
      </x:c>
      <x:c r="D48" s="1" t="str">
        <x:v>Brazil</x:v>
      </x:c>
      <x:c r="E48" s="1" t="str">
        <x:v>2025-08-18</x:v>
      </x:c>
      <x:c r="F48" s="1" t="str">
        <x:v>2026-08-27</x:v>
      </x:c>
      <x:c r="G48" s="1" t="str">
        <x:v>5</x:v>
      </x:c>
      <x:c r="H48" s="1" t="str">
        <x:v>422.97</x:v>
      </x:c>
      <x:c r="I48" s="1" t="str">
        <x:v>8</x:v>
      </x:c>
      <x:c r="J48" s="1" t="str">
        <x:v>web</x:v>
      </x:c>
      <x:c r="K48" s="1"/>
      <x:c r="L48" s="1"/>
      <x:c r="M48" s="1"/>
      <x:c r="N48" s="1"/>
      <x:c r="O48" s="1"/>
    </x:row>
    <x:row r="49">
      <x:c r="A49" s="1" t="str">
        <x:v>C0048</x:v>
      </x:c>
      <x:c r="B49" s="1" t="str">
        <x:v>Ines</x:v>
      </x:c>
      <x:c r="C49" s="1" t="str">
        <x:v>customer0048@example.com</x:v>
      </x:c>
      <x:c r="D49" s="1" t="str">
        <x:v>Japan</x:v>
      </x:c>
      <x:c r="E49" s="1" t="str">
        <x:v>2024-09-24</x:v>
      </x:c>
      <x:c r="F49" s="1" t="str">
        <x:v>2026-06-24</x:v>
      </x:c>
      <x:c r="G49" s="1" t="str">
        <x:v>9</x:v>
      </x:c>
      <x:c r="H49" s="1" t="str">
        <x:v>631.22</x:v>
      </x:c>
      <x:c r="I49" s="1" t="str">
        <x:v>1</x:v>
      </x:c>
      <x:c r="J49" s="1" t="str">
        <x:v>app</x:v>
      </x:c>
      <x:c r="K49" s="1"/>
      <x:c r="L49" s="1"/>
      <x:c r="M49" s="1"/>
      <x:c r="N49" s="1"/>
      <x:c r="O49" s="1"/>
    </x:row>
    <x:row r="50">
      <x:c r="A50" s="1" t="str">
        <x:v>C0049</x:v>
      </x:c>
      <x:c r="B50" s="1" t="str">
        <x:v>Maya</x:v>
      </x:c>
      <x:c r="C50" s="1" t="str">
        <x:v>customer0049@example.com</x:v>
      </x:c>
      <x:c r="D50" s="1" t="str">
        <x:v>UK</x:v>
      </x:c>
      <x:c r="E50" s="1" t="str">
        <x:v>2025-05-24</x:v>
      </x:c>
      <x:c r="F50" s="1" t="str">
        <x:v>2026-02-26</x:v>
      </x:c>
      <x:c r="G50" s="1" t="str">
        <x:v>1</x:v>
      </x:c>
      <x:c r="H50" s="1" t="str">
        <x:v>29.71</x:v>
      </x:c>
      <x:c r="I50" s="1" t="str">
        <x:v>4</x:v>
      </x:c>
      <x:c r="J50" s="1" t="str">
        <x:v>app</x:v>
      </x:c>
      <x:c r="K50" s="1"/>
      <x:c r="L50" s="1"/>
      <x:c r="M50" s="1"/>
      <x:c r="N50" s="1"/>
      <x:c r="O50" s="1"/>
    </x:row>
    <x:row r="51">
      <x:c r="A51" s="1" t="str">
        <x:v>C0050</x:v>
      </x:c>
      <x:c r="B51" s="1" t="str">
        <x:v>Diego</x:v>
      </x:c>
      <x:c r="C51" s="1" t="str">
        <x:v>customer0050@example.com</x:v>
      </x:c>
      <x:c r="D51" s="1" t="str">
        <x:v>Australia</x:v>
      </x:c>
      <x:c r="E51" s="1" t="str">
        <x:v>2024-09-02</x:v>
      </x:c>
      <x:c r="F51" s="1" t="str">
        <x:v>2026-02-11</x:v>
      </x:c>
      <x:c r="G51" s="1" t="str">
        <x:v>2</x:v>
      </x:c>
      <x:c r="H51" s="1" t="str">
        <x:v>41.14</x:v>
      </x:c>
      <x:c r="I51" s="1" t="str">
        <x:v>11</x:v>
      </x:c>
      <x:c r="J51" s="1" t="str">
        <x:v>web</x:v>
      </x:c>
      <x:c r="K51" s="1"/>
      <x:c r="L51" s="1"/>
      <x:c r="M51" s="1"/>
      <x:c r="N51" s="1"/>
      <x:c r="O51" s="1"/>
    </x:row>
    <x:row r="52">
      <x:c r="A52" s="1" t="str">
        <x:v>C0051</x:v>
      </x:c>
      <x:c r="B52" s="1" t="str">
        <x:v>Jonas</x:v>
      </x:c>
      <x:c r="C52" s="1" t="str">
        <x:v>customer0051@example.com</x:v>
      </x:c>
      <x:c r="D52" s="1" t="str">
        <x:v>Singapore</x:v>
      </x:c>
      <x:c r="E52" s="1" t="str">
        <x:v>2025-07-21</x:v>
      </x:c>
      <x:c r="F52" s="1" t="str">
        <x:v>2026-09-29</x:v>
      </x:c>
      <x:c r="G52" s="1" t="str">
        <x:v>20</x:v>
      </x:c>
      <x:c r="H52" s="1" t="str">
        <x:v>1701.13</x:v>
      </x:c>
      <x:c r="I52" s="1" t="str">
        <x:v>4</x:v>
      </x:c>
      <x:c r="J52" s="1" t="str">
        <x:v>app</x:v>
      </x:c>
      <x:c r="K52" s="1"/>
      <x:c r="L52" s="1"/>
      <x:c r="M52" s="1"/>
      <x:c r="N52" s="1"/>
      <x:c r="O52" s="1"/>
    </x:row>
    <x:row r="53">
      <x:c r="A53" s="1" t="str">
        <x:v>C0052</x:v>
      </x:c>
      <x:c r="B53" s="1" t="str">
        <x:v>Leo</x:v>
      </x:c>
      <x:c r="C53" s="1" t="str">
        <x:v>customer0052@example.com</x:v>
      </x:c>
      <x:c r="D53" s="1" t="str">
        <x:v>Germany</x:v>
      </x:c>
      <x:c r="E53" s="1" t="str">
        <x:v>2026-08-22</x:v>
      </x:c>
      <x:c r="F53" s="1" t="str">
        <x:v>2026-09-05</x:v>
      </x:c>
      <x:c r="G53" s="1" t="str">
        <x:v>2</x:v>
      </x:c>
      <x:c r="H53" s="1" t="str">
        <x:v>33.4</x:v>
      </x:c>
      <x:c r="I53" s="1" t="str">
        <x:v>1</x:v>
      </x:c>
      <x:c r="J53" s="1" t="str">
        <x:v>web</x:v>
      </x:c>
      <x:c r="K53" s="1"/>
      <x:c r="L53" s="1"/>
      <x:c r="M53" s="1"/>
      <x:c r="N53" s="1"/>
      <x:c r="O53" s="1"/>
    </x:row>
    <x:row r="54">
      <x:c r="A54" s="1" t="str">
        <x:v>C0053</x:v>
      </x:c>
      <x:c r="B54" s="1" t="str">
        <x:v>Aisha</x:v>
      </x:c>
      <x:c r="C54" s="1" t="str">
        <x:v>customer0053@example.com</x:v>
      </x:c>
      <x:c r="D54" s="1" t="str">
        <x:v>UK</x:v>
      </x:c>
      <x:c r="E54" s="1" t="str">
        <x:v>2025-12-13</x:v>
      </x:c>
      <x:c r="F54" s="1" t="str">
        <x:v>2026-09-13</x:v>
      </x:c>
      <x:c r="G54" s="1" t="str">
        <x:v>14</x:v>
      </x:c>
      <x:c r="H54" s="1" t="str">
        <x:v>2082.67</x:v>
      </x:c>
      <x:c r="I54" s="1" t="str">
        <x:v>0</x:v>
      </x:c>
      <x:c r="J54" s="1" t="str">
        <x:v>store</x:v>
      </x:c>
      <x:c r="K54" s="1"/>
      <x:c r="L54" s="1"/>
      <x:c r="M54" s="1"/>
      <x:c r="N54" s="1"/>
      <x:c r="O54" s="1"/>
    </x:row>
    <x:row r="55">
      <x:c r="A55" s="1" t="str">
        <x:v>C0054</x:v>
      </x:c>
      <x:c r="B55" s="1" t="str">
        <x:v>Lucas</x:v>
      </x:c>
      <x:c r="C55" s="1" t="str">
        <x:v>customer0054@example.com</x:v>
      </x:c>
      <x:c r="D55" s="1" t="str">
        <x:v>Germany</x:v>
      </x:c>
      <x:c r="E55" s="1" t="str">
        <x:v>2026-09-16</x:v>
      </x:c>
      <x:c r="F55" s="1" t="str">
        <x:v>2026-09-27</x:v>
      </x:c>
      <x:c r="G55" s="1" t="str">
        <x:v>1</x:v>
      </x:c>
      <x:c r="H55" s="1" t="str">
        <x:v>61.9</x:v>
      </x:c>
      <x:c r="I55" s="1" t="str">
        <x:v>10</x:v>
      </x:c>
      <x:c r="J55" s="1" t="str">
        <x:v>web</x:v>
      </x:c>
      <x:c r="K55" s="1"/>
      <x:c r="L55" s="1"/>
      <x:c r="M55" s="1"/>
      <x:c r="N55" s="1"/>
      <x:c r="O55" s="1"/>
    </x:row>
    <x:row r="56">
      <x:c r="A56" s="1" t="str">
        <x:v>C0055</x:v>
      </x:c>
      <x:c r="B56" s="1" t="str">
        <x:v>Amara</x:v>
      </x:c>
      <x:c r="C56" s="1" t="str">
        <x:v>customer0055@example.com</x:v>
      </x:c>
      <x:c r="D56" s="1" t="str">
        <x:v>Germany</x:v>
      </x:c>
      <x:c r="E56" s="1" t="str">
        <x:v>2024-06-18</x:v>
      </x:c>
      <x:c r="F56" s="1" t="str">
        <x:v>2026-05-07</x:v>
      </x:c>
      <x:c r="G56" s="1" t="str">
        <x:v>7</x:v>
      </x:c>
      <x:c r="H56" s="1" t="str">
        <x:v>762.54</x:v>
      </x:c>
      <x:c r="I56" s="1" t="str">
        <x:v>5</x:v>
      </x:c>
      <x:c r="J56" s="1" t="str">
        <x:v>app</x:v>
      </x:c>
      <x:c r="K56" s="1"/>
      <x:c r="L56" s="1"/>
      <x:c r="M56" s="1"/>
      <x:c r="N56" s="1"/>
      <x:c r="O56" s="1"/>
    </x:row>
    <x:row r="57">
      <x:c r="A57" s="1" t="str">
        <x:v>C0056</x:v>
      </x:c>
      <x:c r="B57" s="1" t="str">
        <x:v>Lina</x:v>
      </x:c>
      <x:c r="C57" s="1" t="str">
        <x:v>customer0056@example.com</x:v>
      </x:c>
      <x:c r="D57" s="1" t="str">
        <x:v>USA</x:v>
      </x:c>
      <x:c r="E57" s="1" t="str">
        <x:v>2025-01-04</x:v>
      </x:c>
      <x:c r="F57" s="1" t="str">
        <x:v>2026-06-05</x:v>
      </x:c>
      <x:c r="G57" s="1" t="str">
        <x:v>1</x:v>
      </x:c>
      <x:c r="H57" s="1" t="str">
        <x:v>18.23</x:v>
      </x:c>
      <x:c r="I57" s="1" t="str">
        <x:v>8</x:v>
      </x:c>
      <x:c r="J57" s="1" t="str">
        <x:v>web</x:v>
      </x:c>
      <x:c r="K57" s="1"/>
      <x:c r="L57" s="1"/>
      <x:c r="M57" s="1"/>
      <x:c r="N57" s="1"/>
      <x:c r="O57" s="1"/>
    </x:row>
    <x:row r="58">
      <x:c r="A58" s="1" t="str">
        <x:v>C0057</x:v>
      </x:c>
      <x:c r="B58" s="1" t="str">
        <x:v>Hana</x:v>
      </x:c>
      <x:c r="C58" s="1" t="str">
        <x:v>customer0057@example.com</x:v>
      </x:c>
      <x:c r="D58" s="1" t="str">
        <x:v>Australia</x:v>
      </x:c>
      <x:c r="E58" s="1" t="str">
        <x:v>2024-09-29</x:v>
      </x:c>
      <x:c r="F58" s="1" t="str">
        <x:v>2026-07-26</x:v>
      </x:c>
      <x:c r="G58" s="1" t="str">
        <x:v>3</x:v>
      </x:c>
      <x:c r="H58" s="1" t="str">
        <x:v>660.82</x:v>
      </x:c>
      <x:c r="I58" s="1" t="str">
        <x:v>8</x:v>
      </x:c>
      <x:c r="J58" s="1" t="str">
        <x:v>web</x:v>
      </x:c>
      <x:c r="K58" s="1"/>
      <x:c r="L58" s="1"/>
      <x:c r="M58" s="1"/>
      <x:c r="N58" s="1"/>
      <x:c r="O58" s="1"/>
    </x:row>
    <x:row r="59">
      <x:c r="A59" s="1" t="str">
        <x:v>C0058</x:v>
      </x:c>
      <x:c r="B59" s="1" t="str">
        <x:v>Lucas</x:v>
      </x:c>
      <x:c r="C59" s="1" t="str">
        <x:v>customer0058@example.com</x:v>
      </x:c>
      <x:c r="D59" s="1" t="str">
        <x:v>UK</x:v>
      </x:c>
      <x:c r="E59" s="1" t="str">
        <x:v>2025-02-01</x:v>
      </x:c>
      <x:c r="F59" s="1" t="str">
        <x:v>2026-01-17</x:v>
      </x:c>
      <x:c r="G59" s="1" t="str">
        <x:v>1</x:v>
      </x:c>
      <x:c r="H59" s="1" t="str">
        <x:v>186.93</x:v>
      </x:c>
      <x:c r="I59" s="1" t="str">
        <x:v>6</x:v>
      </x:c>
      <x:c r="J59" s="1" t="str">
        <x:v>web</x:v>
      </x:c>
      <x:c r="K59" s="1"/>
      <x:c r="L59" s="1"/>
      <x:c r="M59" s="1"/>
      <x:c r="N59" s="1"/>
      <x:c r="O59" s="1"/>
    </x:row>
    <x:row r="60">
      <x:c r="A60" s="1" t="str">
        <x:v>C0059</x:v>
      </x:c>
      <x:c r="B60" s="1" t="str">
        <x:v>Hana</x:v>
      </x:c>
      <x:c r="C60" s="1" t="str">
        <x:v>customer0059@example.com</x:v>
      </x:c>
      <x:c r="D60" s="1" t="str">
        <x:v>UK</x:v>
      </x:c>
      <x:c r="E60" s="1" t="str">
        <x:v>2025-07-31</x:v>
      </x:c>
      <x:c r="F60" s="1" t="str">
        <x:v>2026-04-18</x:v>
      </x:c>
      <x:c r="G60" s="1" t="str">
        <x:v>1</x:v>
      </x:c>
      <x:c r="H60" s="1" t="str">
        <x:v>27.38</x:v>
      </x:c>
      <x:c r="I60" s="1" t="str">
        <x:v>0</x:v>
      </x:c>
      <x:c r="J60" s="1" t="str">
        <x:v>app</x:v>
      </x:c>
      <x:c r="K60" s="1"/>
      <x:c r="L60" s="1"/>
      <x:c r="M60" s="1"/>
      <x:c r="N60" s="1"/>
      <x:c r="O60" s="1"/>
    </x:row>
    <x:row r="61">
      <x:c r="A61" s="1" t="str">
        <x:v>C0060</x:v>
      </x:c>
      <x:c r="B61" s="1" t="str">
        <x:v>Maya</x:v>
      </x:c>
      <x:c r="C61" s="1" t="str">
        <x:v>customer0060@example.com</x:v>
      </x:c>
      <x:c r="D61" s="1" t="str">
        <x:v>Australia</x:v>
      </x:c>
      <x:c r="E61" s="1" t="str">
        <x:v>2026-08-31</x:v>
      </x:c>
      <x:c r="F61" s="1" t="str">
        <x:v>2026-09-18</x:v>
      </x:c>
      <x:c r="G61" s="1" t="str">
        <x:v>2</x:v>
      </x:c>
      <x:c r="H61" s="1" t="str">
        <x:v>115.8</x:v>
      </x:c>
      <x:c r="I61" s="1" t="str">
        <x:v>2</x:v>
      </x:c>
      <x:c r="J61" s="1" t="str">
        <x:v>app</x:v>
      </x:c>
      <x:c r="K61" s="1"/>
      <x:c r="L61" s="1"/>
      <x:c r="M61" s="1"/>
      <x:c r="N61" s="1"/>
      <x:c r="O61" s="1"/>
    </x:row>
    <x:row r="62">
      <x:c r="A62" s="1" t="str">
        <x:v>C0061</x:v>
      </x:c>
      <x:c r="B62" s="1" t="str">
        <x:v>Lina</x:v>
      </x:c>
      <x:c r="C62" s="1" t="str">
        <x:v>customer0061@example.com</x:v>
      </x:c>
      <x:c r="D62" s="1" t="str">
        <x:v>Brazil</x:v>
      </x:c>
      <x:c r="E62" s="1" t="str">
        <x:v>2025-10-20</x:v>
      </x:c>
      <x:c r="F62" s="1" t="str">
        <x:v>2026-09-21</x:v>
      </x:c>
      <x:c r="G62" s="1" t="str">
        <x:v>5</x:v>
      </x:c>
      <x:c r="H62" s="1" t="str">
        <x:v>454.9</x:v>
      </x:c>
      <x:c r="I62" s="1" t="str">
        <x:v>3</x:v>
      </x:c>
      <x:c r="J62" s="1" t="str">
        <x:v>app</x:v>
      </x:c>
      <x:c r="K62" s="1"/>
      <x:c r="L62" s="1"/>
      <x:c r="M62" s="1"/>
      <x:c r="N62" s="1"/>
      <x:c r="O62" s="1"/>
    </x:row>
    <x:row r="63">
      <x:c r="A63" s="1" t="str">
        <x:v>C0062</x:v>
      </x:c>
      <x:c r="B63" s="1" t="str">
        <x:v>Ravi</x:v>
      </x:c>
      <x:c r="C63" s="1" t="str">
        <x:v>customer0062@example.com</x:v>
      </x:c>
      <x:c r="D63" s="1" t="str">
        <x:v>UAE</x:v>
      </x:c>
      <x:c r="E63" s="1" t="str">
        <x:v>2026-01-15</x:v>
      </x:c>
      <x:c r="F63" s="1" t="str">
        <x:v>2026-01-16</x:v>
      </x:c>
      <x:c r="G63" s="1" t="str">
        <x:v>1</x:v>
      </x:c>
      <x:c r="H63" s="1" t="str">
        <x:v>77.4</x:v>
      </x:c>
      <x:c r="I63" s="1" t="str">
        <x:v>1</x:v>
      </x:c>
      <x:c r="J63" s="1" t="str">
        <x:v>web</x:v>
      </x:c>
      <x:c r="K63" s="1"/>
      <x:c r="L63" s="1"/>
      <x:c r="M63" s="1"/>
      <x:c r="N63" s="1"/>
      <x:c r="O63" s="1"/>
    </x:row>
    <x:row r="64">
      <x:c r="A64" s="1" t="str">
        <x:v>C0063</x:v>
      </x:c>
      <x:c r="B64" s="1" t="str">
        <x:v>Leo</x:v>
      </x:c>
      <x:c r="C64" s="1" t="str">
        <x:v>customer0063@example.com</x:v>
      </x:c>
      <x:c r="D64" s="1" t="str">
        <x:v>Germany</x:v>
      </x:c>
      <x:c r="E64" s="1" t="str">
        <x:v>2026-08-22</x:v>
      </x:c>
      <x:c r="F64" s="1" t="str">
        <x:v>2026-08-27</x:v>
      </x:c>
      <x:c r="G64" s="1" t="str">
        <x:v>4</x:v>
      </x:c>
      <x:c r="H64" s="1" t="str">
        <x:v>553.31</x:v>
      </x:c>
      <x:c r="I64" s="1" t="str">
        <x:v>1</x:v>
      </x:c>
      <x:c r="J64" s="1" t="str">
        <x:v>app</x:v>
      </x:c>
      <x:c r="K64" s="1"/>
      <x:c r="L64" s="1"/>
      <x:c r="M64" s="1"/>
      <x:c r="N64" s="1"/>
      <x:c r="O64" s="1"/>
    </x:row>
    <x:row r="65">
      <x:c r="A65" s="1" t="str">
        <x:v>C0064</x:v>
      </x:c>
      <x:c r="B65" s="1" t="str">
        <x:v>Felix</x:v>
      </x:c>
      <x:c r="C65" s="1" t="str">
        <x:v>customer0064@example.com</x:v>
      </x:c>
      <x:c r="D65" s="1" t="str">
        <x:v>USA</x:v>
      </x:c>
      <x:c r="E65" s="1" t="str">
        <x:v>2025-08-11</x:v>
      </x:c>
      <x:c r="F65" s="1" t="str">
        <x:v>2026-06-18</x:v>
      </x:c>
      <x:c r="G65" s="1" t="str">
        <x:v>9</x:v>
      </x:c>
      <x:c r="H65" s="1" t="str">
        <x:v>275.87</x:v>
      </x:c>
      <x:c r="I65" s="1" t="str">
        <x:v>1</x:v>
      </x:c>
      <x:c r="J65" s="1" t="str">
        <x:v>store</x:v>
      </x:c>
      <x:c r="K65" s="1"/>
      <x:c r="L65" s="1"/>
      <x:c r="M65" s="1"/>
      <x:c r="N65" s="1"/>
      <x:c r="O65" s="1"/>
    </x:row>
    <x:row r="66">
      <x:c r="A66" s="1" t="str">
        <x:v>C0065</x:v>
      </x:c>
      <x:c r="B66" s="1" t="str">
        <x:v>Kenji</x:v>
      </x:c>
      <x:c r="C66" s="1" t="str">
        <x:v>customer0065@example.com</x:v>
      </x:c>
      <x:c r="D66" s="1" t="str">
        <x:v>Germany</x:v>
      </x:c>
      <x:c r="E66" s="1" t="str">
        <x:v>2024-11-15</x:v>
      </x:c>
      <x:c r="F66" s="1" t="str">
        <x:v>2026-04-05</x:v>
      </x:c>
      <x:c r="G66" s="1" t="str">
        <x:v>2</x:v>
      </x:c>
      <x:c r="H66" s="1" t="str">
        <x:v>148.75</x:v>
      </x:c>
      <x:c r="I66" s="1" t="str">
        <x:v>11</x:v>
      </x:c>
      <x:c r="J66" s="1" t="str">
        <x:v>store</x:v>
      </x:c>
      <x:c r="K66" s="1"/>
      <x:c r="L66" s="1"/>
      <x:c r="M66" s="1"/>
      <x:c r="N66" s="1"/>
      <x:c r="O66" s="1"/>
    </x:row>
    <x:row r="67">
      <x:c r="A67" s="1" t="str">
        <x:v>C0066</x:v>
      </x:c>
      <x:c r="B67" s="1" t="str">
        <x:v>Kenji</x:v>
      </x:c>
      <x:c r="C67" s="1" t="str">
        <x:v>customer0066@example.com</x:v>
      </x:c>
      <x:c r="D67" s="1" t="str">
        <x:v>Japan</x:v>
      </x:c>
      <x:c r="E67" s="1" t="str">
        <x:v>2026-08-28</x:v>
      </x:c>
      <x:c r="F67" s="1" t="str">
        <x:v>2026-09-29</x:v>
      </x:c>
      <x:c r="G67" s="1" t="str">
        <x:v>2</x:v>
      </x:c>
      <x:c r="H67" s="1" t="str">
        <x:v>137.42</x:v>
      </x:c>
      <x:c r="I67" s="1" t="str">
        <x:v>12</x:v>
      </x:c>
      <x:c r="J67" s="1" t="str">
        <x:v>store</x:v>
      </x:c>
      <x:c r="K67" s="1"/>
      <x:c r="L67" s="1"/>
      <x:c r="M67" s="1"/>
      <x:c r="N67" s="1"/>
      <x:c r="O67" s="1"/>
    </x:row>
    <x:row r="68">
      <x:c r="A68" s="1" t="str">
        <x:v>C0067</x:v>
      </x:c>
      <x:c r="B68" s="1" t="str">
        <x:v>Arjun</x:v>
      </x:c>
      <x:c r="C68" s="1" t="str">
        <x:v>customer0067@example.com</x:v>
      </x:c>
      <x:c r="D68" s="1" t="str">
        <x:v>USA</x:v>
      </x:c>
      <x:c r="E68" s="1" t="str">
        <x:v>2024-07-25</x:v>
      </x:c>
      <x:c r="F68" s="1" t="str">
        <x:v>2026-06-24</x:v>
      </x:c>
      <x:c r="G68" s="1" t="str">
        <x:v>12</x:v>
      </x:c>
      <x:c r="H68" s="1" t="str">
        <x:v>1167.66</x:v>
      </x:c>
      <x:c r="I68" s="1" t="str">
        <x:v>1</x:v>
      </x:c>
      <x:c r="J68" s="1" t="str">
        <x:v>app</x:v>
      </x:c>
      <x:c r="K68" s="1"/>
      <x:c r="L68" s="1"/>
      <x:c r="M68" s="1"/>
      <x:c r="N68" s="1"/>
      <x:c r="O68" s="1"/>
    </x:row>
    <x:row r="69">
      <x:c r="A69" s="1" t="str">
        <x:v>C0068</x:v>
      </x:c>
      <x:c r="B69" s="1" t="str">
        <x:v>Samuel</x:v>
      </x:c>
      <x:c r="C69" s="1" t="str">
        <x:v>customer0068@example.com</x:v>
      </x:c>
      <x:c r="D69" s="1" t="str">
        <x:v>Australia</x:v>
      </x:c>
      <x:c r="E69" s="1" t="str">
        <x:v>2025-08-21</x:v>
      </x:c>
      <x:c r="F69" s="1" t="str">
        <x:v>2026-09-10</x:v>
      </x:c>
      <x:c r="G69" s="1" t="str">
        <x:v>13</x:v>
      </x:c>
      <x:c r="H69" s="1" t="str">
        <x:v>2135.23</x:v>
      </x:c>
      <x:c r="I69" s="1" t="str">
        <x:v>8</x:v>
      </x:c>
      <x:c r="J69" s="1" t="str">
        <x:v>app</x:v>
      </x:c>
      <x:c r="K69" s="1"/>
      <x:c r="L69" s="1"/>
      <x:c r="M69" s="1"/>
      <x:c r="N69" s="1"/>
      <x:c r="O69" s="1"/>
    </x:row>
    <x:row r="70">
      <x:c r="A70" s="1" t="str">
        <x:v>C0069</x:v>
      </x:c>
      <x:c r="B70" s="1" t="str">
        <x:v>Noah</x:v>
      </x:c>
      <x:c r="C70" s="1" t="str">
        <x:v>customer0069@example.com</x:v>
      </x:c>
      <x:c r="D70" s="1" t="str">
        <x:v>Singapore</x:v>
      </x:c>
      <x:c r="E70" s="1" t="str">
        <x:v>2026-09-10</x:v>
      </x:c>
      <x:c r="F70" s="1" t="str">
        <x:v>2026-09-10</x:v>
      </x:c>
      <x:c r="G70" s="1" t="str">
        <x:v>1</x:v>
      </x:c>
      <x:c r="H70" s="1" t="str">
        <x:v>98.29</x:v>
      </x:c>
      <x:c r="I70" s="1" t="str">
        <x:v>11</x:v>
      </x:c>
      <x:c r="J70" s="1" t="str">
        <x:v>store</x:v>
      </x:c>
      <x:c r="K70" s="1"/>
      <x:c r="L70" s="1"/>
      <x:c r="M70" s="1"/>
      <x:c r="N70" s="1"/>
      <x:c r="O70" s="1"/>
    </x:row>
    <x:row r="71">
      <x:c r="A71" s="1" t="str">
        <x:v>C0070</x:v>
      </x:c>
      <x:c r="B71" s="1" t="str">
        <x:v>Omar</x:v>
      </x:c>
      <x:c r="C71" s="1" t="str">
        <x:v>customer0070@example.com</x:v>
      </x:c>
      <x:c r="D71" s="1" t="str">
        <x:v>Singapore</x:v>
      </x:c>
      <x:c r="E71" s="1" t="str">
        <x:v>2025-01-07</x:v>
      </x:c>
      <x:c r="F71" s="1" t="str">
        <x:v>2026-05-07</x:v>
      </x:c>
      <x:c r="G71" s="1" t="str">
        <x:v>1</x:v>
      </x:c>
      <x:c r="H71" s="1" t="str">
        <x:v>145.5</x:v>
      </x:c>
      <x:c r="I71" s="1" t="str">
        <x:v>4</x:v>
      </x:c>
      <x:c r="J71" s="1" t="str">
        <x:v>app</x:v>
      </x:c>
      <x:c r="K71" s="1"/>
      <x:c r="L71" s="1"/>
      <x:c r="M71" s="1"/>
      <x:c r="N71" s="1"/>
      <x:c r="O71" s="1"/>
    </x:row>
    <x:row r="72">
      <x:c r="A72" s="1" t="str">
        <x:v>C0071</x:v>
      </x:c>
      <x:c r="B72" s="1" t="str">
        <x:v>Priya</x:v>
      </x:c>
      <x:c r="C72" s="1" t="str">
        <x:v>customer0071@example.com</x:v>
      </x:c>
      <x:c r="D72" s="1" t="str">
        <x:v>UAE</x:v>
      </x:c>
      <x:c r="E72" s="1" t="str">
        <x:v>2026-08-26</x:v>
      </x:c>
      <x:c r="F72" s="1" t="str">
        <x:v>2026-09-24</x:v>
      </x:c>
      <x:c r="G72" s="1" t="str">
        <x:v>1</x:v>
      </x:c>
      <x:c r="H72" s="1" t="str">
        <x:v>138.37</x:v>
      </x:c>
      <x:c r="I72" s="1" t="str">
        <x:v>1</x:v>
      </x:c>
      <x:c r="J72" s="1" t="str">
        <x:v>web</x:v>
      </x:c>
      <x:c r="K72" s="1"/>
      <x:c r="L72" s="1"/>
      <x:c r="M72" s="1"/>
      <x:c r="N72" s="1"/>
      <x:c r="O72" s="1"/>
    </x:row>
    <x:row r="73">
      <x:c r="A73" s="1" t="str">
        <x:v>C0072</x:v>
      </x:c>
      <x:c r="B73" s="1" t="str">
        <x:v>Lucas</x:v>
      </x:c>
      <x:c r="C73" s="1" t="str">
        <x:v>customer0072@example.com</x:v>
      </x:c>
      <x:c r="D73" s="1" t="str">
        <x:v>Singapore</x:v>
      </x:c>
      <x:c r="E73" s="1" t="str">
        <x:v>2024-04-09</x:v>
      </x:c>
      <x:c r="F73" s="1" t="str">
        <x:v>2026-01-27</x:v>
      </x:c>
      <x:c r="G73" s="1" t="str">
        <x:v>1</x:v>
      </x:c>
      <x:c r="H73" s="1" t="str">
        <x:v>122.97</x:v>
      </x:c>
      <x:c r="I73" s="1" t="str">
        <x:v>9</x:v>
      </x:c>
      <x:c r="J73" s="1" t="str">
        <x:v>app</x:v>
      </x:c>
      <x:c r="K73" s="1"/>
      <x:c r="L73" s="1"/>
      <x:c r="M73" s="1"/>
      <x:c r="N73" s="1"/>
      <x:c r="O73" s="1"/>
    </x:row>
    <x:row r="74">
      <x:c r="A74" s="1" t="str">
        <x:v>C0073</x:v>
      </x:c>
      <x:c r="B74" s="1" t="str">
        <x:v>Priya</x:v>
      </x:c>
      <x:c r="C74" s="1" t="str">
        <x:v>customer0073@example.com</x:v>
      </x:c>
      <x:c r="D74" s="1" t="str">
        <x:v>India</x:v>
      </x:c>
      <x:c r="E74" s="1" t="str">
        <x:v>2026-08-02</x:v>
      </x:c>
      <x:c r="F74" s="1" t="str">
        <x:v>2026-08-14</x:v>
      </x:c>
      <x:c r="G74" s="1" t="str">
        <x:v>7</x:v>
      </x:c>
      <x:c r="H74" s="1" t="str">
        <x:v>597.43</x:v>
      </x:c>
      <x:c r="I74" s="1" t="str">
        <x:v>7</x:v>
      </x:c>
      <x:c r="J74" s="1" t="str">
        <x:v>web</x:v>
      </x:c>
      <x:c r="K74" s="1"/>
      <x:c r="L74" s="1"/>
      <x:c r="M74" s="1"/>
      <x:c r="N74" s="1"/>
      <x:c r="O74" s="1"/>
    </x:row>
    <x:row r="75">
      <x:c r="A75" s="1" t="str">
        <x:v>C0074</x:v>
      </x:c>
      <x:c r="B75" s="1" t="str">
        <x:v>Arjun</x:v>
      </x:c>
      <x:c r="C75" s="1" t="str">
        <x:v>customer0074@example.com</x:v>
      </x:c>
      <x:c r="D75" s="1" t="str">
        <x:v>Japan</x:v>
      </x:c>
      <x:c r="E75" s="1" t="str">
        <x:v>2025-07-11</x:v>
      </x:c>
      <x:c r="F75" s="1" t="str">
        <x:v>2026-05-04</x:v>
      </x:c>
      <x:c r="G75" s="1" t="str">
        <x:v>1</x:v>
      </x:c>
      <x:c r="H75" s="1" t="str">
        <x:v>133.25</x:v>
      </x:c>
      <x:c r="I75" s="1" t="str">
        <x:v>4</x:v>
      </x:c>
      <x:c r="J75" s="1" t="str">
        <x:v>web</x:v>
      </x:c>
      <x:c r="K75" s="1"/>
      <x:c r="L75" s="1"/>
      <x:c r="M75" s="1"/>
      <x:c r="N75" s="1"/>
      <x:c r="O75" s="1"/>
    </x:row>
    <x:row r="76">
      <x:c r="A76" s="1" t="str">
        <x:v>C0075</x:v>
      </x:c>
      <x:c r="B76" s="1" t="str">
        <x:v>Leila</x:v>
      </x:c>
      <x:c r="C76" s="1" t="str">
        <x:v>customer0075@example.com</x:v>
      </x:c>
      <x:c r="D76" s="1" t="str">
        <x:v>Australia</x:v>
      </x:c>
      <x:c r="E76" s="1" t="str">
        <x:v>2026-03-03</x:v>
      </x:c>
      <x:c r="F76" s="1" t="str">
        <x:v>2026-05-29</x:v>
      </x:c>
      <x:c r="G76" s="1" t="str">
        <x:v>11</x:v>
      </x:c>
      <x:c r="H76" s="1" t="str">
        <x:v>479.14</x:v>
      </x:c>
      <x:c r="I76" s="1" t="str">
        <x:v>0</x:v>
      </x:c>
      <x:c r="J76" s="1" t="str">
        <x:v>web</x:v>
      </x:c>
      <x:c r="K76" s="1"/>
      <x:c r="L76" s="1"/>
      <x:c r="M76" s="1"/>
      <x:c r="N76" s="1"/>
      <x:c r="O76" s="1"/>
    </x:row>
    <x:row r="77">
      <x:c r="A77" s="1" t="str">
        <x:v>C0076</x:v>
      </x:c>
      <x:c r="B77" s="1" t="str">
        <x:v>Lucas</x:v>
      </x:c>
      <x:c r="C77" s="1" t="str">
        <x:v>customer0076@example.com</x:v>
      </x:c>
      <x:c r="D77" s="1" t="str">
        <x:v>USA</x:v>
      </x:c>
      <x:c r="E77" s="1" t="str">
        <x:v>2025-01-19</x:v>
      </x:c>
      <x:c r="F77" s="1" t="str">
        <x:v>2026-02-19</x:v>
      </x:c>
      <x:c r="G77" s="1" t="str">
        <x:v>10</x:v>
      </x:c>
      <x:c r="H77" s="1" t="str">
        <x:v>1393.06</x:v>
      </x:c>
      <x:c r="I77" s="1" t="str">
        <x:v>1</x:v>
      </x:c>
      <x:c r="J77" s="1" t="str">
        <x:v>store</x:v>
      </x:c>
      <x:c r="K77" s="1"/>
      <x:c r="L77" s="1"/>
      <x:c r="M77" s="1"/>
      <x:c r="N77" s="1"/>
      <x:c r="O77" s="1"/>
    </x:row>
    <x:row r="78">
      <x:c r="A78" s="1" t="str">
        <x:v>C0077</x:v>
      </x:c>
      <x:c r="B78" s="1" t="str">
        <x:v>Kenji</x:v>
      </x:c>
      <x:c r="C78" s="1" t="str">
        <x:v>customer0077@example.com</x:v>
      </x:c>
      <x:c r="D78" s="1" t="str">
        <x:v>Nigeria</x:v>
      </x:c>
      <x:c r="E78" s="1" t="str">
        <x:v>2025-09-04</x:v>
      </x:c>
      <x:c r="F78" s="1" t="str">
        <x:v>2026-09-07</x:v>
      </x:c>
      <x:c r="G78" s="1" t="str">
        <x:v>16</x:v>
      </x:c>
      <x:c r="H78" s="1" t="str">
        <x:v>1018.89</x:v>
      </x:c>
      <x:c r="I78" s="1" t="str">
        <x:v>10</x:v>
      </x:c>
      <x:c r="J78" s="1" t="str">
        <x:v>store</x:v>
      </x:c>
      <x:c r="K78" s="1"/>
      <x:c r="L78" s="1"/>
      <x:c r="M78" s="1"/>
      <x:c r="N78" s="1"/>
      <x:c r="O78" s="1"/>
    </x:row>
    <x:row r="79">
      <x:c r="A79" s="1" t="str">
        <x:v>C0078</x:v>
      </x:c>
      <x:c r="B79" s="1" t="str">
        <x:v>Jonas</x:v>
      </x:c>
      <x:c r="C79" s="1" t="str">
        <x:v>customer0078@example.com</x:v>
      </x:c>
      <x:c r="D79" s="1" t="str">
        <x:v>Australia</x:v>
      </x:c>
      <x:c r="E79" s="1" t="str">
        <x:v>2025-04-16</x:v>
      </x:c>
      <x:c r="F79" s="1" t="str">
        <x:v>2026-09-07</x:v>
      </x:c>
      <x:c r="G79" s="1" t="str">
        <x:v>8</x:v>
      </x:c>
      <x:c r="H79" s="1" t="str">
        <x:v>455.63</x:v>
      </x:c>
      <x:c r="I79" s="1" t="str">
        <x:v>6</x:v>
      </x:c>
      <x:c r="J79" s="1" t="str">
        <x:v>app</x:v>
      </x:c>
      <x:c r="K79" s="1"/>
      <x:c r="L79" s="1"/>
      <x:c r="M79" s="1"/>
      <x:c r="N79" s="1"/>
      <x:c r="O79" s="1"/>
    </x:row>
    <x:row r="80">
      <x:c r="A80" s="1" t="str">
        <x:v>C0079</x:v>
      </x:c>
      <x:c r="B80" s="1" t="str">
        <x:v>Elena</x:v>
      </x:c>
      <x:c r="C80" s="1" t="str">
        <x:v>customer0079@example.com</x:v>
      </x:c>
      <x:c r="D80" s="1" t="str">
        <x:v>UK</x:v>
      </x:c>
      <x:c r="E80" s="1" t="str">
        <x:v>2025-09-15</x:v>
      </x:c>
      <x:c r="F80" s="1" t="str">
        <x:v>2026-07-21</x:v>
      </x:c>
      <x:c r="G80" s="1" t="str">
        <x:v>8</x:v>
      </x:c>
      <x:c r="H80" s="1" t="str">
        <x:v>515.53</x:v>
      </x:c>
      <x:c r="I80" s="1" t="str">
        <x:v>6</x:v>
      </x:c>
      <x:c r="J80" s="1" t="str">
        <x:v>web</x:v>
      </x:c>
      <x:c r="K80" s="1"/>
      <x:c r="L80" s="1"/>
      <x:c r="M80" s="1"/>
      <x:c r="N80" s="1"/>
      <x:c r="O80" s="1"/>
    </x:row>
    <x:row r="81">
      <x:c r="A81" s="1" t="str">
        <x:v>C0080</x:v>
      </x:c>
      <x:c r="B81" s="1" t="str">
        <x:v>Samuel</x:v>
      </x:c>
      <x:c r="C81" s="1" t="str">
        <x:v>customer0080@example.com</x:v>
      </x:c>
      <x:c r="D81" s="1" t="str">
        <x:v>UAE</x:v>
      </x:c>
      <x:c r="E81" s="1" t="str">
        <x:v>2025-06-17</x:v>
      </x:c>
      <x:c r="F81" s="1" t="str">
        <x:v>2026-05-29</x:v>
      </x:c>
      <x:c r="G81" s="1" t="str">
        <x:v>8</x:v>
      </x:c>
      <x:c r="H81" s="1" t="str">
        <x:v>252.0</x:v>
      </x:c>
      <x:c r="I81" s="1" t="str">
        <x:v>1</x:v>
      </x:c>
      <x:c r="J81" s="1" t="str">
        <x:v>app</x:v>
      </x:c>
      <x:c r="K81" s="1"/>
      <x:c r="L81" s="1"/>
      <x:c r="M81" s="1"/>
      <x:c r="N81" s="1"/>
      <x:c r="O81" s="1"/>
    </x:row>
    <x:row r="82">
      <x:c r="A82" s="1" t="str">
        <x:v>C0081</x:v>
      </x:c>
      <x:c r="B82" s="1" t="str">
        <x:v>Mateo</x:v>
      </x:c>
      <x:c r="C82" s="1" t="str">
        <x:v>customer0081@example.com</x:v>
      </x:c>
      <x:c r="D82" s="1" t="str">
        <x:v>UAE</x:v>
      </x:c>
      <x:c r="E82" s="1" t="str">
        <x:v>2026-08-29</x:v>
      </x:c>
      <x:c r="F82" s="1" t="str">
        <x:v>2026-09-02</x:v>
      </x:c>
      <x:c r="G82" s="1" t="str">
        <x:v>2</x:v>
      </x:c>
      <x:c r="H82" s="1" t="str">
        <x:v>60.51</x:v>
      </x:c>
      <x:c r="I82" s="1" t="str">
        <x:v>9</x:v>
      </x:c>
      <x:c r="J82" s="1" t="str">
        <x:v>app</x:v>
      </x:c>
      <x:c r="K82" s="1"/>
      <x:c r="L82" s="1"/>
      <x:c r="M82" s="1"/>
      <x:c r="N82" s="1"/>
      <x:c r="O82" s="1"/>
    </x:row>
    <x:row r="83">
      <x:c r="A83" s="1" t="str">
        <x:v>C0082</x:v>
      </x:c>
      <x:c r="B83" s="1" t="str">
        <x:v>Omar</x:v>
      </x:c>
      <x:c r="C83" s="1" t="str">
        <x:v>customer0082@example.com</x:v>
      </x:c>
      <x:c r="D83" s="1" t="str">
        <x:v>Singapore</x:v>
      </x:c>
      <x:c r="E83" s="1" t="str">
        <x:v>2026-06-10</x:v>
      </x:c>
      <x:c r="F83" s="1" t="str">
        <x:v>2026-07-29</x:v>
      </x:c>
      <x:c r="G83" s="1" t="str">
        <x:v>9</x:v>
      </x:c>
      <x:c r="H83" s="1" t="str">
        <x:v>392.61</x:v>
      </x:c>
      <x:c r="I83" s="1" t="str">
        <x:v>0</x:v>
      </x:c>
      <x:c r="J83" s="1" t="str">
        <x:v>store</x:v>
      </x:c>
      <x:c r="K83" s="1"/>
      <x:c r="L83" s="1"/>
      <x:c r="M83" s="1"/>
      <x:c r="N83" s="1"/>
      <x:c r="O83" s="1"/>
    </x:row>
    <x:row r="84">
      <x:c r="A84" s="1" t="str">
        <x:v>C0083</x:v>
      </x:c>
      <x:c r="B84" s="1" t="str">
        <x:v>Ethan</x:v>
      </x:c>
      <x:c r="C84" s="1" t="str">
        <x:v>customer0083@example.com</x:v>
      </x:c>
      <x:c r="D84" s="1" t="str">
        <x:v>Brazil</x:v>
      </x:c>
      <x:c r="E84" s="1" t="str">
        <x:v>2025-06-13</x:v>
      </x:c>
      <x:c r="F84" s="1" t="str">
        <x:v>2026-09-02</x:v>
      </x:c>
      <x:c r="G84" s="1" t="str">
        <x:v>4</x:v>
      </x:c>
      <x:c r="H84" s="1" t="str">
        <x:v>879.73</x:v>
      </x:c>
      <x:c r="I84" s="1" t="str">
        <x:v>3</x:v>
      </x:c>
      <x:c r="J84" s="1" t="str">
        <x:v>web</x:v>
      </x:c>
      <x:c r="K84" s="1"/>
      <x:c r="L84" s="1"/>
      <x:c r="M84" s="1"/>
      <x:c r="N84" s="1"/>
      <x:c r="O84" s="1"/>
    </x:row>
    <x:row r="85">
      <x:c r="A85" s="1" t="str">
        <x:v>C0084</x:v>
      </x:c>
      <x:c r="B85" s="1" t="str">
        <x:v>Mateo</x:v>
      </x:c>
      <x:c r="C85" s="1" t="str">
        <x:v>customer0084@example.com</x:v>
      </x:c>
      <x:c r="D85" s="1" t="str">
        <x:v>Japan</x:v>
      </x:c>
      <x:c r="E85" s="1" t="str">
        <x:v>2024-02-09</x:v>
      </x:c>
      <x:c r="F85" s="1" t="str">
        <x:v>2025-11-16</x:v>
      </x:c>
      <x:c r="G85" s="1" t="str">
        <x:v>1</x:v>
      </x:c>
      <x:c r="H85" s="1" t="str">
        <x:v>157.09</x:v>
      </x:c>
      <x:c r="I85" s="1" t="str">
        <x:v>8</x:v>
      </x:c>
      <x:c r="J85" s="1" t="str">
        <x:v>app</x:v>
      </x:c>
      <x:c r="K85" s="1"/>
      <x:c r="L85" s="1"/>
      <x:c r="M85" s="1"/>
      <x:c r="N85" s="1"/>
      <x:c r="O85" s="1"/>
    </x:row>
    <x:row r="86">
      <x:c r="A86" s="1" t="str">
        <x:v>C0085</x:v>
      </x:c>
      <x:c r="B86" s="1" t="str">
        <x:v>Felix</x:v>
      </x:c>
      <x:c r="C86" s="1" t="str">
        <x:v>customer0085@example.com</x:v>
      </x:c>
      <x:c r="D86" s="1" t="str">
        <x:v>Germany</x:v>
      </x:c>
      <x:c r="E86" s="1" t="str">
        <x:v>2026-09-21</x:v>
      </x:c>
      <x:c r="F86" s="1" t="str">
        <x:v>2026-09-29</x:v>
      </x:c>
      <x:c r="G86" s="1" t="str">
        <x:v>2</x:v>
      </x:c>
      <x:c r="H86" s="1" t="str">
        <x:v>92.14</x:v>
      </x:c>
      <x:c r="I86" s="1" t="str">
        <x:v>7</x:v>
      </x:c>
      <x:c r="J86" s="1" t="str">
        <x:v>app</x:v>
      </x:c>
      <x:c r="K86" s="1"/>
      <x:c r="L86" s="1"/>
      <x:c r="M86" s="1"/>
      <x:c r="N86" s="1"/>
      <x:c r="O86" s="1"/>
    </x:row>
    <x:row r="87">
      <x:c r="A87" s="1" t="str">
        <x:v>C0086</x:v>
      </x:c>
      <x:c r="B87" s="1" t="str">
        <x:v>Ines</x:v>
      </x:c>
      <x:c r="C87" s="1" t="str">
        <x:v>customer0086@example.com</x:v>
      </x:c>
      <x:c r="D87" s="1" t="str">
        <x:v>Germany</x:v>
      </x:c>
      <x:c r="E87" s="1" t="str">
        <x:v>2025-05-03</x:v>
      </x:c>
      <x:c r="F87" s="1" t="str">
        <x:v>2026-04-19</x:v>
      </x:c>
      <x:c r="G87" s="1" t="str">
        <x:v>1</x:v>
      </x:c>
      <x:c r="H87" s="1" t="str">
        <x:v>97.63</x:v>
      </x:c>
      <x:c r="I87" s="1" t="str">
        <x:v>4</x:v>
      </x:c>
      <x:c r="J87" s="1" t="str">
        <x:v>store</x:v>
      </x:c>
      <x:c r="K87" s="1"/>
      <x:c r="L87" s="1"/>
      <x:c r="M87" s="1"/>
      <x:c r="N87" s="1"/>
      <x:c r="O87" s="1"/>
    </x:row>
    <x:row r="88">
      <x:c r="A88" s="1" t="str">
        <x:v>C0087</x:v>
      </x:c>
      <x:c r="B88" s="1" t="str">
        <x:v>Ines</x:v>
      </x:c>
      <x:c r="C88" s="1" t="str">
        <x:v>customer0087@example.com</x:v>
      </x:c>
      <x:c r="D88" s="1" t="str">
        <x:v>Australia</x:v>
      </x:c>
      <x:c r="E88" s="1" t="str">
        <x:v>2026-08-26</x:v>
      </x:c>
      <x:c r="F88" s="1" t="str">
        <x:v>2026-09-10</x:v>
      </x:c>
      <x:c r="G88" s="1" t="str">
        <x:v>2</x:v>
      </x:c>
      <x:c r="H88" s="1" t="str">
        <x:v>84.99</x:v>
      </x:c>
      <x:c r="I88" s="1" t="str">
        <x:v>8</x:v>
      </x:c>
      <x:c r="J88" s="1" t="str">
        <x:v>store</x:v>
      </x:c>
      <x:c r="K88" s="1"/>
      <x:c r="L88" s="1"/>
      <x:c r="M88" s="1"/>
      <x:c r="N88" s="1"/>
      <x:c r="O88" s="1"/>
    </x:row>
    <x:row r="89">
      <x:c r="A89" s="1" t="str">
        <x:v>C0088</x:v>
      </x:c>
      <x:c r="B89" s="1" t="str">
        <x:v>Jonas</x:v>
      </x:c>
      <x:c r="C89" s="1" t="str">
        <x:v>customer0088@example.com</x:v>
      </x:c>
      <x:c r="D89" s="1" t="str">
        <x:v>Australia</x:v>
      </x:c>
      <x:c r="E89" s="1" t="str">
        <x:v>2024-12-21</x:v>
      </x:c>
      <x:c r="F89" s="1" t="str">
        <x:v>2026-05-17</x:v>
      </x:c>
      <x:c r="G89" s="1" t="str">
        <x:v>5</x:v>
      </x:c>
      <x:c r="H89" s="1" t="str">
        <x:v>336.45</x:v>
      </x:c>
      <x:c r="I89" s="1" t="str">
        <x:v>8</x:v>
      </x:c>
      <x:c r="J89" s="1" t="str">
        <x:v>app</x:v>
      </x:c>
      <x:c r="K89" s="1"/>
      <x:c r="L89" s="1"/>
      <x:c r="M89" s="1"/>
      <x:c r="N89" s="1"/>
      <x:c r="O89" s="1"/>
    </x:row>
    <x:row r="90">
      <x:c r="A90" s="1" t="str">
        <x:v>C0089</x:v>
      </x:c>
      <x:c r="B90" s="1" t="str">
        <x:v>Lucas</x:v>
      </x:c>
      <x:c r="C90" s="1" t="str">
        <x:v>customer0089@example.com</x:v>
      </x:c>
      <x:c r="D90" s="1" t="str">
        <x:v>USA</x:v>
      </x:c>
      <x:c r="E90" s="1" t="str">
        <x:v>2024-09-21</x:v>
      </x:c>
      <x:c r="F90" s="1" t="str">
        <x:v>2026-04-04</x:v>
      </x:c>
      <x:c r="G90" s="1" t="str">
        <x:v>10</x:v>
      </x:c>
      <x:c r="H90" s="1" t="str">
        <x:v>741.54</x:v>
      </x:c>
      <x:c r="I90" s="1" t="str">
        <x:v>1</x:v>
      </x:c>
      <x:c r="J90" s="1" t="str">
        <x:v>app</x:v>
      </x:c>
      <x:c r="K90" s="1"/>
      <x:c r="L90" s="1"/>
      <x:c r="M90" s="1"/>
      <x:c r="N90" s="1"/>
      <x:c r="O90" s="1"/>
    </x:row>
    <x:row r="91">
      <x:c r="A91" s="1" t="str">
        <x:v>C0090</x:v>
      </x:c>
      <x:c r="B91" s="1" t="str">
        <x:v>Yara</x:v>
      </x:c>
      <x:c r="C91" s="1" t="str">
        <x:v>customer0090@example.com</x:v>
      </x:c>
      <x:c r="D91" s="1" t="str">
        <x:v>Nigeria</x:v>
      </x:c>
      <x:c r="E91" s="1" t="str">
        <x:v>2025-12-20</x:v>
      </x:c>
      <x:c r="F91" s="1" t="str">
        <x:v>2026-09-10</x:v>
      </x:c>
      <x:c r="G91" s="1" t="str">
        <x:v>5</x:v>
      </x:c>
      <x:c r="H91" s="1" t="str">
        <x:v>367.39</x:v>
      </x:c>
      <x:c r="I91" s="1" t="str">
        <x:v>3</x:v>
      </x:c>
      <x:c r="J91" s="1" t="str">
        <x:v>app</x:v>
      </x:c>
      <x:c r="K91" s="1"/>
      <x:c r="L91" s="1"/>
      <x:c r="M91" s="1"/>
      <x:c r="N91" s="1"/>
      <x:c r="O91" s="1"/>
    </x:row>
    <x:row r="92">
      <x:c r="A92" s="1" t="str">
        <x:v>C0091</x:v>
      </x:c>
      <x:c r="B92" s="1" t="str">
        <x:v>Lucas</x:v>
      </x:c>
      <x:c r="C92" s="1" t="str">
        <x:v>customer0091@example.com</x:v>
      </x:c>
      <x:c r="D92" s="1" t="str">
        <x:v>UAE</x:v>
      </x:c>
      <x:c r="E92" s="1" t="str">
        <x:v>2026-08-15</x:v>
      </x:c>
      <x:c r="F92" s="1" t="str">
        <x:v>2026-09-17</x:v>
      </x:c>
      <x:c r="G92" s="1" t="str">
        <x:v>2</x:v>
      </x:c>
      <x:c r="H92" s="1" t="str">
        <x:v>86.22</x:v>
      </x:c>
      <x:c r="I92" s="1" t="str">
        <x:v>4</x:v>
      </x:c>
      <x:c r="J92" s="1" t="str">
        <x:v>web</x:v>
      </x:c>
      <x:c r="K92" s="1"/>
      <x:c r="L92" s="1"/>
      <x:c r="M92" s="1"/>
      <x:c r="N92" s="1"/>
      <x:c r="O92" s="1"/>
    </x:row>
    <x:row r="93">
      <x:c r="A93" s="1" t="str">
        <x:v>C0092</x:v>
      </x:c>
      <x:c r="B93" s="1" t="str">
        <x:v>Kenji</x:v>
      </x:c>
      <x:c r="C93" s="1" t="str">
        <x:v>customer0092@example.com</x:v>
      </x:c>
      <x:c r="D93" s="1" t="str">
        <x:v>Japan</x:v>
      </x:c>
      <x:c r="E93" s="1" t="str">
        <x:v>2024-10-08</x:v>
      </x:c>
      <x:c r="F93" s="1" t="str">
        <x:v>2025-10-11</x:v>
      </x:c>
      <x:c r="G93" s="1" t="str">
        <x:v>2</x:v>
      </x:c>
      <x:c r="H93" s="1" t="str">
        <x:v>115.5</x:v>
      </x:c>
      <x:c r="I93" s="1" t="str">
        <x:v>8</x:v>
      </x:c>
      <x:c r="J93" s="1" t="str">
        <x:v>store</x:v>
      </x:c>
      <x:c r="K93" s="1"/>
      <x:c r="L93" s="1"/>
      <x:c r="M93" s="1"/>
      <x:c r="N93" s="1"/>
      <x:c r="O93" s="1"/>
    </x:row>
    <x:row r="94">
      <x:c r="A94" s="1" t="str">
        <x:v>C0093</x:v>
      </x:c>
      <x:c r="B94" s="1" t="str">
        <x:v>Mateo</x:v>
      </x:c>
      <x:c r="C94" s="1" t="str">
        <x:v>customer0093@example.com</x:v>
      </x:c>
      <x:c r="D94" s="1" t="str">
        <x:v>UAE</x:v>
      </x:c>
      <x:c r="E94" s="1" t="str">
        <x:v>2025-06-24</x:v>
      </x:c>
      <x:c r="F94" s="1" t="str">
        <x:v>2026-03-05</x:v>
      </x:c>
      <x:c r="G94" s="1" t="str">
        <x:v>1</x:v>
      </x:c>
      <x:c r="H94" s="1" t="str">
        <x:v>62.43</x:v>
      </x:c>
      <x:c r="I94" s="1" t="str">
        <x:v>10</x:v>
      </x:c>
      <x:c r="J94" s="1" t="str">
        <x:v>web</x:v>
      </x:c>
      <x:c r="K94" s="1"/>
      <x:c r="L94" s="1"/>
      <x:c r="M94" s="1"/>
      <x:c r="N94" s="1"/>
      <x:c r="O94" s="1"/>
    </x:row>
    <x:row r="95">
      <x:c r="A95" s="1" t="str">
        <x:v>C0094</x:v>
      </x:c>
      <x:c r="B95" s="1" t="str">
        <x:v>Arjun</x:v>
      </x:c>
      <x:c r="C95" s="1" t="str">
        <x:v>customer0094@example.com</x:v>
      </x:c>
      <x:c r="D95" s="1" t="str">
        <x:v>Australia</x:v>
      </x:c>
      <x:c r="E95" s="1" t="str">
        <x:v>2025-01-30</x:v>
      </x:c>
      <x:c r="F95" s="1" t="str">
        <x:v>2026-04-10</x:v>
      </x:c>
      <x:c r="G95" s="1" t="str">
        <x:v>3</x:v>
      </x:c>
      <x:c r="H95" s="1" t="str">
        <x:v>396.33</x:v>
      </x:c>
      <x:c r="I95" s="1" t="str">
        <x:v>9</x:v>
      </x:c>
      <x:c r="J95" s="1" t="str">
        <x:v>web</x:v>
      </x:c>
      <x:c r="K95" s="1"/>
      <x:c r="L95" s="1"/>
      <x:c r="M95" s="1"/>
      <x:c r="N95" s="1"/>
      <x:c r="O95" s="1"/>
    </x:row>
    <x:row r="96">
      <x:c r="A96" s="1" t="str">
        <x:v>C0095</x:v>
      </x:c>
      <x:c r="B96" s="1" t="str">
        <x:v>Zara</x:v>
      </x:c>
      <x:c r="C96" s="1" t="str">
        <x:v>customer0095@example.com</x:v>
      </x:c>
      <x:c r="D96" s="1" t="str">
        <x:v>Singapore</x:v>
      </x:c>
      <x:c r="E96" s="1" t="str">
        <x:v>2025-06-16</x:v>
      </x:c>
      <x:c r="F96" s="1" t="str">
        <x:v>2026-09-18</x:v>
      </x:c>
      <x:c r="G96" s="1" t="str">
        <x:v>16</x:v>
      </x:c>
      <x:c r="H96" s="1" t="str">
        <x:v>1968.74</x:v>
      </x:c>
      <x:c r="I96" s="1" t="str">
        <x:v>3</x:v>
      </x:c>
      <x:c r="J96" s="1" t="str">
        <x:v>app</x:v>
      </x:c>
      <x:c r="K96" s="1"/>
      <x:c r="L96" s="1"/>
      <x:c r="M96" s="1"/>
      <x:c r="N96" s="1"/>
      <x:c r="O96" s="1"/>
    </x:row>
    <x:row r="97">
      <x:c r="A97" s="1" t="str">
        <x:v>C0096</x:v>
      </x:c>
      <x:c r="B97" s="1" t="str">
        <x:v>Mei</x:v>
      </x:c>
      <x:c r="C97" s="1" t="str">
        <x:v>customer0096@example.com</x:v>
      </x:c>
      <x:c r="D97" s="1" t="str">
        <x:v>Australia</x:v>
      </x:c>
      <x:c r="E97" s="1" t="str">
        <x:v>2024-11-15</x:v>
      </x:c>
      <x:c r="F97" s="1" t="str">
        <x:v>2026-09-08</x:v>
      </x:c>
      <x:c r="G97" s="1" t="str">
        <x:v>9</x:v>
      </x:c>
      <x:c r="H97" s="1" t="str">
        <x:v>705.21</x:v>
      </x:c>
      <x:c r="I97" s="1" t="str">
        <x:v>1</x:v>
      </x:c>
      <x:c r="J97" s="1" t="str">
        <x:v>store</x:v>
      </x:c>
      <x:c r="K97" s="1"/>
      <x:c r="L97" s="1"/>
      <x:c r="M97" s="1"/>
      <x:c r="N97" s="1"/>
      <x:c r="O97" s="1"/>
    </x:row>
    <x:row r="98">
      <x:c r="A98" s="1" t="str">
        <x:v>C0097</x:v>
      </x:c>
      <x:c r="B98" s="1" t="str">
        <x:v>Felix</x:v>
      </x:c>
      <x:c r="C98" s="1" t="str">
        <x:v>customer0097@example.com</x:v>
      </x:c>
      <x:c r="D98" s="1" t="str">
        <x:v>Germany</x:v>
      </x:c>
      <x:c r="E98" s="1" t="str">
        <x:v>2026-05-16</x:v>
      </x:c>
      <x:c r="F98" s="1" t="str">
        <x:v>2026-06-23</x:v>
      </x:c>
      <x:c r="G98" s="1" t="str">
        <x:v>1</x:v>
      </x:c>
      <x:c r="H98" s="1" t="str">
        <x:v>55.7</x:v>
      </x:c>
      <x:c r="I98" s="1" t="str">
        <x:v>2</x:v>
      </x:c>
      <x:c r="J98" s="1" t="str">
        <x:v>store</x:v>
      </x:c>
      <x:c r="K98" s="1"/>
      <x:c r="L98" s="1"/>
      <x:c r="M98" s="1"/>
      <x:c r="N98" s="1"/>
      <x:c r="O98" s="1"/>
    </x:row>
    <x:row r="99">
      <x:c r="A99" s="1" t="str">
        <x:v>C0098</x:v>
      </x:c>
      <x:c r="B99" s="1" t="str">
        <x:v>Leo</x:v>
      </x:c>
      <x:c r="C99" s="1" t="str">
        <x:v>customer0098@example.com</x:v>
      </x:c>
      <x:c r="D99" s="1" t="str">
        <x:v>Germany</x:v>
      </x:c>
      <x:c r="E99" s="1" t="str">
        <x:v>2026-04-18</x:v>
      </x:c>
      <x:c r="F99" s="1" t="str">
        <x:v>2026-07-28</x:v>
      </x:c>
      <x:c r="G99" s="1" t="str">
        <x:v>8</x:v>
      </x:c>
      <x:c r="H99" s="1" t="str">
        <x:v>734.69</x:v>
      </x:c>
      <x:c r="I99" s="1" t="str">
        <x:v>8</x:v>
      </x:c>
      <x:c r="J99" s="1" t="str">
        <x:v>store</x:v>
      </x:c>
      <x:c r="K99" s="1"/>
      <x:c r="L99" s="1"/>
      <x:c r="M99" s="1"/>
      <x:c r="N99" s="1"/>
      <x:c r="O99" s="1"/>
    </x:row>
    <x:row r="100">
      <x:c r="A100" s="1" t="str">
        <x:v>C0099</x:v>
      </x:c>
      <x:c r="B100" s="1" t="str">
        <x:v>Aarav</x:v>
      </x:c>
      <x:c r="C100" s="1" t="str">
        <x:v>customer0099@example.com</x:v>
      </x:c>
      <x:c r="D100" s="1" t="str">
        <x:v>Japan</x:v>
      </x:c>
      <x:c r="E100" s="1" t="str">
        <x:v>2026-08-18</x:v>
      </x:c>
      <x:c r="F100" s="1" t="str">
        <x:v>2026-08-19</x:v>
      </x:c>
      <x:c r="G100" s="1" t="str">
        <x:v>4</x:v>
      </x:c>
      <x:c r="H100" s="1" t="str">
        <x:v>753.34</x:v>
      </x:c>
      <x:c r="I100" s="1" t="str">
        <x:v>4</x:v>
      </x:c>
      <x:c r="J100" s="1" t="str">
        <x:v>web</x:v>
      </x:c>
      <x:c r="K100" s="1"/>
      <x:c r="L100" s="1"/>
      <x:c r="M100" s="1"/>
      <x:c r="N100" s="1"/>
      <x:c r="O100" s="1"/>
    </x:row>
    <x:row r="101">
      <x:c r="A101" s="1" t="str">
        <x:v>C0100</x:v>
      </x:c>
      <x:c r="B101" s="1" t="str">
        <x:v>Priya</x:v>
      </x:c>
      <x:c r="C101" s="1" t="str">
        <x:v>customer0100@example.com</x:v>
      </x:c>
      <x:c r="D101" s="1" t="str">
        <x:v>Japan</x:v>
      </x:c>
      <x:c r="E101" s="1" t="str">
        <x:v>2025-12-07</x:v>
      </x:c>
      <x:c r="F101" s="1" t="str">
        <x:v>2026-08-12</x:v>
      </x:c>
      <x:c r="G101" s="1" t="str">
        <x:v>8</x:v>
      </x:c>
      <x:c r="H101" s="1" t="str">
        <x:v>787.59</x:v>
      </x:c>
      <x:c r="I101" s="1" t="str">
        <x:v>3</x:v>
      </x:c>
      <x:c r="J101" s="1" t="str">
        <x:v>store</x:v>
      </x:c>
      <x:c r="K101" s="1"/>
      <x:c r="L101" s="1"/>
      <x:c r="M101" s="1"/>
      <x:c r="N101" s="1"/>
      <x:c r="O101" s="1"/>
    </x:row>
    <x:row r="102">
      <x:c r="A102" s="1" t="str">
        <x:v>C0101</x:v>
      </x:c>
      <x:c r="B102" s="1" t="str">
        <x:v>Aarav</x:v>
      </x:c>
      <x:c r="C102" s="1" t="str">
        <x:v>customer0101@example.com</x:v>
      </x:c>
      <x:c r="D102" s="1" t="str">
        <x:v>USA</x:v>
      </x:c>
      <x:c r="E102" s="1" t="str">
        <x:v>2026-06-05</x:v>
      </x:c>
      <x:c r="F102" s="1" t="str">
        <x:v>2026-07-31</x:v>
      </x:c>
      <x:c r="G102" s="1" t="str">
        <x:v>8</x:v>
      </x:c>
      <x:c r="H102" s="1" t="str">
        <x:v>654.75</x:v>
      </x:c>
      <x:c r="I102" s="1" t="str">
        <x:v>7</x:v>
      </x:c>
      <x:c r="J102" s="1" t="str">
        <x:v>store</x:v>
      </x:c>
      <x:c r="K102" s="1"/>
      <x:c r="L102" s="1"/>
      <x:c r="M102" s="1"/>
      <x:c r="N102" s="1"/>
      <x:c r="O102" s="1"/>
    </x:row>
    <x:row r="103">
      <x:c r="A103" s="1" t="str">
        <x:v>C0102</x:v>
      </x:c>
      <x:c r="B103" s="1" t="str">
        <x:v>Leila</x:v>
      </x:c>
      <x:c r="C103" s="1" t="str">
        <x:v>customer0102@example.com</x:v>
      </x:c>
      <x:c r="D103" s="1" t="str">
        <x:v>Brazil</x:v>
      </x:c>
      <x:c r="E103" s="1" t="str">
        <x:v>2026-09-01</x:v>
      </x:c>
      <x:c r="F103" s="1" t="str">
        <x:v>2026-09-28</x:v>
      </x:c>
      <x:c r="G103" s="1" t="str">
        <x:v>2</x:v>
      </x:c>
      <x:c r="H103" s="1" t="str">
        <x:v>56.45</x:v>
      </x:c>
      <x:c r="I103" s="1" t="str">
        <x:v>3</x:v>
      </x:c>
      <x:c r="J103" s="1" t="str">
        <x:v>web</x:v>
      </x:c>
      <x:c r="K103" s="1"/>
      <x:c r="L103" s="1"/>
      <x:c r="M103" s="1"/>
      <x:c r="N103" s="1"/>
      <x:c r="O103" s="1"/>
    </x:row>
    <x:row r="104">
      <x:c r="A104" s="1" t="str">
        <x:v>C0103</x:v>
      </x:c>
      <x:c r="B104" s="1" t="str">
        <x:v>Mateo</x:v>
      </x:c>
      <x:c r="C104" s="1" t="str">
        <x:v>customer0103@example.com</x:v>
      </x:c>
      <x:c r="D104" s="1" t="str">
        <x:v>USA</x:v>
      </x:c>
      <x:c r="E104" s="1" t="str">
        <x:v>2024-10-22</x:v>
      </x:c>
      <x:c r="F104" s="1" t="str">
        <x:v>2026-09-20</x:v>
      </x:c>
      <x:c r="G104" s="1" t="str">
        <x:v>19</x:v>
      </x:c>
      <x:c r="H104" s="1" t="str">
        <x:v>1272.89</x:v>
      </x:c>
      <x:c r="I104" s="1" t="str">
        <x:v>0</x:v>
      </x:c>
      <x:c r="J104" s="1" t="str">
        <x:v>web</x:v>
      </x:c>
      <x:c r="K104" s="1"/>
      <x:c r="L104" s="1"/>
      <x:c r="M104" s="1"/>
      <x:c r="N104" s="1"/>
      <x:c r="O104" s="1"/>
    </x:row>
    <x:row r="105">
      <x:c r="A105" s="1" t="str">
        <x:v>C0104</x:v>
      </x:c>
      <x:c r="B105" s="1" t="str">
        <x:v>Ines</x:v>
      </x:c>
      <x:c r="C105" s="1" t="str">
        <x:v>customer0104@example.com</x:v>
      </x:c>
      <x:c r="D105" s="1" t="str">
        <x:v>USA</x:v>
      </x:c>
      <x:c r="E105" s="1" t="str">
        <x:v>2026-09-02</x:v>
      </x:c>
      <x:c r="F105" s="1" t="str">
        <x:v>2026-09-14</x:v>
      </x:c>
      <x:c r="G105" s="1" t="str">
        <x:v>1</x:v>
      </x:c>
      <x:c r="H105" s="1" t="str">
        <x:v>52.83</x:v>
      </x:c>
      <x:c r="I105" s="1" t="str">
        <x:v>3</x:v>
      </x:c>
      <x:c r="J105" s="1" t="str">
        <x:v>web</x:v>
      </x:c>
      <x:c r="K105" s="1"/>
      <x:c r="L105" s="1"/>
      <x:c r="M105" s="1"/>
      <x:c r="N105" s="1"/>
      <x:c r="O105" s="1"/>
    </x:row>
    <x:row r="106">
      <x:c r="A106" s="1" t="str">
        <x:v>C0105</x:v>
      </x:c>
      <x:c r="B106" s="1" t="str">
        <x:v>Aisha</x:v>
      </x:c>
      <x:c r="C106" s="1" t="str">
        <x:v>customer0105@example.com</x:v>
      </x:c>
      <x:c r="D106" s="1" t="str">
        <x:v>UK</x:v>
      </x:c>
      <x:c r="E106" s="1" t="str">
        <x:v>2025-03-26</x:v>
      </x:c>
      <x:c r="F106" s="1" t="str">
        <x:v>2026-08-15</x:v>
      </x:c>
      <x:c r="G106" s="1" t="str">
        <x:v>3</x:v>
      </x:c>
      <x:c r="H106" s="1" t="str">
        <x:v>866.35</x:v>
      </x:c>
      <x:c r="I106" s="1" t="str">
        <x:v>3</x:v>
      </x:c>
      <x:c r="J106" s="1" t="str">
        <x:v>web</x:v>
      </x:c>
      <x:c r="K106" s="1"/>
      <x:c r="L106" s="1"/>
      <x:c r="M106" s="1"/>
      <x:c r="N106" s="1"/>
      <x:c r="O106" s="1"/>
    </x:row>
    <x:row r="107">
      <x:c r="A107" s="1" t="str">
        <x:v>C0106</x:v>
      </x:c>
      <x:c r="B107" s="1" t="str">
        <x:v>Maya</x:v>
      </x:c>
      <x:c r="C107" s="1" t="str">
        <x:v>customer0106@example.com</x:v>
      </x:c>
      <x:c r="D107" s="1" t="str">
        <x:v>USA</x:v>
      </x:c>
      <x:c r="E107" s="1" t="str">
        <x:v>2025-05-08</x:v>
      </x:c>
      <x:c r="F107" s="1" t="str">
        <x:v>2026-06-14</x:v>
      </x:c>
      <x:c r="G107" s="1" t="str">
        <x:v>12</x:v>
      </x:c>
      <x:c r="H107" s="1" t="str">
        <x:v>418.34</x:v>
      </x:c>
      <x:c r="I107" s="1" t="str">
        <x:v>0</x:v>
      </x:c>
      <x:c r="J107" s="1" t="str">
        <x:v>store</x:v>
      </x:c>
      <x:c r="K107" s="1"/>
      <x:c r="L107" s="1"/>
      <x:c r="M107" s="1"/>
      <x:c r="N107" s="1"/>
      <x:c r="O107" s="1"/>
    </x:row>
    <x:row r="108">
      <x:c r="A108" s="1" t="str">
        <x:v>C0107</x:v>
      </x:c>
      <x:c r="B108" s="1" t="str">
        <x:v>Noah</x:v>
      </x:c>
      <x:c r="C108" s="1" t="str">
        <x:v>customer0107@example.com</x:v>
      </x:c>
      <x:c r="D108" s="1" t="str">
        <x:v>Brazil</x:v>
      </x:c>
      <x:c r="E108" s="1" t="str">
        <x:v>2025-08-09</x:v>
      </x:c>
      <x:c r="F108" s="1" t="str">
        <x:v>2026-09-15</x:v>
      </x:c>
      <x:c r="G108" s="1" t="str">
        <x:v>8</x:v>
      </x:c>
      <x:c r="H108" s="1" t="str">
        <x:v>242.09</x:v>
      </x:c>
      <x:c r="I108" s="1" t="str">
        <x:v>11</x:v>
      </x:c>
      <x:c r="J108" s="1" t="str">
        <x:v>app</x:v>
      </x:c>
      <x:c r="K108" s="1"/>
      <x:c r="L108" s="1"/>
      <x:c r="M108" s="1"/>
      <x:c r="N108" s="1"/>
      <x:c r="O108" s="1"/>
    </x:row>
    <x:row r="109">
      <x:c r="A109" s="1" t="str">
        <x:v>C0108</x:v>
      </x:c>
      <x:c r="B109" s="1" t="str">
        <x:v>Leila</x:v>
      </x:c>
      <x:c r="C109" s="1" t="str">
        <x:v>customer0108@example.com</x:v>
      </x:c>
      <x:c r="D109" s="1" t="str">
        <x:v>Japan</x:v>
      </x:c>
      <x:c r="E109" s="1" t="str">
        <x:v>2024-06-01</x:v>
      </x:c>
      <x:c r="F109" s="1" t="str">
        <x:v>2026-03-31</x:v>
      </x:c>
      <x:c r="G109" s="1" t="str">
        <x:v>2</x:v>
      </x:c>
      <x:c r="H109" s="1" t="str">
        <x:v>48.37</x:v>
      </x:c>
      <x:c r="I109" s="1" t="str">
        <x:v>11</x:v>
      </x:c>
      <x:c r="J109" s="1" t="str">
        <x:v>web</x:v>
      </x:c>
      <x:c r="K109" s="1"/>
      <x:c r="L109" s="1"/>
      <x:c r="M109" s="1"/>
      <x:c r="N109" s="1"/>
      <x:c r="O109" s="1"/>
    </x:row>
    <x:row r="110">
      <x:c r="A110" s="1" t="str">
        <x:v>C0109</x:v>
      </x:c>
      <x:c r="B110" s="1" t="str">
        <x:v>Ravi</x:v>
      </x:c>
      <x:c r="C110" s="1" t="str">
        <x:v>customer0109@example.com</x:v>
      </x:c>
      <x:c r="D110" s="1" t="str">
        <x:v>Australia</x:v>
      </x:c>
      <x:c r="E110" s="1" t="str">
        <x:v>2025-08-23</x:v>
      </x:c>
      <x:c r="F110" s="1" t="str">
        <x:v>2026-09-09</x:v>
      </x:c>
      <x:c r="G110" s="1" t="str">
        <x:v>19</x:v>
      </x:c>
      <x:c r="H110" s="1" t="str">
        <x:v>1205.79</x:v>
      </x:c>
      <x:c r="I110" s="1" t="str">
        <x:v>2</x:v>
      </x:c>
      <x:c r="J110" s="1" t="str">
        <x:v>app</x:v>
      </x:c>
      <x:c r="K110" s="1"/>
      <x:c r="L110" s="1"/>
      <x:c r="M110" s="1"/>
      <x:c r="N110" s="1"/>
      <x:c r="O110" s="1"/>
    </x:row>
    <x:row r="111">
      <x:c r="A111" s="1" t="str">
        <x:v>C0110</x:v>
      </x:c>
      <x:c r="B111" s="1" t="str">
        <x:v>Lina</x:v>
      </x:c>
      <x:c r="C111" s="1" t="str">
        <x:v>customer0110@example.com</x:v>
      </x:c>
      <x:c r="D111" s="1" t="str">
        <x:v>USA</x:v>
      </x:c>
      <x:c r="E111" s="1" t="str">
        <x:v>2026-05-19</x:v>
      </x:c>
      <x:c r="F111" s="1" t="str">
        <x:v>2026-09-22</x:v>
      </x:c>
      <x:c r="G111" s="1" t="str">
        <x:v>9</x:v>
      </x:c>
      <x:c r="H111" s="1" t="str">
        <x:v>1162.35</x:v>
      </x:c>
      <x:c r="I111" s="1" t="str">
        <x:v>6</x:v>
      </x:c>
      <x:c r="J111" s="1" t="str">
        <x:v>web</x:v>
      </x:c>
      <x:c r="K111" s="1"/>
      <x:c r="L111" s="1"/>
      <x:c r="M111" s="1"/>
      <x:c r="N111" s="1"/>
      <x:c r="O111" s="1"/>
    </x:row>
    <x:row r="112">
      <x:c r="A112" s="1" t="str">
        <x:v>C0111</x:v>
      </x:c>
      <x:c r="B112" s="1" t="str">
        <x:v>Lucas</x:v>
      </x:c>
      <x:c r="C112" s="1" t="str">
        <x:v>customer0111@example.com</x:v>
      </x:c>
      <x:c r="D112" s="1" t="str">
        <x:v>Brazil</x:v>
      </x:c>
      <x:c r="E112" s="1" t="str">
        <x:v>2024-09-19</x:v>
      </x:c>
      <x:c r="F112" s="1" t="str">
        <x:v>2026-01-16</x:v>
      </x:c>
      <x:c r="G112" s="1" t="str">
        <x:v>2</x:v>
      </x:c>
      <x:c r="H112" s="1" t="str">
        <x:v>30.36</x:v>
      </x:c>
      <x:c r="I112" s="1" t="str">
        <x:v>8</x:v>
      </x:c>
      <x:c r="J112" s="1" t="str">
        <x:v>web</x:v>
      </x:c>
      <x:c r="K112" s="1"/>
      <x:c r="L112" s="1"/>
      <x:c r="M112" s="1"/>
      <x:c r="N112" s="1"/>
      <x:c r="O112" s="1"/>
    </x:row>
    <x:row r="113">
      <x:c r="A113" s="1" t="str">
        <x:v>C0112</x:v>
      </x:c>
      <x:c r="B113" s="1" t="str">
        <x:v>Felix</x:v>
      </x:c>
      <x:c r="C113" s="1" t="str">
        <x:v>customer0112@example.com</x:v>
      </x:c>
      <x:c r="D113" s="1" t="str">
        <x:v>UAE</x:v>
      </x:c>
      <x:c r="E113" s="1" t="str">
        <x:v>2026-07-06</x:v>
      </x:c>
      <x:c r="F113" s="1" t="str">
        <x:v>2026-08-06</x:v>
      </x:c>
      <x:c r="G113" s="1" t="str">
        <x:v>8</x:v>
      </x:c>
      <x:c r="H113" s="1" t="str">
        <x:v>827.9</x:v>
      </x:c>
      <x:c r="I113" s="1" t="str">
        <x:v>3</x:v>
      </x:c>
      <x:c r="J113" s="1" t="str">
        <x:v>store</x:v>
      </x:c>
      <x:c r="K113" s="1"/>
      <x:c r="L113" s="1"/>
      <x:c r="M113" s="1"/>
      <x:c r="N113" s="1"/>
      <x:c r="O113" s="1"/>
    </x:row>
    <x:row r="114">
      <x:c r="A114" s="1" t="str">
        <x:v>C0113</x:v>
      </x:c>
      <x:c r="B114" s="1" t="str">
        <x:v>Yara</x:v>
      </x:c>
      <x:c r="C114" s="1" t="str">
        <x:v>customer0113@example.com</x:v>
      </x:c>
      <x:c r="D114" s="1" t="str">
        <x:v>India</x:v>
      </x:c>
      <x:c r="E114" s="1" t="str">
        <x:v>2026-03-31</x:v>
      </x:c>
      <x:c r="F114" s="1" t="str">
        <x:v>2026-06-03</x:v>
      </x:c>
      <x:c r="G114" s="1" t="str">
        <x:v>2</x:v>
      </x:c>
      <x:c r="H114" s="1" t="str">
        <x:v>21.1</x:v>
      </x:c>
      <x:c r="I114" s="1" t="str">
        <x:v>4</x:v>
      </x:c>
      <x:c r="J114" s="1" t="str">
        <x:v>app</x:v>
      </x:c>
      <x:c r="K114" s="1"/>
      <x:c r="L114" s="1"/>
      <x:c r="M114" s="1"/>
      <x:c r="N114" s="1"/>
      <x:c r="O114" s="1"/>
    </x:row>
    <x:row r="115">
      <x:c r="A115" s="1" t="str">
        <x:v>C0114</x:v>
      </x:c>
      <x:c r="B115" s="1" t="str">
        <x:v>Aisha</x:v>
      </x:c>
      <x:c r="C115" s="1" t="str">
        <x:v>customer0114@example.com</x:v>
      </x:c>
      <x:c r="D115" s="1" t="str">
        <x:v>India</x:v>
      </x:c>
      <x:c r="E115" s="1" t="str">
        <x:v>2026-08-12</x:v>
      </x:c>
      <x:c r="F115" s="1" t="str">
        <x:v>2026-09-02</x:v>
      </x:c>
      <x:c r="G115" s="1" t="str">
        <x:v>2</x:v>
      </x:c>
      <x:c r="H115" s="1" t="str">
        <x:v>78.08</x:v>
      </x:c>
      <x:c r="I115" s="1" t="str">
        <x:v>4</x:v>
      </x:c>
      <x:c r="J115" s="1" t="str">
        <x:v>store</x:v>
      </x:c>
      <x:c r="K115" s="1"/>
      <x:c r="L115" s="1"/>
      <x:c r="M115" s="1"/>
      <x:c r="N115" s="1"/>
      <x:c r="O115" s="1"/>
    </x:row>
    <x:row r="116">
      <x:c r="A116" s="1" t="str">
        <x:v>C0115</x:v>
      </x:c>
      <x:c r="B116" s="1" t="str">
        <x:v>Leila</x:v>
      </x:c>
      <x:c r="C116" s="1" t="str">
        <x:v>customer0115@example.com</x:v>
      </x:c>
      <x:c r="D116" s="1" t="str">
        <x:v>Singapore</x:v>
      </x:c>
      <x:c r="E116" s="1" t="str">
        <x:v>2026-08-13</x:v>
      </x:c>
      <x:c r="F116" s="1" t="str">
        <x:v>2026-09-20</x:v>
      </x:c>
      <x:c r="G116" s="1" t="str">
        <x:v>2</x:v>
      </x:c>
      <x:c r="H116" s="1" t="str">
        <x:v>67.58</x:v>
      </x:c>
      <x:c r="I116" s="1" t="str">
        <x:v>0</x:v>
      </x:c>
      <x:c r="J116" s="1" t="str">
        <x:v>app</x:v>
      </x:c>
      <x:c r="K116" s="1"/>
      <x:c r="L116" s="1"/>
      <x:c r="M116" s="1"/>
      <x:c r="N116" s="1"/>
      <x:c r="O116" s="1"/>
    </x:row>
    <x:row r="117">
      <x:c r="A117" s="1" t="str">
        <x:v>C0116</x:v>
      </x:c>
      <x:c r="B117" s="1" t="str">
        <x:v>Yara</x:v>
      </x:c>
      <x:c r="C117" s="1" t="str">
        <x:v>customer0116@example.com</x:v>
      </x:c>
      <x:c r="D117" s="1" t="str">
        <x:v>Germany</x:v>
      </x:c>
      <x:c r="E117" s="1" t="str">
        <x:v>2025-08-09</x:v>
      </x:c>
      <x:c r="F117" s="1" t="str">
        <x:v>2026-09-08</x:v>
      </x:c>
      <x:c r="G117" s="1" t="str">
        <x:v>15</x:v>
      </x:c>
      <x:c r="H117" s="1" t="str">
        <x:v>2126.26</x:v>
      </x:c>
      <x:c r="I117" s="1" t="str">
        <x:v>6</x:v>
      </x:c>
      <x:c r="J117" s="1" t="str">
        <x:v>web</x:v>
      </x:c>
      <x:c r="K117" s="1"/>
      <x:c r="L117" s="1"/>
      <x:c r="M117" s="1"/>
      <x:c r="N117" s="1"/>
      <x:c r="O117" s="1"/>
    </x:row>
    <x:row r="118">
      <x:c r="A118" s="1" t="str">
        <x:v>C0117</x:v>
      </x:c>
      <x:c r="B118" s="1" t="str">
        <x:v>Samuel</x:v>
      </x:c>
      <x:c r="C118" s="1" t="str">
        <x:v>customer0117@example.com</x:v>
      </x:c>
      <x:c r="D118" s="1" t="str">
        <x:v>UK</x:v>
      </x:c>
      <x:c r="E118" s="1" t="str">
        <x:v>2025-09-13</x:v>
      </x:c>
      <x:c r="F118" s="1" t="str">
        <x:v>2026-07-20</x:v>
      </x:c>
      <x:c r="G118" s="1" t="str">
        <x:v>4</x:v>
      </x:c>
      <x:c r="H118" s="1" t="str">
        <x:v>206.09</x:v>
      </x:c>
      <x:c r="I118" s="1" t="str">
        <x:v>9</x:v>
      </x:c>
      <x:c r="J118" s="1" t="str">
        <x:v>app</x:v>
      </x:c>
      <x:c r="K118" s="1"/>
      <x:c r="L118" s="1"/>
      <x:c r="M118" s="1"/>
      <x:c r="N118" s="1"/>
      <x:c r="O118" s="1"/>
    </x:row>
    <x:row r="119">
      <x:c r="A119" s="1" t="str">
        <x:v>C0118</x:v>
      </x:c>
      <x:c r="B119" s="1" t="str">
        <x:v>Leo</x:v>
      </x:c>
      <x:c r="C119" s="1" t="str">
        <x:v>customer0118@example.com</x:v>
      </x:c>
      <x:c r="D119" s="1" t="str">
        <x:v>Japan</x:v>
      </x:c>
      <x:c r="E119" s="1" t="str">
        <x:v>2024-12-10</x:v>
      </x:c>
      <x:c r="F119" s="1" t="str">
        <x:v>2026-08-12</x:v>
      </x:c>
      <x:c r="G119" s="1" t="str">
        <x:v>6</x:v>
      </x:c>
      <x:c r="H119" s="1" t="str">
        <x:v>453.3</x:v>
      </x:c>
      <x:c r="I119" s="1" t="str">
        <x:v>3</x:v>
      </x:c>
      <x:c r="J119" s="1" t="str">
        <x:v>web</x:v>
      </x:c>
      <x:c r="K119" s="1"/>
      <x:c r="L119" s="1"/>
      <x:c r="M119" s="1"/>
      <x:c r="N119" s="1"/>
      <x:c r="O119" s="1"/>
    </x:row>
    <x:row r="120">
      <x:c r="A120" s="1" t="str">
        <x:v>C0119</x:v>
      </x:c>
      <x:c r="B120" s="1" t="str">
        <x:v>Priya</x:v>
      </x:c>
      <x:c r="C120" s="1" t="str">
        <x:v>customer0119@example.com</x:v>
      </x:c>
      <x:c r="D120" s="1" t="str">
        <x:v>Japan</x:v>
      </x:c>
      <x:c r="E120" s="1" t="str">
        <x:v>2026-01-14</x:v>
      </x:c>
      <x:c r="F120" s="1" t="str">
        <x:v>2026-02-17</x:v>
      </x:c>
      <x:c r="G120" s="1" t="str">
        <x:v>2</x:v>
      </x:c>
      <x:c r="H120" s="1" t="str">
        <x:v>26.33</x:v>
      </x:c>
      <x:c r="I120" s="1" t="str">
        <x:v>8</x:v>
      </x:c>
      <x:c r="J120" s="1" t="str">
        <x:v>web</x:v>
      </x:c>
      <x:c r="K120" s="1"/>
      <x:c r="L120" s="1"/>
      <x:c r="M120" s="1"/>
      <x:c r="N120" s="1"/>
      <x:c r="O120" s="1"/>
    </x:row>
    <x:row r="121">
      <x:c r="A121" s="1" t="str">
        <x:v>C0120</x:v>
      </x:c>
      <x:c r="B121" s="1" t="str">
        <x:v>Aisha</x:v>
      </x:c>
      <x:c r="C121" s="1" t="str">
        <x:v>customer0120@example.com</x:v>
      </x:c>
      <x:c r="D121" s="1" t="str">
        <x:v>Singapore</x:v>
      </x:c>
      <x:c r="E121" s="1" t="str">
        <x:v>2025-10-31</x:v>
      </x:c>
      <x:c r="F121" s="1" t="str">
        <x:v>2026-07-29</x:v>
      </x:c>
      <x:c r="G121" s="1" t="str">
        <x:v>3</x:v>
      </x:c>
      <x:c r="H121" s="1" t="str">
        <x:v>891.48</x:v>
      </x:c>
      <x:c r="I121" s="1" t="str">
        <x:v>3</x:v>
      </x:c>
      <x:c r="J121" s="1" t="str">
        <x:v>app</x:v>
      </x:c>
      <x:c r="K121" s="1"/>
      <x:c r="L121" s="1"/>
      <x:c r="M121" s="1"/>
      <x:c r="N121" s="1"/>
      <x:c r="O121" s="1"/>
    </x:row>
    <x:row r="122">
      <x:c r="A122" s="1" t="str">
        <x:v>C0121</x:v>
      </x:c>
      <x:c r="B122" s="1" t="str">
        <x:v>Noah</x:v>
      </x:c>
      <x:c r="C122" s="1" t="str">
        <x:v>customer0121@example.com</x:v>
      </x:c>
      <x:c r="D122" s="1" t="str">
        <x:v>Nigeria</x:v>
      </x:c>
      <x:c r="E122" s="1" t="str">
        <x:v>2025-01-04</x:v>
      </x:c>
      <x:c r="F122" s="1" t="str">
        <x:v>2026-03-06</x:v>
      </x:c>
      <x:c r="G122" s="1" t="str">
        <x:v>5</x:v>
      </x:c>
      <x:c r="H122" s="1" t="str">
        <x:v>519.33</x:v>
      </x:c>
      <x:c r="I122" s="1" t="str">
        <x:v>10</x:v>
      </x:c>
      <x:c r="J122" s="1" t="str">
        <x:v>app</x:v>
      </x:c>
      <x:c r="K122" s="1"/>
      <x:c r="L122" s="1"/>
      <x:c r="M122" s="1"/>
      <x:c r="N122" s="1"/>
      <x:c r="O122" s="1"/>
    </x:row>
    <x:row r="123">
      <x:c r="A123" s="1" t="str">
        <x:v>C0122</x:v>
      </x:c>
      <x:c r="B123" s="1" t="str">
        <x:v>Ines</x:v>
      </x:c>
      <x:c r="C123" s="1" t="str">
        <x:v>customer0122@example.com</x:v>
      </x:c>
      <x:c r="D123" s="1" t="str">
        <x:v>Germany</x:v>
      </x:c>
      <x:c r="E123" s="1" t="str">
        <x:v>2026-08-16</x:v>
      </x:c>
      <x:c r="F123" s="1" t="str">
        <x:v>2026-09-03</x:v>
      </x:c>
      <x:c r="G123" s="1" t="str">
        <x:v>1</x:v>
      </x:c>
      <x:c r="H123" s="1" t="str">
        <x:v>144.76</x:v>
      </x:c>
      <x:c r="I123" s="1" t="str">
        <x:v>9</x:v>
      </x:c>
      <x:c r="J123" s="1" t="str">
        <x:v>web</x:v>
      </x:c>
      <x:c r="K123" s="1"/>
      <x:c r="L123" s="1"/>
      <x:c r="M123" s="1"/>
      <x:c r="N123" s="1"/>
      <x:c r="O123" s="1"/>
    </x:row>
    <x:row r="124">
      <x:c r="A124" s="1" t="str">
        <x:v>C0123</x:v>
      </x:c>
      <x:c r="B124" s="1" t="str">
        <x:v>Zara</x:v>
      </x:c>
      <x:c r="C124" s="1" t="str">
        <x:v>customer0123@example.com</x:v>
      </x:c>
      <x:c r="D124" s="1" t="str">
        <x:v>USA</x:v>
      </x:c>
      <x:c r="E124" s="1" t="str">
        <x:v>2025-10-15</x:v>
      </x:c>
      <x:c r="F124" s="1" t="str">
        <x:v>2026-04-23</x:v>
      </x:c>
      <x:c r="G124" s="1" t="str">
        <x:v>6</x:v>
      </x:c>
      <x:c r="H124" s="1" t="str">
        <x:v>755.31</x:v>
      </x:c>
      <x:c r="I124" s="1" t="str">
        <x:v>2</x:v>
      </x:c>
      <x:c r="J124" s="1" t="str">
        <x:v>web</x:v>
      </x:c>
      <x:c r="K124" s="1"/>
      <x:c r="L124" s="1"/>
      <x:c r="M124" s="1"/>
      <x:c r="N124" s="1"/>
      <x:c r="O124" s="1"/>
    </x:row>
    <x:row r="125">
      <x:c r="A125" s="1" t="str">
        <x:v>C0124</x:v>
      </x:c>
      <x:c r="B125" s="1" t="str">
        <x:v>Zara</x:v>
      </x:c>
      <x:c r="C125" s="1" t="str">
        <x:v>customer0124@example.com</x:v>
      </x:c>
      <x:c r="D125" s="1" t="str">
        <x:v>Japan</x:v>
      </x:c>
      <x:c r="E125" s="1" t="str">
        <x:v>2025-07-05</x:v>
      </x:c>
      <x:c r="F125" s="1" t="str">
        <x:v>2026-03-19</x:v>
      </x:c>
      <x:c r="G125" s="1" t="str">
        <x:v>2</x:v>
      </x:c>
      <x:c r="H125" s="1" t="str">
        <x:v>26.34</x:v>
      </x:c>
      <x:c r="I125" s="1" t="str">
        <x:v>8</x:v>
      </x:c>
      <x:c r="J125" s="1" t="str">
        <x:v>app</x:v>
      </x:c>
      <x:c r="K125" s="1"/>
      <x:c r="L125" s="1"/>
      <x:c r="M125" s="1"/>
      <x:c r="N125" s="1"/>
      <x:c r="O125" s="1"/>
    </x:row>
    <x:row r="126">
      <x:c r="A126" s="1" t="str">
        <x:v>C0125</x:v>
      </x:c>
      <x:c r="B126" s="1" t="str">
        <x:v>Aarav</x:v>
      </x:c>
      <x:c r="C126" s="1" t="str">
        <x:v>customer0125@example.com</x:v>
      </x:c>
      <x:c r="D126" s="1" t="str">
        <x:v>Australia</x:v>
      </x:c>
      <x:c r="E126" s="1" t="str">
        <x:v>2026-09-21</x:v>
      </x:c>
      <x:c r="F126" s="1" t="str">
        <x:v>2026-09-27</x:v>
      </x:c>
      <x:c r="G126" s="1" t="str">
        <x:v>2</x:v>
      </x:c>
      <x:c r="H126" s="1" t="str">
        <x:v>178.55</x:v>
      </x:c>
      <x:c r="I126" s="1" t="str">
        <x:v>3</x:v>
      </x:c>
      <x:c r="J126" s="1" t="str">
        <x:v>web</x:v>
      </x:c>
      <x:c r="K126" s="1"/>
      <x:c r="L126" s="1"/>
      <x:c r="M126" s="1"/>
      <x:c r="N126" s="1"/>
      <x:c r="O126" s="1"/>
    </x:row>
    <x:row r="127">
      <x:c r="A127" s="1" t="str">
        <x:v>C0126</x:v>
      </x:c>
      <x:c r="B127" s="1" t="str">
        <x:v>Lucas</x:v>
      </x:c>
      <x:c r="C127" s="1" t="str">
        <x:v>customer0126@example.com</x:v>
      </x:c>
      <x:c r="D127" s="1" t="str">
        <x:v>Nigeria</x:v>
      </x:c>
      <x:c r="E127" s="1" t="str">
        <x:v>2026-04-13</x:v>
      </x:c>
      <x:c r="F127" s="1" t="str">
        <x:v>2026-06-03</x:v>
      </x:c>
      <x:c r="G127" s="1" t="str">
        <x:v>2</x:v>
      </x:c>
      <x:c r="H127" s="1" t="str">
        <x:v>55.76</x:v>
      </x:c>
      <x:c r="I127" s="1" t="str">
        <x:v>9</x:v>
      </x:c>
      <x:c r="J127" s="1" t="str">
        <x:v>app</x:v>
      </x:c>
      <x:c r="K127" s="1"/>
      <x:c r="L127" s="1"/>
      <x:c r="M127" s="1"/>
      <x:c r="N127" s="1"/>
      <x:c r="O127" s="1"/>
    </x:row>
    <x:row r="128">
      <x:c r="A128" s="1" t="str">
        <x:v>C0127</x:v>
      </x:c>
      <x:c r="B128" s="1" t="str">
        <x:v>Kai</x:v>
      </x:c>
      <x:c r="C128" s="1" t="str">
        <x:v>customer0127@example.com</x:v>
      </x:c>
      <x:c r="D128" s="1" t="str">
        <x:v>India</x:v>
      </x:c>
      <x:c r="E128" s="1" t="str">
        <x:v>2025-03-24</x:v>
      </x:c>
      <x:c r="F128" s="1" t="str">
        <x:v>2025-12-15</x:v>
      </x:c>
      <x:c r="G128" s="1" t="str">
        <x:v>1</x:v>
      </x:c>
      <x:c r="H128" s="1" t="str">
        <x:v>93.59</x:v>
      </x:c>
      <x:c r="I128" s="1" t="str">
        <x:v>1</x:v>
      </x:c>
      <x:c r="J128" s="1" t="str">
        <x:v>store</x:v>
      </x:c>
      <x:c r="K128" s="1"/>
      <x:c r="L128" s="1"/>
      <x:c r="M128" s="1"/>
      <x:c r="N128" s="1"/>
      <x:c r="O128" s="1"/>
    </x:row>
    <x:row r="129">
      <x:c r="A129" s="1" t="str">
        <x:v>C0128</x:v>
      </x:c>
      <x:c r="B129" s="1" t="str">
        <x:v>Ravi</x:v>
      </x:c>
      <x:c r="C129" s="1" t="str">
        <x:v>customer0128@example.com</x:v>
      </x:c>
      <x:c r="D129" s="1" t="str">
        <x:v>UK</x:v>
      </x:c>
      <x:c r="E129" s="1" t="str">
        <x:v>2026-08-19</x:v>
      </x:c>
      <x:c r="F129" s="1" t="str">
        <x:v>2026-09-11</x:v>
      </x:c>
      <x:c r="G129" s="1" t="str">
        <x:v>2</x:v>
      </x:c>
      <x:c r="H129" s="1" t="str">
        <x:v>54.82</x:v>
      </x:c>
      <x:c r="I129" s="1" t="str">
        <x:v>0</x:v>
      </x:c>
      <x:c r="J129" s="1" t="str">
        <x:v>app</x:v>
      </x:c>
      <x:c r="K129" s="1"/>
      <x:c r="L129" s="1"/>
      <x:c r="M129" s="1"/>
      <x:c r="N129" s="1"/>
      <x:c r="O129" s="1"/>
    </x:row>
    <x:row r="130">
      <x:c r="A130" s="1" t="str">
        <x:v>C0129</x:v>
      </x:c>
      <x:c r="B130" s="1" t="str">
        <x:v>Hana</x:v>
      </x:c>
      <x:c r="C130" s="1" t="str">
        <x:v>customer0129@example.com</x:v>
      </x:c>
      <x:c r="D130" s="1" t="str">
        <x:v>Brazil</x:v>
      </x:c>
      <x:c r="E130" s="1" t="str">
        <x:v>2025-07-04</x:v>
      </x:c>
      <x:c r="F130" s="1" t="str">
        <x:v>2026-06-04</x:v>
      </x:c>
      <x:c r="G130" s="1" t="str">
        <x:v>1</x:v>
      </x:c>
      <x:c r="H130" s="1" t="str">
        <x:v>157.58</x:v>
      </x:c>
      <x:c r="I130" s="1" t="str">
        <x:v>2</x:v>
      </x:c>
      <x:c r="J130" s="1" t="str">
        <x:v>store</x:v>
      </x:c>
      <x:c r="K130" s="1"/>
      <x:c r="L130" s="1"/>
      <x:c r="M130" s="1"/>
      <x:c r="N130" s="1"/>
      <x:c r="O130" s="1"/>
    </x:row>
    <x:row r="131">
      <x:c r="A131" s="1" t="str">
        <x:v>C0130</x:v>
      </x:c>
      <x:c r="B131" s="1" t="str">
        <x:v>Priya</x:v>
      </x:c>
      <x:c r="C131" s="1" t="str">
        <x:v>customer0130@example.com</x:v>
      </x:c>
      <x:c r="D131" s="1" t="str">
        <x:v>Singapore</x:v>
      </x:c>
      <x:c r="E131" s="1" t="str">
        <x:v>2025-02-11</x:v>
      </x:c>
      <x:c r="F131" s="1" t="str">
        <x:v>2026-08-26</x:v>
      </x:c>
      <x:c r="G131" s="1" t="str">
        <x:v>3</x:v>
      </x:c>
      <x:c r="H131" s="1" t="str">
        <x:v>756.7</x:v>
      </x:c>
      <x:c r="I131" s="1" t="str">
        <x:v>6</x:v>
      </x:c>
      <x:c r="J131" s="1" t="str">
        <x:v>app</x:v>
      </x:c>
      <x:c r="K131" s="1"/>
      <x:c r="L131" s="1"/>
      <x:c r="M131" s="1"/>
      <x:c r="N131" s="1"/>
      <x:c r="O131" s="1"/>
    </x:row>
    <x:row r="132">
      <x:c r="A132" s="1" t="str">
        <x:v>C0131</x:v>
      </x:c>
      <x:c r="B132" s="1" t="str">
        <x:v>Arjun</x:v>
      </x:c>
      <x:c r="C132" s="1" t="str">
        <x:v>customer0131@example.com</x:v>
      </x:c>
      <x:c r="D132" s="1" t="str">
        <x:v>Germany</x:v>
      </x:c>
      <x:c r="E132" s="1" t="str">
        <x:v>2025-02-22</x:v>
      </x:c>
      <x:c r="F132" s="1" t="str">
        <x:v>2026-04-05</x:v>
      </x:c>
      <x:c r="G132" s="1" t="str">
        <x:v>1</x:v>
      </x:c>
      <x:c r="H132" s="1" t="str">
        <x:v>129.29</x:v>
      </x:c>
      <x:c r="I132" s="1" t="str">
        <x:v>6</x:v>
      </x:c>
      <x:c r="J132" s="1" t="str">
        <x:v>web</x:v>
      </x:c>
      <x:c r="K132" s="1"/>
      <x:c r="L132" s="1"/>
      <x:c r="M132" s="1"/>
      <x:c r="N132" s="1"/>
      <x:c r="O132" s="1"/>
    </x:row>
    <x:row r="133">
      <x:c r="A133" s="1" t="str">
        <x:v>C0132</x:v>
      </x:c>
      <x:c r="B133" s="1" t="str">
        <x:v>Jonas</x:v>
      </x:c>
      <x:c r="C133" s="1" t="str">
        <x:v>customer0132@example.com</x:v>
      </x:c>
      <x:c r="D133" s="1" t="str">
        <x:v>Brazil</x:v>
      </x:c>
      <x:c r="E133" s="1" t="str">
        <x:v>2026-08-12</x:v>
      </x:c>
      <x:c r="F133" s="1" t="str">
        <x:v>2026-09-17</x:v>
      </x:c>
      <x:c r="G133" s="1" t="str">
        <x:v>1</x:v>
      </x:c>
      <x:c r="H133" s="1" t="str">
        <x:v>69.98</x:v>
      </x:c>
      <x:c r="I133" s="1" t="str">
        <x:v>6</x:v>
      </x:c>
      <x:c r="J133" s="1" t="str">
        <x:v>web</x:v>
      </x:c>
      <x:c r="K133" s="1"/>
      <x:c r="L133" s="1"/>
      <x:c r="M133" s="1"/>
      <x:c r="N133" s="1"/>
      <x:c r="O133" s="1"/>
    </x:row>
    <x:row r="134">
      <x:c r="A134" s="1" t="str">
        <x:v>C0133</x:v>
      </x:c>
      <x:c r="B134" s="1" t="str">
        <x:v>Mateo</x:v>
      </x:c>
      <x:c r="C134" s="1" t="str">
        <x:v>customer0133@example.com</x:v>
      </x:c>
      <x:c r="D134" s="1" t="str">
        <x:v>UAE</x:v>
      </x:c>
      <x:c r="E134" s="1" t="str">
        <x:v>2026-02-17</x:v>
      </x:c>
      <x:c r="F134" s="1" t="str">
        <x:v>2026-09-06</x:v>
      </x:c>
      <x:c r="G134" s="1" t="str">
        <x:v>20</x:v>
      </x:c>
      <x:c r="H134" s="1" t="str">
        <x:v>1182.05</x:v>
      </x:c>
      <x:c r="I134" s="1" t="str">
        <x:v>3</x:v>
      </x:c>
      <x:c r="J134" s="1" t="str">
        <x:v>app</x:v>
      </x:c>
      <x:c r="K134" s="1"/>
      <x:c r="L134" s="1"/>
      <x:c r="M134" s="1"/>
      <x:c r="N134" s="1"/>
      <x:c r="O134" s="1"/>
    </x:row>
    <x:row r="135">
      <x:c r="A135" s="1" t="str">
        <x:v>C0134</x:v>
      </x:c>
      <x:c r="B135" s="1" t="str">
        <x:v>Mateo</x:v>
      </x:c>
      <x:c r="C135" s="1" t="str">
        <x:v>customer0134@example.com</x:v>
      </x:c>
      <x:c r="D135" s="1" t="str">
        <x:v>Nigeria</x:v>
      </x:c>
      <x:c r="E135" s="1" t="str">
        <x:v>2026-02-16</x:v>
      </x:c>
      <x:c r="F135" s="1" t="str">
        <x:v>2026-05-19</x:v>
      </x:c>
      <x:c r="G135" s="1" t="str">
        <x:v>9</x:v>
      </x:c>
      <x:c r="H135" s="1" t="str">
        <x:v>380.57</x:v>
      </x:c>
      <x:c r="I135" s="1" t="str">
        <x:v>5</x:v>
      </x:c>
      <x:c r="J135" s="1" t="str">
        <x:v>web</x:v>
      </x:c>
      <x:c r="K135" s="1"/>
      <x:c r="L135" s="1"/>
      <x:c r="M135" s="1"/>
      <x:c r="N135" s="1"/>
      <x:c r="O135" s="1"/>
    </x:row>
    <x:row r="136">
      <x:c r="A136" s="1" t="str">
        <x:v>C0135</x:v>
      </x:c>
      <x:c r="B136" s="1" t="str">
        <x:v>Felix</x:v>
      </x:c>
      <x:c r="C136" s="1" t="str">
        <x:v>customer0135@example.com</x:v>
      </x:c>
      <x:c r="D136" s="1" t="str">
        <x:v>UAE</x:v>
      </x:c>
      <x:c r="E136" s="1" t="str">
        <x:v>2025-11-24</x:v>
      </x:c>
      <x:c r="F136" s="1" t="str">
        <x:v>2026-04-18</x:v>
      </x:c>
      <x:c r="G136" s="1" t="str">
        <x:v>1</x:v>
      </x:c>
      <x:c r="H136" s="1" t="str">
        <x:v>24.05</x:v>
      </x:c>
      <x:c r="I136" s="1" t="str">
        <x:v>1</x:v>
      </x:c>
      <x:c r="J136" s="1" t="str">
        <x:v>store</x:v>
      </x:c>
      <x:c r="K136" s="1"/>
      <x:c r="L136" s="1"/>
      <x:c r="M136" s="1"/>
      <x:c r="N136" s="1"/>
      <x:c r="O136" s="1"/>
    </x:row>
    <x:row r="137">
      <x:c r="A137" s="1" t="str">
        <x:v>C0136</x:v>
      </x:c>
      <x:c r="B137" s="1" t="str">
        <x:v>Amara</x:v>
      </x:c>
      <x:c r="C137" s="1" t="str">
        <x:v>customer0136@example.com</x:v>
      </x:c>
      <x:c r="D137" s="1" t="str">
        <x:v>Japan</x:v>
      </x:c>
      <x:c r="E137" s="1" t="str">
        <x:v>2026-09-01</x:v>
      </x:c>
      <x:c r="F137" s="1" t="str">
        <x:v>2026-09-19</x:v>
      </x:c>
      <x:c r="G137" s="1" t="str">
        <x:v>1</x:v>
      </x:c>
      <x:c r="H137" s="1" t="str">
        <x:v>43.34</x:v>
      </x:c>
      <x:c r="I137" s="1" t="str">
        <x:v>2</x:v>
      </x:c>
      <x:c r="J137" s="1" t="str">
        <x:v>app</x:v>
      </x:c>
      <x:c r="K137" s="1"/>
      <x:c r="L137" s="1"/>
      <x:c r="M137" s="1"/>
      <x:c r="N137" s="1"/>
      <x:c r="O137" s="1"/>
    </x:row>
    <x:row r="138">
      <x:c r="A138" s="1" t="str">
        <x:v>C0137</x:v>
      </x:c>
      <x:c r="B138" s="1" t="str">
        <x:v>Ines</x:v>
      </x:c>
      <x:c r="C138" s="1" t="str">
        <x:v>customer0137@example.com</x:v>
      </x:c>
      <x:c r="D138" s="1" t="str">
        <x:v>UK</x:v>
      </x:c>
      <x:c r="E138" s="1" t="str">
        <x:v>2026-02-25</x:v>
      </x:c>
      <x:c r="F138" s="1" t="str">
        <x:v>2026-09-15</x:v>
      </x:c>
      <x:c r="G138" s="1" t="str">
        <x:v>20</x:v>
      </x:c>
      <x:c r="H138" s="1" t="str">
        <x:v>1887.7</x:v>
      </x:c>
      <x:c r="I138" s="1" t="str">
        <x:v>0</x:v>
      </x:c>
      <x:c r="J138" s="1" t="str">
        <x:v>web</x:v>
      </x:c>
      <x:c r="K138" s="1"/>
      <x:c r="L138" s="1"/>
      <x:c r="M138" s="1"/>
      <x:c r="N138" s="1"/>
      <x:c r="O138" s="1"/>
    </x:row>
    <x:row r="139">
      <x:c r="A139" s="1" t="str">
        <x:v>C0138</x:v>
      </x:c>
      <x:c r="B139" s="1" t="str">
        <x:v>Arjun</x:v>
      </x:c>
      <x:c r="C139" s="1" t="str">
        <x:v>customer0138@example.com</x:v>
      </x:c>
      <x:c r="D139" s="1" t="str">
        <x:v>UK</x:v>
      </x:c>
      <x:c r="E139" s="1" t="str">
        <x:v>2024-11-06</x:v>
      </x:c>
      <x:c r="F139" s="1" t="str">
        <x:v>2026-08-03</x:v>
      </x:c>
      <x:c r="G139" s="1" t="str">
        <x:v>3</x:v>
      </x:c>
      <x:c r="H139" s="1" t="str">
        <x:v>832.95</x:v>
      </x:c>
      <x:c r="I139" s="1" t="str">
        <x:v>10</x:v>
      </x:c>
      <x:c r="J139" s="1" t="str">
        <x:v>app</x:v>
      </x:c>
      <x:c r="K139" s="1"/>
      <x:c r="L139" s="1"/>
      <x:c r="M139" s="1"/>
      <x:c r="N139" s="1"/>
      <x:c r="O139" s="1"/>
    </x:row>
    <x:row r="140">
      <x:c r="A140" s="1" t="str">
        <x:v>C0139</x:v>
      </x:c>
      <x:c r="B140" s="1" t="str">
        <x:v>Diego</x:v>
      </x:c>
      <x:c r="C140" s="1" t="str">
        <x:v>customer0139@example.com</x:v>
      </x:c>
      <x:c r="D140" s="1" t="str">
        <x:v>USA</x:v>
      </x:c>
      <x:c r="E140" s="1" t="str">
        <x:v>2026-08-31</x:v>
      </x:c>
      <x:c r="F140" s="1" t="str">
        <x:v>2026-09-11</x:v>
      </x:c>
      <x:c r="G140" s="1" t="str">
        <x:v>1</x:v>
      </x:c>
      <x:c r="H140" s="1" t="str">
        <x:v>152.67</x:v>
      </x:c>
      <x:c r="I140" s="1" t="str">
        <x:v>0</x:v>
      </x:c>
      <x:c r="J140" s="1" t="str">
        <x:v>web</x:v>
      </x:c>
      <x:c r="K140" s="1"/>
      <x:c r="L140" s="1"/>
      <x:c r="M140" s="1"/>
      <x:c r="N140" s="1"/>
      <x:c r="O140" s="1"/>
    </x:row>
    <x:row r="141">
      <x:c r="A141" s="1" t="str">
        <x:v>C0140</x:v>
      </x:c>
      <x:c r="B141" s="1" t="str">
        <x:v>Zara</x:v>
      </x:c>
      <x:c r="C141" s="1" t="str">
        <x:v>customer0140@example.com</x:v>
      </x:c>
      <x:c r="D141" s="1" t="str">
        <x:v>USA</x:v>
      </x:c>
      <x:c r="E141" s="1" t="str">
        <x:v>2025-11-02</x:v>
      </x:c>
      <x:c r="F141" s="1" t="str">
        <x:v>2026-04-04</x:v>
      </x:c>
      <x:c r="G141" s="1" t="str">
        <x:v>2</x:v>
      </x:c>
      <x:c r="H141" s="1" t="str">
        <x:v>77.86</x:v>
      </x:c>
      <x:c r="I141" s="1" t="str">
        <x:v>0</x:v>
      </x:c>
      <x:c r="J141" s="1" t="str">
        <x:v>store</x:v>
      </x:c>
      <x:c r="K141" s="1"/>
      <x:c r="L141" s="1"/>
      <x:c r="M141" s="1"/>
      <x:c r="N141" s="1"/>
      <x:c r="O141" s="1"/>
    </x:row>
    <x:row r="142">
      <x:c r="A142" s="1" t="str">
        <x:v>C0141</x:v>
      </x:c>
      <x:c r="B142" s="1" t="str">
        <x:v>Noah</x:v>
      </x:c>
      <x:c r="C142" s="1" t="str">
        <x:v>customer0141@example.com</x:v>
      </x:c>
      <x:c r="D142" s="1" t="str">
        <x:v>Japan</x:v>
      </x:c>
      <x:c r="E142" s="1" t="str">
        <x:v>2024-09-29</x:v>
      </x:c>
      <x:c r="F142" s="1" t="str">
        <x:v>2026-06-04</x:v>
      </x:c>
      <x:c r="G142" s="1" t="str">
        <x:v>2</x:v>
      </x:c>
      <x:c r="H142" s="1" t="str">
        <x:v>35.6</x:v>
      </x:c>
      <x:c r="I142" s="1" t="str">
        <x:v>10</x:v>
      </x:c>
      <x:c r="J142" s="1" t="str">
        <x:v>web</x:v>
      </x:c>
      <x:c r="K142" s="1"/>
      <x:c r="L142" s="1"/>
      <x:c r="M142" s="1"/>
      <x:c r="N142" s="1"/>
      <x:c r="O142" s="1"/>
    </x:row>
    <x:row r="143">
      <x:c r="A143" s="1" t="str">
        <x:v>C0142</x:v>
      </x:c>
      <x:c r="B143" s="1" t="str">
        <x:v>Noah</x:v>
      </x:c>
      <x:c r="C143" s="1" t="str">
        <x:v>customer0142@example.com</x:v>
      </x:c>
      <x:c r="D143" s="1" t="str">
        <x:v>Japan</x:v>
      </x:c>
      <x:c r="E143" s="1" t="str">
        <x:v>2026-08-29</x:v>
      </x:c>
      <x:c r="F143" s="1" t="str">
        <x:v>2026-09-21</x:v>
      </x:c>
      <x:c r="G143" s="1" t="str">
        <x:v>1</x:v>
      </x:c>
      <x:c r="H143" s="1" t="str">
        <x:v>88.12</x:v>
      </x:c>
      <x:c r="I143" s="1" t="str">
        <x:v>7</x:v>
      </x:c>
      <x:c r="J143" s="1" t="str">
        <x:v>app</x:v>
      </x:c>
      <x:c r="K143" s="1"/>
      <x:c r="L143" s="1"/>
      <x:c r="M143" s="1"/>
      <x:c r="N143" s="1"/>
      <x:c r="O143" s="1"/>
    </x:row>
    <x:row r="144">
      <x:c r="A144" s="1" t="str">
        <x:v>C0143</x:v>
      </x:c>
      <x:c r="B144" s="1" t="str">
        <x:v>Kai</x:v>
      </x:c>
      <x:c r="C144" s="1" t="str">
        <x:v>customer0143@example.com</x:v>
      </x:c>
      <x:c r="D144" s="1" t="str">
        <x:v>Nigeria</x:v>
      </x:c>
      <x:c r="E144" s="1" t="str">
        <x:v>2025-06-11</x:v>
      </x:c>
      <x:c r="F144" s="1" t="str">
        <x:v>2026-09-11</x:v>
      </x:c>
      <x:c r="G144" s="1" t="str">
        <x:v>15</x:v>
      </x:c>
      <x:c r="H144" s="1" t="str">
        <x:v>1344.44</x:v>
      </x:c>
      <x:c r="I144" s="1" t="str">
        <x:v>12</x:v>
      </x:c>
      <x:c r="J144" s="1" t="str">
        <x:v>web</x:v>
      </x:c>
      <x:c r="K144" s="1"/>
      <x:c r="L144" s="1"/>
      <x:c r="M144" s="1"/>
      <x:c r="N144" s="1"/>
      <x:c r="O144" s="1"/>
    </x:row>
    <x:row r="145">
      <x:c r="A145" s="1" t="str">
        <x:v>C0144</x:v>
      </x:c>
      <x:c r="B145" s="1" t="str">
        <x:v>Chloe</x:v>
      </x:c>
      <x:c r="C145" s="1" t="str">
        <x:v>customer0144@example.com</x:v>
      </x:c>
      <x:c r="D145" s="1" t="str">
        <x:v>UAE</x:v>
      </x:c>
      <x:c r="E145" s="1" t="str">
        <x:v>2025-06-15</x:v>
      </x:c>
      <x:c r="F145" s="1" t="str">
        <x:v>2025-10-24</x:v>
      </x:c>
      <x:c r="G145" s="1" t="str">
        <x:v>2</x:v>
      </x:c>
      <x:c r="H145" s="1" t="str">
        <x:v>33.74</x:v>
      </x:c>
      <x:c r="I145" s="1" t="str">
        <x:v>5</x:v>
      </x:c>
      <x:c r="J145" s="1" t="str">
        <x:v>app</x:v>
      </x:c>
      <x:c r="K145" s="1"/>
      <x:c r="L145" s="1"/>
      <x:c r="M145" s="1"/>
      <x:c r="N145" s="1"/>
      <x:c r="O145" s="1"/>
    </x:row>
    <x:row r="146">
      <x:c r="A146" s="1" t="str">
        <x:v>C0145</x:v>
      </x:c>
      <x:c r="B146" s="1" t="str">
        <x:v>Leo</x:v>
      </x:c>
      <x:c r="C146" s="1" t="str">
        <x:v>customer0145@example.com</x:v>
      </x:c>
      <x:c r="D146" s="1" t="str">
        <x:v>Brazil</x:v>
      </x:c>
      <x:c r="E146" s="1" t="str">
        <x:v>2025-05-28</x:v>
      </x:c>
      <x:c r="F146" s="1" t="str">
        <x:v>2025-10-08</x:v>
      </x:c>
      <x:c r="G146" s="1" t="str">
        <x:v>1</x:v>
      </x:c>
      <x:c r="H146" s="1" t="str">
        <x:v>22.11</x:v>
      </x:c>
      <x:c r="I146" s="1" t="str">
        <x:v>12</x:v>
      </x:c>
      <x:c r="J146" s="1" t="str">
        <x:v>store</x:v>
      </x:c>
      <x:c r="K146" s="1"/>
      <x:c r="L146" s="1"/>
      <x:c r="M146" s="1"/>
      <x:c r="N146" s="1"/>
      <x:c r="O146" s="1"/>
    </x:row>
    <x:row r="147">
      <x:c r="A147" s="1" t="str">
        <x:v>C0146</x:v>
      </x:c>
      <x:c r="B147" s="1" t="str">
        <x:v>Yara</x:v>
      </x:c>
      <x:c r="C147" s="1" t="str">
        <x:v>customer0146@example.com</x:v>
      </x:c>
      <x:c r="D147" s="1" t="str">
        <x:v>UK</x:v>
      </x:c>
      <x:c r="E147" s="1" t="str">
        <x:v>2024-08-16</x:v>
      </x:c>
      <x:c r="F147" s="1" t="str">
        <x:v>2026-06-15</x:v>
      </x:c>
      <x:c r="G147" s="1" t="str">
        <x:v>11</x:v>
      </x:c>
      <x:c r="H147" s="1" t="str">
        <x:v>1279.1</x:v>
      </x:c>
      <x:c r="I147" s="1" t="str">
        <x:v>0</x:v>
      </x:c>
      <x:c r="J147" s="1" t="str">
        <x:v>app</x:v>
      </x:c>
      <x:c r="K147" s="1"/>
      <x:c r="L147" s="1"/>
      <x:c r="M147" s="1"/>
      <x:c r="N147" s="1"/>
      <x:c r="O147" s="1"/>
    </x:row>
    <x:row r="148">
      <x:c r="A148" s="1" t="str">
        <x:v>C0147</x:v>
      </x:c>
      <x:c r="B148" s="1" t="str">
        <x:v>Ines</x:v>
      </x:c>
      <x:c r="C148" s="1" t="str">
        <x:v>customer0147@example.com</x:v>
      </x:c>
      <x:c r="D148" s="1" t="str">
        <x:v>UK</x:v>
      </x:c>
      <x:c r="E148" s="1" t="str">
        <x:v>2024-12-11</x:v>
      </x:c>
      <x:c r="F148" s="1" t="str">
        <x:v>2026-04-28</x:v>
      </x:c>
      <x:c r="G148" s="1" t="str">
        <x:v>1</x:v>
      </x:c>
      <x:c r="H148" s="1" t="str">
        <x:v>38.03</x:v>
      </x:c>
      <x:c r="I148" s="1" t="str">
        <x:v>10</x:v>
      </x:c>
      <x:c r="J148" s="1" t="str">
        <x:v>store</x:v>
      </x:c>
      <x:c r="K148" s="1"/>
      <x:c r="L148" s="1"/>
      <x:c r="M148" s="1"/>
      <x:c r="N148" s="1"/>
      <x:c r="O148" s="1"/>
    </x:row>
    <x:row r="149">
      <x:c r="A149" s="1" t="str">
        <x:v>C0148</x:v>
      </x:c>
      <x:c r="B149" s="1" t="str">
        <x:v>Amara</x:v>
      </x:c>
      <x:c r="C149" s="1" t="str">
        <x:v>customer0148@example.com</x:v>
      </x:c>
      <x:c r="D149" s="1" t="str">
        <x:v>Brazil</x:v>
      </x:c>
      <x:c r="E149" s="1" t="str">
        <x:v>2025-09-05</x:v>
      </x:c>
      <x:c r="F149" s="1" t="str">
        <x:v>2026-05-21</x:v>
      </x:c>
      <x:c r="G149" s="1" t="str">
        <x:v>2</x:v>
      </x:c>
      <x:c r="H149" s="1" t="str">
        <x:v>121.83</x:v>
      </x:c>
      <x:c r="I149" s="1" t="str">
        <x:v>9</x:v>
      </x:c>
      <x:c r="J149" s="1" t="str">
        <x:v>web</x:v>
      </x:c>
      <x:c r="K149" s="1"/>
      <x:c r="L149" s="1"/>
      <x:c r="M149" s="1"/>
      <x:c r="N149" s="1"/>
      <x:c r="O149" s="1"/>
    </x:row>
    <x:row r="150">
      <x:c r="A150" s="1" t="str">
        <x:v>C0149</x:v>
      </x:c>
      <x:c r="B150" s="1" t="str">
        <x:v>Lucas</x:v>
      </x:c>
      <x:c r="C150" s="1" t="str">
        <x:v>customer0149@example.com</x:v>
      </x:c>
      <x:c r="D150" s="1" t="str">
        <x:v>Nigeria</x:v>
      </x:c>
      <x:c r="E150" s="1" t="str">
        <x:v>2024-06-29</x:v>
      </x:c>
      <x:c r="F150" s="1" t="str">
        <x:v>2025-11-02</x:v>
      </x:c>
      <x:c r="G150" s="1" t="str">
        <x:v>1</x:v>
      </x:c>
      <x:c r="H150" s="1" t="str">
        <x:v>59.48</x:v>
      </x:c>
      <x:c r="I150" s="1" t="str">
        <x:v>4</x:v>
      </x:c>
      <x:c r="J150" s="1" t="str">
        <x:v>store</x:v>
      </x:c>
      <x:c r="K150" s="1"/>
      <x:c r="L150" s="1"/>
      <x:c r="M150" s="1"/>
      <x:c r="N150" s="1"/>
      <x:c r="O150" s="1"/>
    </x:row>
    <x:row r="151">
      <x:c r="A151" s="1" t="str">
        <x:v>C0150</x:v>
      </x:c>
      <x:c r="B151" s="1" t="str">
        <x:v>Mateo</x:v>
      </x:c>
      <x:c r="C151" s="1" t="str">
        <x:v>customer0150@example.com</x:v>
      </x:c>
      <x:c r="D151" s="1" t="str">
        <x:v>UK</x:v>
      </x:c>
      <x:c r="E151" s="1" t="str">
        <x:v>2025-10-04</x:v>
      </x:c>
      <x:c r="F151" s="1" t="str">
        <x:v>2026-04-08</x:v>
      </x:c>
      <x:c r="G151" s="1" t="str">
        <x:v>8</x:v>
      </x:c>
      <x:c r="H151" s="1" t="str">
        <x:v>292.36</x:v>
      </x:c>
      <x:c r="I151" s="1" t="str">
        <x:v>10</x:v>
      </x:c>
      <x:c r="J151" s="1" t="str">
        <x:v>web</x:v>
      </x:c>
      <x:c r="K151" s="1"/>
      <x:c r="L151" s="1"/>
      <x:c r="M151" s="1"/>
      <x:c r="N151" s="1"/>
      <x:c r="O151" s="1"/>
    </x:row>
    <x:row r="152">
      <x:c r="A152" s="1" t="str">
        <x:v>C0151</x:v>
      </x:c>
      <x:c r="B152" s="1" t="str">
        <x:v>Sofia</x:v>
      </x:c>
      <x:c r="C152" s="1" t="str">
        <x:v>customer0151@example.com</x:v>
      </x:c>
      <x:c r="D152" s="1" t="str">
        <x:v>Japan</x:v>
      </x:c>
      <x:c r="E152" s="1" t="str">
        <x:v>2026-08-17</x:v>
      </x:c>
      <x:c r="F152" s="1" t="str">
        <x:v>2026-09-02</x:v>
      </x:c>
      <x:c r="G152" s="1" t="str">
        <x:v>2</x:v>
      </x:c>
      <x:c r="H152" s="1" t="str">
        <x:v>47.0</x:v>
      </x:c>
      <x:c r="I152" s="1" t="str">
        <x:v>0</x:v>
      </x:c>
      <x:c r="J152" s="1" t="str">
        <x:v>store</x:v>
      </x:c>
      <x:c r="K152" s="1"/>
      <x:c r="L152" s="1"/>
      <x:c r="M152" s="1"/>
      <x:c r="N152" s="1"/>
      <x:c r="O152" s="1"/>
    </x:row>
    <x:row r="153">
      <x:c r="A153" s="1" t="str">
        <x:v>C0152</x:v>
      </x:c>
      <x:c r="B153" s="1" t="str">
        <x:v>Felix</x:v>
      </x:c>
      <x:c r="C153" s="1" t="str">
        <x:v>customer0152@example.com</x:v>
      </x:c>
      <x:c r="D153" s="1" t="str">
        <x:v>UAE</x:v>
      </x:c>
      <x:c r="E153" s="1" t="str">
        <x:v>2024-05-05</x:v>
      </x:c>
      <x:c r="F153" s="1" t="str">
        <x:v>2025-11-04</x:v>
      </x:c>
      <x:c r="G153" s="1" t="str">
        <x:v>1</x:v>
      </x:c>
      <x:c r="H153" s="1" t="str">
        <x:v>59.11</x:v>
      </x:c>
      <x:c r="I153" s="1" t="str">
        <x:v>11</x:v>
      </x:c>
      <x:c r="J153" s="1" t="str">
        <x:v>web</x:v>
      </x:c>
      <x:c r="K153" s="1"/>
      <x:c r="L153" s="1"/>
      <x:c r="M153" s="1"/>
      <x:c r="N153" s="1"/>
      <x:c r="O153" s="1"/>
    </x:row>
    <x:row r="154">
      <x:c r="A154" s="1" t="str">
        <x:v>C0153</x:v>
      </x:c>
      <x:c r="B154" s="1" t="str">
        <x:v>Kai</x:v>
      </x:c>
      <x:c r="C154" s="1" t="str">
        <x:v>customer0153@example.com</x:v>
      </x:c>
      <x:c r="D154" s="1" t="str">
        <x:v>Singapore</x:v>
      </x:c>
      <x:c r="E154" s="1" t="str">
        <x:v>2025-09-01</x:v>
      </x:c>
      <x:c r="F154" s="1" t="str">
        <x:v>2026-08-05</x:v>
      </x:c>
      <x:c r="G154" s="1" t="str">
        <x:v>7</x:v>
      </x:c>
      <x:c r="H154" s="1" t="str">
        <x:v>302.34</x:v>
      </x:c>
      <x:c r="I154" s="1" t="str">
        <x:v>7</x:v>
      </x:c>
      <x:c r="J154" s="1" t="str">
        <x:v>app</x:v>
      </x:c>
      <x:c r="K154" s="1"/>
      <x:c r="L154" s="1"/>
      <x:c r="M154" s="1"/>
      <x:c r="N154" s="1"/>
      <x:c r="O154" s="1"/>
    </x:row>
    <x:row r="155">
      <x:c r="A155" s="1" t="str">
        <x:v>C0154</x:v>
      </x:c>
      <x:c r="B155" s="1" t="str">
        <x:v>Ines</x:v>
      </x:c>
      <x:c r="C155" s="1" t="str">
        <x:v>customer0154@example.com</x:v>
      </x:c>
      <x:c r="D155" s="1" t="str">
        <x:v>Nigeria</x:v>
      </x:c>
      <x:c r="E155" s="1" t="str">
        <x:v>2025-12-30</x:v>
      </x:c>
      <x:c r="F155" s="1" t="str">
        <x:v>2026-09-15</x:v>
      </x:c>
      <x:c r="G155" s="1" t="str">
        <x:v>5</x:v>
      </x:c>
      <x:c r="H155" s="1" t="str">
        <x:v>773.88</x:v>
      </x:c>
      <x:c r="I155" s="1" t="str">
        <x:v>10</x:v>
      </x:c>
      <x:c r="J155" s="1" t="str">
        <x:v>web</x:v>
      </x:c>
      <x:c r="K155" s="1"/>
      <x:c r="L155" s="1"/>
      <x:c r="M155" s="1"/>
      <x:c r="N155" s="1"/>
      <x:c r="O155" s="1"/>
    </x:row>
    <x:row r="156">
      <x:c r="A156" s="1" t="str">
        <x:v>C0155</x:v>
      </x:c>
      <x:c r="B156" s="1" t="str">
        <x:v>Aisha</x:v>
      </x:c>
      <x:c r="C156" s="1" t="str">
        <x:v>customer0155@example.com</x:v>
      </x:c>
      <x:c r="D156" s="1" t="str">
        <x:v>UAE</x:v>
      </x:c>
      <x:c r="E156" s="1" t="str">
        <x:v>2026-08-20</x:v>
      </x:c>
      <x:c r="F156" s="1" t="str">
        <x:v>2026-09-07</x:v>
      </x:c>
      <x:c r="G156" s="1" t="str">
        <x:v>1</x:v>
      </x:c>
      <x:c r="H156" s="1" t="str">
        <x:v>55.46</x:v>
      </x:c>
      <x:c r="I156" s="1" t="str">
        <x:v>6</x:v>
      </x:c>
      <x:c r="J156" s="1" t="str">
        <x:v>store</x:v>
      </x:c>
      <x:c r="K156" s="1"/>
      <x:c r="L156" s="1"/>
      <x:c r="M156" s="1"/>
      <x:c r="N156" s="1"/>
      <x:c r="O156" s="1"/>
    </x:row>
    <x:row r="157">
      <x:c r="A157" s="1" t="str">
        <x:v>C0156</x:v>
      </x:c>
      <x:c r="B157" s="1" t="str">
        <x:v>Felix</x:v>
      </x:c>
      <x:c r="C157" s="1" t="str">
        <x:v>customer0156@example.com</x:v>
      </x:c>
      <x:c r="D157" s="1" t="str">
        <x:v>India</x:v>
      </x:c>
      <x:c r="E157" s="1" t="str">
        <x:v>2024-12-27</x:v>
      </x:c>
      <x:c r="F157" s="1" t="str">
        <x:v>2026-09-15</x:v>
      </x:c>
      <x:c r="G157" s="1" t="str">
        <x:v>4</x:v>
      </x:c>
      <x:c r="H157" s="1" t="str">
        <x:v>541.88</x:v>
      </x:c>
      <x:c r="I157" s="1" t="str">
        <x:v>0</x:v>
      </x:c>
      <x:c r="J157" s="1" t="str">
        <x:v>app</x:v>
      </x:c>
      <x:c r="K157" s="1"/>
      <x:c r="L157" s="1"/>
      <x:c r="M157" s="1"/>
      <x:c r="N157" s="1"/>
      <x:c r="O157" s="1"/>
    </x:row>
    <x:row r="158">
      <x:c r="A158" s="1" t="str">
        <x:v>C0157</x:v>
      </x:c>
      <x:c r="B158" s="1" t="str">
        <x:v>Lina</x:v>
      </x:c>
      <x:c r="C158" s="1" t="str">
        <x:v>customer0157@example.com</x:v>
      </x:c>
      <x:c r="D158" s="1" t="str">
        <x:v>USA</x:v>
      </x:c>
      <x:c r="E158" s="1" t="str">
        <x:v>2025-09-19</x:v>
      </x:c>
      <x:c r="F158" s="1" t="str">
        <x:v>2026-09-19</x:v>
      </x:c>
      <x:c r="G158" s="1" t="str">
        <x:v>12</x:v>
      </x:c>
      <x:c r="H158" s="1" t="str">
        <x:v>770.18</x:v>
      </x:c>
      <x:c r="I158" s="1" t="str">
        <x:v>6</x:v>
      </x:c>
      <x:c r="J158" s="1" t="str">
        <x:v>store</x:v>
      </x:c>
      <x:c r="K158" s="1"/>
      <x:c r="L158" s="1"/>
      <x:c r="M158" s="1"/>
      <x:c r="N158" s="1"/>
      <x:c r="O158" s="1"/>
    </x:row>
    <x:row r="159">
      <x:c r="A159" s="1" t="str">
        <x:v>C0158</x:v>
      </x:c>
      <x:c r="B159" s="1" t="str">
        <x:v>Amara</x:v>
      </x:c>
      <x:c r="C159" s="1" t="str">
        <x:v>customer0158@example.com</x:v>
      </x:c>
      <x:c r="D159" s="1" t="str">
        <x:v>UK</x:v>
      </x:c>
      <x:c r="E159" s="1" t="str">
        <x:v>2025-05-06</x:v>
      </x:c>
      <x:c r="F159" s="1" t="str">
        <x:v>2026-09-04</x:v>
      </x:c>
      <x:c r="G159" s="1" t="str">
        <x:v>4</x:v>
      </x:c>
      <x:c r="H159" s="1" t="str">
        <x:v>456.36</x:v>
      </x:c>
      <x:c r="I159" s="1" t="str">
        <x:v>0</x:v>
      </x:c>
      <x:c r="J159" s="1" t="str">
        <x:v>app</x:v>
      </x:c>
      <x:c r="K159" s="1"/>
      <x:c r="L159" s="1"/>
      <x:c r="M159" s="1"/>
      <x:c r="N159" s="1"/>
      <x:c r="O159" s="1"/>
    </x:row>
    <x:row r="160">
      <x:c r="A160" s="1" t="str">
        <x:v>C0159</x:v>
      </x:c>
      <x:c r="B160" s="1" t="str">
        <x:v>Mei</x:v>
      </x:c>
      <x:c r="C160" s="1" t="str">
        <x:v>customer0159@example.com</x:v>
      </x:c>
      <x:c r="D160" s="1" t="str">
        <x:v>Germany</x:v>
      </x:c>
      <x:c r="E160" s="1" t="str">
        <x:v>2026-09-07</x:v>
      </x:c>
      <x:c r="F160" s="1" t="str">
        <x:v>2026-09-16</x:v>
      </x:c>
      <x:c r="G160" s="1" t="str">
        <x:v>1</x:v>
      </x:c>
      <x:c r="H160" s="1" t="str">
        <x:v>30.19</x:v>
      </x:c>
      <x:c r="I160" s="1" t="str">
        <x:v>6</x:v>
      </x:c>
      <x:c r="J160" s="1" t="str">
        <x:v>web</x:v>
      </x:c>
      <x:c r="K160" s="1"/>
      <x:c r="L160" s="1"/>
      <x:c r="M160" s="1"/>
      <x:c r="N160" s="1"/>
      <x:c r="O160" s="1"/>
    </x:row>
    <x:row r="161">
      <x:c r="A161" s="1" t="str">
        <x:v>C0160</x:v>
      </x:c>
      <x:c r="B161" s="1" t="str">
        <x:v>Noah</x:v>
      </x:c>
      <x:c r="C161" s="1" t="str">
        <x:v>customer0160@example.com</x:v>
      </x:c>
      <x:c r="D161" s="1" t="str">
        <x:v>Nigeria</x:v>
      </x:c>
      <x:c r="E161" s="1" t="str">
        <x:v>2024-10-11</x:v>
      </x:c>
      <x:c r="F161" s="1" t="str">
        <x:v>2026-05-26</x:v>
      </x:c>
      <x:c r="G161" s="1" t="str">
        <x:v>2</x:v>
      </x:c>
      <x:c r="H161" s="1" t="str">
        <x:v>119.08</x:v>
      </x:c>
      <x:c r="I161" s="1" t="str">
        <x:v>8</x:v>
      </x:c>
      <x:c r="J161" s="1" t="str">
        <x:v>store</x:v>
      </x:c>
      <x:c r="K161" s="1"/>
      <x:c r="L161" s="1"/>
      <x:c r="M161" s="1"/>
      <x:c r="N161" s="1"/>
      <x:c r="O161" s="1"/>
    </x:row>
    <x:row r="162">
      <x:c r="A162" s="1" t="str">
        <x:v>C0161</x:v>
      </x:c>
      <x:c r="B162" s="1" t="str">
        <x:v>Aarav</x:v>
      </x:c>
      <x:c r="C162" s="1" t="str">
        <x:v>customer0161@example.com</x:v>
      </x:c>
      <x:c r="D162" s="1" t="str">
        <x:v>UAE</x:v>
      </x:c>
      <x:c r="E162" s="1" t="str">
        <x:v>2024-11-19</x:v>
      </x:c>
      <x:c r="F162" s="1" t="str">
        <x:v>2026-05-17</x:v>
      </x:c>
      <x:c r="G162" s="1" t="str">
        <x:v>3</x:v>
      </x:c>
      <x:c r="H162" s="1" t="str">
        <x:v>300.6</x:v>
      </x:c>
      <x:c r="I162" s="1" t="str">
        <x:v>2</x:v>
      </x:c>
      <x:c r="J162" s="1" t="str">
        <x:v>app</x:v>
      </x:c>
      <x:c r="K162" s="1"/>
      <x:c r="L162" s="1"/>
      <x:c r="M162" s="1"/>
      <x:c r="N162" s="1"/>
      <x:c r="O162" s="1"/>
    </x:row>
    <x:row r="163">
      <x:c r="A163" s="1" t="str">
        <x:v>C0162</x:v>
      </x:c>
      <x:c r="B163" s="1" t="str">
        <x:v>Lucas</x:v>
      </x:c>
      <x:c r="C163" s="1" t="str">
        <x:v>customer0162@example.com</x:v>
      </x:c>
      <x:c r="D163" s="1" t="str">
        <x:v>UK</x:v>
      </x:c>
      <x:c r="E163" s="1" t="str">
        <x:v>2024-11-05</x:v>
      </x:c>
      <x:c r="F163" s="1" t="str">
        <x:v>2026-09-08</x:v>
      </x:c>
      <x:c r="G163" s="1" t="str">
        <x:v>3</x:v>
      </x:c>
      <x:c r="H163" s="1" t="str">
        <x:v>628.85</x:v>
      </x:c>
      <x:c r="I163" s="1" t="str">
        <x:v>6</x:v>
      </x:c>
      <x:c r="J163" s="1" t="str">
        <x:v>app</x:v>
      </x:c>
      <x:c r="K163" s="1"/>
      <x:c r="L163" s="1"/>
      <x:c r="M163" s="1"/>
      <x:c r="N163" s="1"/>
      <x:c r="O163" s="1"/>
    </x:row>
    <x:row r="164">
      <x:c r="A164" s="1" t="str">
        <x:v>C0163</x:v>
      </x:c>
      <x:c r="B164" s="1" t="str">
        <x:v>Ethan</x:v>
      </x:c>
      <x:c r="C164" s="1" t="str">
        <x:v>customer0163@example.com</x:v>
      </x:c>
      <x:c r="D164" s="1" t="str">
        <x:v>Germany</x:v>
      </x:c>
      <x:c r="E164" s="1" t="str">
        <x:v>2025-08-25</x:v>
      </x:c>
      <x:c r="F164" s="1" t="str">
        <x:v>2026-02-19</x:v>
      </x:c>
      <x:c r="G164" s="1" t="str">
        <x:v>9</x:v>
      </x:c>
      <x:c r="H164" s="1" t="str">
        <x:v>1185.39</x:v>
      </x:c>
      <x:c r="I164" s="1" t="str">
        <x:v>1</x:v>
      </x:c>
      <x:c r="J164" s="1" t="str">
        <x:v>web</x:v>
      </x:c>
      <x:c r="K164" s="1"/>
      <x:c r="L164" s="1"/>
      <x:c r="M164" s="1"/>
      <x:c r="N164" s="1"/>
      <x:c r="O164" s="1"/>
    </x:row>
    <x:row r="165">
      <x:c r="A165" s="1" t="str">
        <x:v>C0164</x:v>
      </x:c>
      <x:c r="B165" s="1" t="str">
        <x:v>Mateo</x:v>
      </x:c>
      <x:c r="C165" s="1" t="str">
        <x:v>customer0164@example.com</x:v>
      </x:c>
      <x:c r="D165" s="1" t="str">
        <x:v>UAE</x:v>
      </x:c>
      <x:c r="E165" s="1" t="str">
        <x:v>2026-09-02</x:v>
      </x:c>
      <x:c r="F165" s="1" t="str">
        <x:v>2026-09-02</x:v>
      </x:c>
      <x:c r="G165" s="1" t="str">
        <x:v>2</x:v>
      </x:c>
      <x:c r="H165" s="1" t="str">
        <x:v>134.46</x:v>
      </x:c>
      <x:c r="I165" s="1" t="str">
        <x:v>11</x:v>
      </x:c>
      <x:c r="J165" s="1" t="str">
        <x:v>web</x:v>
      </x:c>
      <x:c r="K165" s="1"/>
      <x:c r="L165" s="1"/>
      <x:c r="M165" s="1"/>
      <x:c r="N165" s="1"/>
      <x:c r="O165" s="1"/>
    </x:row>
    <x:row r="166">
      <x:c r="A166" s="1" t="str">
        <x:v>C0165</x:v>
      </x:c>
      <x:c r="B166" s="1" t="str">
        <x:v>Omar</x:v>
      </x:c>
      <x:c r="C166" s="1" t="str">
        <x:v>customer0165@example.com</x:v>
      </x:c>
      <x:c r="D166" s="1" t="str">
        <x:v>USA</x:v>
      </x:c>
      <x:c r="E166" s="1" t="str">
        <x:v>2026-05-26</x:v>
      </x:c>
      <x:c r="F166" s="1" t="str">
        <x:v>2026-09-10</x:v>
      </x:c>
      <x:c r="G166" s="1" t="str">
        <x:v>15</x:v>
      </x:c>
      <x:c r="H166" s="1" t="str">
        <x:v>880.63</x:v>
      </x:c>
      <x:c r="I166" s="1" t="str">
        <x:v>10</x:v>
      </x:c>
      <x:c r="J166" s="1" t="str">
        <x:v>app</x:v>
      </x:c>
      <x:c r="K166" s="1"/>
      <x:c r="L166" s="1"/>
      <x:c r="M166" s="1"/>
      <x:c r="N166" s="1"/>
      <x:c r="O166" s="1"/>
    </x:row>
    <x:row r="167">
      <x:c r="A167" s="1" t="str">
        <x:v>C0166</x:v>
      </x:c>
      <x:c r="B167" s="1" t="str">
        <x:v>Lina</x:v>
      </x:c>
      <x:c r="C167" s="1" t="str">
        <x:v>customer0166@example.com</x:v>
      </x:c>
      <x:c r="D167" s="1" t="str">
        <x:v>UAE</x:v>
      </x:c>
      <x:c r="E167" s="1" t="str">
        <x:v>2024-11-06</x:v>
      </x:c>
      <x:c r="F167" s="1" t="str">
        <x:v>2026-08-19</x:v>
      </x:c>
      <x:c r="G167" s="1" t="str">
        <x:v>8</x:v>
      </x:c>
      <x:c r="H167" s="1" t="str">
        <x:v>236.77</x:v>
      </x:c>
      <x:c r="I167" s="1" t="str">
        <x:v>10</x:v>
      </x:c>
      <x:c r="J167" s="1" t="str">
        <x:v>store</x:v>
      </x:c>
      <x:c r="K167" s="1"/>
      <x:c r="L167" s="1"/>
      <x:c r="M167" s="1"/>
      <x:c r="N167" s="1"/>
      <x:c r="O167" s="1"/>
    </x:row>
    <x:row r="168">
      <x:c r="A168" s="1" t="str">
        <x:v>C0167</x:v>
      </x:c>
      <x:c r="B168" s="1" t="str">
        <x:v>Aarav</x:v>
      </x:c>
      <x:c r="C168" s="1" t="str">
        <x:v>customer0167@example.com</x:v>
      </x:c>
      <x:c r="D168" s="1" t="str">
        <x:v>UK</x:v>
      </x:c>
      <x:c r="E168" s="1" t="str">
        <x:v>2024-08-22</x:v>
      </x:c>
      <x:c r="F168" s="1" t="str">
        <x:v>2026-01-23</x:v>
      </x:c>
      <x:c r="G168" s="1" t="str">
        <x:v>1</x:v>
      </x:c>
      <x:c r="H168" s="1" t="str">
        <x:v>29.95</x:v>
      </x:c>
      <x:c r="I168" s="1" t="str">
        <x:v>4</x:v>
      </x:c>
      <x:c r="J168" s="1" t="str">
        <x:v>app</x:v>
      </x:c>
      <x:c r="K168" s="1"/>
      <x:c r="L168" s="1"/>
      <x:c r="M168" s="1"/>
      <x:c r="N168" s="1"/>
      <x:c r="O168" s="1"/>
    </x:row>
    <x:row r="169">
      <x:c r="A169" s="1" t="str">
        <x:v>C0168</x:v>
      </x:c>
      <x:c r="B169" s="1" t="str">
        <x:v>Lucas</x:v>
      </x:c>
      <x:c r="C169" s="1" t="str">
        <x:v>customer0168@example.com</x:v>
      </x:c>
      <x:c r="D169" s="1" t="str">
        <x:v>UAE</x:v>
      </x:c>
      <x:c r="E169" s="1" t="str">
        <x:v>2025-04-12</x:v>
      </x:c>
      <x:c r="F169" s="1" t="str">
        <x:v>2026-03-12</x:v>
      </x:c>
      <x:c r="G169" s="1" t="str">
        <x:v>1</x:v>
      </x:c>
      <x:c r="H169" s="1" t="str">
        <x:v>145.58</x:v>
      </x:c>
      <x:c r="I169" s="1" t="str">
        <x:v>5</x:v>
      </x:c>
      <x:c r="J169" s="1" t="str">
        <x:v>store</x:v>
      </x:c>
      <x:c r="K169" s="1"/>
      <x:c r="L169" s="1"/>
      <x:c r="M169" s="1"/>
      <x:c r="N169" s="1"/>
      <x:c r="O169" s="1"/>
    </x:row>
    <x:row r="170">
      <x:c r="A170" s="1" t="str">
        <x:v>C0169</x:v>
      </x:c>
      <x:c r="B170" s="1" t="str">
        <x:v>Arjun</x:v>
      </x:c>
      <x:c r="C170" s="1" t="str">
        <x:v>customer0169@example.com</x:v>
      </x:c>
      <x:c r="D170" s="1" t="str">
        <x:v>India</x:v>
      </x:c>
      <x:c r="E170" s="1" t="str">
        <x:v>2025-01-18</x:v>
      </x:c>
      <x:c r="F170" s="1" t="str">
        <x:v>2026-07-15</x:v>
      </x:c>
      <x:c r="G170" s="1" t="str">
        <x:v>6</x:v>
      </x:c>
      <x:c r="H170" s="1" t="str">
        <x:v>530.5</x:v>
      </x:c>
      <x:c r="I170" s="1" t="str">
        <x:v>0</x:v>
      </x:c>
      <x:c r="J170" s="1" t="str">
        <x:v>web</x:v>
      </x:c>
      <x:c r="K170" s="1"/>
      <x:c r="L170" s="1"/>
      <x:c r="M170" s="1"/>
      <x:c r="N170" s="1"/>
      <x:c r="O170" s="1"/>
    </x:row>
    <x:row r="171">
      <x:c r="A171" s="1" t="str">
        <x:v>C0170</x:v>
      </x:c>
      <x:c r="B171" s="1" t="str">
        <x:v>Aisha</x:v>
      </x:c>
      <x:c r="C171" s="1" t="str">
        <x:v>customer0170@example.com</x:v>
      </x:c>
      <x:c r="D171" s="1" t="str">
        <x:v>Nigeria</x:v>
      </x:c>
      <x:c r="E171" s="1" t="str">
        <x:v>2025-01-20</x:v>
      </x:c>
      <x:c r="F171" s="1" t="str">
        <x:v>2026-02-24</x:v>
      </x:c>
      <x:c r="G171" s="1" t="str">
        <x:v>2</x:v>
      </x:c>
      <x:c r="H171" s="1" t="str">
        <x:v>153.11</x:v>
      </x:c>
      <x:c r="I171" s="1" t="str">
        <x:v>1</x:v>
      </x:c>
      <x:c r="J171" s="1" t="str">
        <x:v>store</x:v>
      </x:c>
      <x:c r="K171" s="1"/>
      <x:c r="L171" s="1"/>
      <x:c r="M171" s="1"/>
      <x:c r="N171" s="1"/>
      <x:c r="O171" s="1"/>
    </x:row>
    <x:row r="172">
      <x:c r="A172" s="1" t="str">
        <x:v>C0171</x:v>
      </x:c>
      <x:c r="B172" s="1" t="str">
        <x:v>Aisha</x:v>
      </x:c>
      <x:c r="C172" s="1" t="str">
        <x:v>customer0171@example.com</x:v>
      </x:c>
      <x:c r="D172" s="1" t="str">
        <x:v>UK</x:v>
      </x:c>
      <x:c r="E172" s="1" t="str">
        <x:v>2025-12-22</x:v>
      </x:c>
      <x:c r="F172" s="1" t="str">
        <x:v>2026-04-10</x:v>
      </x:c>
      <x:c r="G172" s="1" t="str">
        <x:v>1</x:v>
      </x:c>
      <x:c r="H172" s="1" t="str">
        <x:v>19.71</x:v>
      </x:c>
      <x:c r="I172" s="1" t="str">
        <x:v>5</x:v>
      </x:c>
      <x:c r="J172" s="1" t="str">
        <x:v>app</x:v>
      </x:c>
      <x:c r="K172" s="1"/>
      <x:c r="L172" s="1"/>
      <x:c r="M172" s="1"/>
      <x:c r="N172" s="1"/>
      <x:c r="O172" s="1"/>
    </x:row>
    <x:row r="173">
      <x:c r="A173" s="1" t="str">
        <x:v>C0172</x:v>
      </x:c>
      <x:c r="B173" s="1" t="str">
        <x:v>Maya</x:v>
      </x:c>
      <x:c r="C173" s="1" t="str">
        <x:v>customer0172@example.com</x:v>
      </x:c>
      <x:c r="D173" s="1" t="str">
        <x:v>Singapore</x:v>
      </x:c>
      <x:c r="E173" s="1" t="str">
        <x:v>2026-08-21</x:v>
      </x:c>
      <x:c r="F173" s="1" t="str">
        <x:v>2026-09-30</x:v>
      </x:c>
      <x:c r="G173" s="1" t="str">
        <x:v>1</x:v>
      </x:c>
      <x:c r="H173" s="1" t="str">
        <x:v>42.14</x:v>
      </x:c>
      <x:c r="I173" s="1" t="str">
        <x:v>11</x:v>
      </x:c>
      <x:c r="J173" s="1" t="str">
        <x:v>app</x:v>
      </x:c>
      <x:c r="K173" s="1"/>
      <x:c r="L173" s="1"/>
      <x:c r="M173" s="1"/>
      <x:c r="N173" s="1"/>
      <x:c r="O173" s="1"/>
    </x:row>
    <x:row r="174">
      <x:c r="A174" s="1" t="str">
        <x:v>C0173</x:v>
      </x:c>
      <x:c r="B174" s="1" t="str">
        <x:v>Jonas</x:v>
      </x:c>
      <x:c r="C174" s="1" t="str">
        <x:v>customer0173@example.com</x:v>
      </x:c>
      <x:c r="D174" s="1" t="str">
        <x:v>Singapore</x:v>
      </x:c>
      <x:c r="E174" s="1" t="str">
        <x:v>2025-03-15</x:v>
      </x:c>
      <x:c r="F174" s="1" t="str">
        <x:v>2026-09-12</x:v>
      </x:c>
      <x:c r="G174" s="1" t="str">
        <x:v>20</x:v>
      </x:c>
      <x:c r="H174" s="1" t="str">
        <x:v>1181.45</x:v>
      </x:c>
      <x:c r="I174" s="1" t="str">
        <x:v>12</x:v>
      </x:c>
      <x:c r="J174" s="1" t="str">
        <x:v>store</x:v>
      </x:c>
      <x:c r="K174" s="1"/>
      <x:c r="L174" s="1"/>
      <x:c r="M174" s="1"/>
      <x:c r="N174" s="1"/>
      <x:c r="O174" s="1"/>
    </x:row>
    <x:row r="175">
      <x:c r="A175" s="1" t="str">
        <x:v>C0174</x:v>
      </x:c>
      <x:c r="B175" s="1" t="str">
        <x:v>Maya</x:v>
      </x:c>
      <x:c r="C175" s="1" t="str">
        <x:v>customer0174@example.com</x:v>
      </x:c>
      <x:c r="D175" s="1" t="str">
        <x:v>India</x:v>
      </x:c>
      <x:c r="E175" s="1" t="str">
        <x:v>2026-01-06</x:v>
      </x:c>
      <x:c r="F175" s="1" t="str">
        <x:v>2026-04-30</x:v>
      </x:c>
      <x:c r="G175" s="1" t="str">
        <x:v>1</x:v>
      </x:c>
      <x:c r="H175" s="1" t="str">
        <x:v>51.0</x:v>
      </x:c>
      <x:c r="I175" s="1" t="str">
        <x:v>12</x:v>
      </x:c>
      <x:c r="J175" s="1" t="str">
        <x:v>store</x:v>
      </x:c>
      <x:c r="K175" s="1"/>
      <x:c r="L175" s="1"/>
      <x:c r="M175" s="1"/>
      <x:c r="N175" s="1"/>
      <x:c r="O175" s="1"/>
    </x:row>
    <x:row r="176">
      <x:c r="A176" s="1" t="str">
        <x:v>C0175</x:v>
      </x:c>
      <x:c r="B176" s="1" t="str">
        <x:v>Sofia</x:v>
      </x:c>
      <x:c r="C176" s="1" t="str">
        <x:v>customer0175@example.com</x:v>
      </x:c>
      <x:c r="D176" s="1" t="str">
        <x:v>UK</x:v>
      </x:c>
      <x:c r="E176" s="1" t="str">
        <x:v>2025-05-06</x:v>
      </x:c>
      <x:c r="F176" s="1" t="str">
        <x:v>2026-09-06</x:v>
      </x:c>
      <x:c r="G176" s="1" t="str">
        <x:v>18</x:v>
      </x:c>
      <x:c r="H176" s="1" t="str">
        <x:v>1611.61</x:v>
      </x:c>
      <x:c r="I176" s="1" t="str">
        <x:v>1</x:v>
      </x:c>
      <x:c r="J176" s="1" t="str">
        <x:v>store</x:v>
      </x:c>
      <x:c r="K176" s="1"/>
      <x:c r="L176" s="1"/>
      <x:c r="M176" s="1"/>
      <x:c r="N176" s="1"/>
      <x:c r="O176" s="1"/>
    </x:row>
    <x:row r="177">
      <x:c r="A177" s="1" t="str">
        <x:v>C0176</x:v>
      </x:c>
      <x:c r="B177" s="1" t="str">
        <x:v>Chloe</x:v>
      </x:c>
      <x:c r="C177" s="1" t="str">
        <x:v>customer0176@example.com</x:v>
      </x:c>
      <x:c r="D177" s="1" t="str">
        <x:v>Germany</x:v>
      </x:c>
      <x:c r="E177" s="1" t="str">
        <x:v>2026-07-22</x:v>
      </x:c>
      <x:c r="F177" s="1" t="str">
        <x:v>2026-08-12</x:v>
      </x:c>
      <x:c r="G177" s="1" t="str">
        <x:v>5</x:v>
      </x:c>
      <x:c r="H177" s="1" t="str">
        <x:v>496.64</x:v>
      </x:c>
      <x:c r="I177" s="1" t="str">
        <x:v>4</x:v>
      </x:c>
      <x:c r="J177" s="1" t="str">
        <x:v>app</x:v>
      </x:c>
      <x:c r="K177" s="1"/>
      <x:c r="L177" s="1"/>
      <x:c r="M177" s="1"/>
      <x:c r="N177" s="1"/>
      <x:c r="O177" s="1"/>
    </x:row>
    <x:row r="178">
      <x:c r="A178" s="1" t="str">
        <x:v>C0177</x:v>
      </x:c>
      <x:c r="B178" s="1" t="str">
        <x:v>Ethan</x:v>
      </x:c>
      <x:c r="C178" s="1" t="str">
        <x:v>customer0177@example.com</x:v>
      </x:c>
      <x:c r="D178" s="1" t="str">
        <x:v>Australia</x:v>
      </x:c>
      <x:c r="E178" s="1" t="str">
        <x:v>2026-08-12</x:v>
      </x:c>
      <x:c r="F178" s="1" t="str">
        <x:v>2026-09-19</x:v>
      </x:c>
      <x:c r="G178" s="1" t="str">
        <x:v>2</x:v>
      </x:c>
      <x:c r="H178" s="1" t="str">
        <x:v>143.08</x:v>
      </x:c>
      <x:c r="I178" s="1" t="str">
        <x:v>4</x:v>
      </x:c>
      <x:c r="J178" s="1" t="str">
        <x:v>store</x:v>
      </x:c>
      <x:c r="K178" s="1"/>
      <x:c r="L178" s="1"/>
      <x:c r="M178" s="1"/>
      <x:c r="N178" s="1"/>
      <x:c r="O178" s="1"/>
    </x:row>
    <x:row r="179">
      <x:c r="A179" s="1" t="str">
        <x:v>C0178</x:v>
      </x:c>
      <x:c r="B179" s="1" t="str">
        <x:v>Kai</x:v>
      </x:c>
      <x:c r="C179" s="1" t="str">
        <x:v>customer0178@example.com</x:v>
      </x:c>
      <x:c r="D179" s="1" t="str">
        <x:v>Singapore</x:v>
      </x:c>
      <x:c r="E179" s="1" t="str">
        <x:v>2026-08-03</x:v>
      </x:c>
      <x:c r="F179" s="1" t="str">
        <x:v>2026-09-05</x:v>
      </x:c>
      <x:c r="G179" s="1" t="str">
        <x:v>2</x:v>
      </x:c>
      <x:c r="H179" s="1" t="str">
        <x:v>25.0</x:v>
      </x:c>
      <x:c r="I179" s="1" t="str">
        <x:v>5</x:v>
      </x:c>
      <x:c r="J179" s="1" t="str">
        <x:v>web</x:v>
      </x:c>
      <x:c r="K179" s="1"/>
      <x:c r="L179" s="1"/>
      <x:c r="M179" s="1"/>
      <x:c r="N179" s="1"/>
      <x:c r="O179" s="1"/>
    </x:row>
    <x:row r="180">
      <x:c r="A180" s="1" t="str">
        <x:v>C0179</x:v>
      </x:c>
      <x:c r="B180" s="1" t="str">
        <x:v>Diego</x:v>
      </x:c>
      <x:c r="C180" s="1" t="str">
        <x:v>customer0179@example.com</x:v>
      </x:c>
      <x:c r="D180" s="1" t="str">
        <x:v>Germany</x:v>
      </x:c>
      <x:c r="E180" s="1" t="str">
        <x:v>2026-09-08</x:v>
      </x:c>
      <x:c r="F180" s="1" t="str">
        <x:v>2026-09-13</x:v>
      </x:c>
      <x:c r="G180" s="1" t="str">
        <x:v>1</x:v>
      </x:c>
      <x:c r="H180" s="1" t="str">
        <x:v>134.3</x:v>
      </x:c>
      <x:c r="I180" s="1" t="str">
        <x:v>2</x:v>
      </x:c>
      <x:c r="J180" s="1" t="str">
        <x:v>web</x:v>
      </x:c>
      <x:c r="K180" s="1"/>
      <x:c r="L180" s="1"/>
      <x:c r="M180" s="1"/>
      <x:c r="N180" s="1"/>
      <x:c r="O180" s="1"/>
    </x:row>
    <x:row r="181">
      <x:c r="A181" s="1" t="str">
        <x:v>C0180</x:v>
      </x:c>
      <x:c r="B181" s="1" t="str">
        <x:v>Aarav</x:v>
      </x:c>
      <x:c r="C181" s="1" t="str">
        <x:v>customer0180@example.com</x:v>
      </x:c>
      <x:c r="D181" s="1" t="str">
        <x:v>Brazil</x:v>
      </x:c>
      <x:c r="E181" s="1" t="str">
        <x:v>2026-07-31</x:v>
      </x:c>
      <x:c r="F181" s="1" t="str">
        <x:v>2026-09-24</x:v>
      </x:c>
      <x:c r="G181" s="1" t="str">
        <x:v>12</x:v>
      </x:c>
      <x:c r="H181" s="1" t="str">
        <x:v>1819.49</x:v>
      </x:c>
      <x:c r="I181" s="1" t="str">
        <x:v>7</x:v>
      </x:c>
      <x:c r="J181" s="1" t="str">
        <x:v>app</x:v>
      </x:c>
      <x:c r="K181" s="1"/>
      <x:c r="L181" s="1"/>
      <x:c r="M181" s="1"/>
      <x:c r="N181" s="1"/>
      <x:c r="O181" s="1"/>
    </x:row>
    <x:row r="182">
      <x:c r="A182" s="1" t="str">
        <x:v>C0181</x:v>
      </x:c>
      <x:c r="B182" s="1" t="str">
        <x:v>Omar</x:v>
      </x:c>
      <x:c r="C182" s="1" t="str">
        <x:v>customer0181@example.com</x:v>
      </x:c>
      <x:c r="D182" s="1" t="str">
        <x:v>Nigeria</x:v>
      </x:c>
      <x:c r="E182" s="1" t="str">
        <x:v>2024-12-01</x:v>
      </x:c>
      <x:c r="F182" s="1" t="str">
        <x:v>2026-05-12</x:v>
      </x:c>
      <x:c r="G182" s="1" t="str">
        <x:v>10</x:v>
      </x:c>
      <x:c r="H182" s="1" t="str">
        <x:v>931.44</x:v>
      </x:c>
      <x:c r="I182" s="1" t="str">
        <x:v>2</x:v>
      </x:c>
      <x:c r="J182" s="1" t="str">
        <x:v>web</x:v>
      </x:c>
      <x:c r="K182" s="1"/>
      <x:c r="L182" s="1"/>
      <x:c r="M182" s="1"/>
      <x:c r="N182" s="1"/>
      <x:c r="O182" s="1"/>
    </x:row>
    <x:row r="183">
      <x:c r="A183" s="1" t="str">
        <x:v>C0182</x:v>
      </x:c>
      <x:c r="B183" s="1" t="str">
        <x:v>Kai</x:v>
      </x:c>
      <x:c r="C183" s="1" t="str">
        <x:v>customer0182@example.com</x:v>
      </x:c>
      <x:c r="D183" s="1" t="str">
        <x:v>Singapore</x:v>
      </x:c>
      <x:c r="E183" s="1" t="str">
        <x:v>2024-05-15</x:v>
      </x:c>
      <x:c r="F183" s="1" t="str">
        <x:v>2026-02-25</x:v>
      </x:c>
      <x:c r="G183" s="1" t="str">
        <x:v>2</x:v>
      </x:c>
      <x:c r="H183" s="1" t="str">
        <x:v>44.01</x:v>
      </x:c>
      <x:c r="I183" s="1" t="str">
        <x:v>7</x:v>
      </x:c>
      <x:c r="J183" s="1" t="str">
        <x:v>store</x:v>
      </x:c>
      <x:c r="K183" s="1"/>
      <x:c r="L183" s="1"/>
      <x:c r="M183" s="1"/>
      <x:c r="N183" s="1"/>
      <x:c r="O183" s="1"/>
    </x:row>
    <x:row r="184">
      <x:c r="A184" s="1" t="str">
        <x:v>C0183</x:v>
      </x:c>
      <x:c r="B184" s="1" t="str">
        <x:v>Leila</x:v>
      </x:c>
      <x:c r="C184" s="1" t="str">
        <x:v>customer0183@example.com</x:v>
      </x:c>
      <x:c r="D184" s="1" t="str">
        <x:v>UAE</x:v>
      </x:c>
      <x:c r="E184" s="1" t="str">
        <x:v>2025-04-18</x:v>
      </x:c>
      <x:c r="F184" s="1" t="str">
        <x:v>2026-06-02</x:v>
      </x:c>
      <x:c r="G184" s="1" t="str">
        <x:v>8</x:v>
      </x:c>
      <x:c r="H184" s="1" t="str">
        <x:v>658.96</x:v>
      </x:c>
      <x:c r="I184" s="1" t="str">
        <x:v>11</x:v>
      </x:c>
      <x:c r="J184" s="1" t="str">
        <x:v>app</x:v>
      </x:c>
      <x:c r="K184" s="1"/>
      <x:c r="L184" s="1"/>
      <x:c r="M184" s="1"/>
      <x:c r="N184" s="1"/>
      <x:c r="O184" s="1"/>
    </x:row>
    <x:row r="185">
      <x:c r="A185" s="1" t="str">
        <x:v>C0184</x:v>
      </x:c>
      <x:c r="B185" s="1" t="str">
        <x:v>Hana</x:v>
      </x:c>
      <x:c r="C185" s="1" t="str">
        <x:v>customer0184@example.com</x:v>
      </x:c>
      <x:c r="D185" s="1" t="str">
        <x:v>Japan</x:v>
      </x:c>
      <x:c r="E185" s="1" t="str">
        <x:v>2025-09-26</x:v>
      </x:c>
      <x:c r="F185" s="1" t="str">
        <x:v>2026-06-22</x:v>
      </x:c>
      <x:c r="G185" s="1" t="str">
        <x:v>8</x:v>
      </x:c>
      <x:c r="H185" s="1" t="str">
        <x:v>487.03</x:v>
      </x:c>
      <x:c r="I185" s="1" t="str">
        <x:v>8</x:v>
      </x:c>
      <x:c r="J185" s="1" t="str">
        <x:v>app</x:v>
      </x:c>
      <x:c r="K185" s="1"/>
      <x:c r="L185" s="1"/>
      <x:c r="M185" s="1"/>
      <x:c r="N185" s="1"/>
      <x:c r="O185" s="1"/>
    </x:row>
    <x:row r="186">
      <x:c r="A186" s="1" t="str">
        <x:v>C0185</x:v>
      </x:c>
      <x:c r="B186" s="1" t="str">
        <x:v>Kai</x:v>
      </x:c>
      <x:c r="C186" s="1" t="str">
        <x:v>customer0185@example.com</x:v>
      </x:c>
      <x:c r="D186" s="1" t="str">
        <x:v>Nigeria</x:v>
      </x:c>
      <x:c r="E186" s="1" t="str">
        <x:v>2024-08-30</x:v>
      </x:c>
      <x:c r="F186" s="1" t="str">
        <x:v>2026-04-30</x:v>
      </x:c>
      <x:c r="G186" s="1" t="str">
        <x:v>10</x:v>
      </x:c>
      <x:c r="H186" s="1" t="str">
        <x:v>395.91</x:v>
      </x:c>
      <x:c r="I186" s="1" t="str">
        <x:v>10</x:v>
      </x:c>
      <x:c r="J186" s="1" t="str">
        <x:v>app</x:v>
      </x:c>
      <x:c r="K186" s="1"/>
      <x:c r="L186" s="1"/>
      <x:c r="M186" s="1"/>
      <x:c r="N186" s="1"/>
      <x:c r="O186" s="1"/>
    </x:row>
    <x:row r="187">
      <x:c r="A187" s="1" t="str">
        <x:v>C0186</x:v>
      </x:c>
      <x:c r="B187" s="1" t="str">
        <x:v>Nia</x:v>
      </x:c>
      <x:c r="C187" s="1" t="str">
        <x:v>customer0186@example.com</x:v>
      </x:c>
      <x:c r="D187" s="1" t="str">
        <x:v>Japan</x:v>
      </x:c>
      <x:c r="E187" s="1" t="str">
        <x:v>2025-05-07</x:v>
      </x:c>
      <x:c r="F187" s="1" t="str">
        <x:v>2026-08-11</x:v>
      </x:c>
      <x:c r="G187" s="1" t="str">
        <x:v>7</x:v>
      </x:c>
      <x:c r="H187" s="1" t="str">
        <x:v>308.73</x:v>
      </x:c>
      <x:c r="I187" s="1" t="str">
        <x:v>11</x:v>
      </x:c>
      <x:c r="J187" s="1" t="str">
        <x:v>web</x:v>
      </x:c>
      <x:c r="K187" s="1"/>
      <x:c r="L187" s="1"/>
      <x:c r="M187" s="1"/>
      <x:c r="N187" s="1"/>
      <x:c r="O187" s="1"/>
    </x:row>
    <x:row r="188">
      <x:c r="A188" s="1" t="str">
        <x:v>C0187</x:v>
      </x:c>
      <x:c r="B188" s="1" t="str">
        <x:v>Zara</x:v>
      </x:c>
      <x:c r="C188" s="1" t="str">
        <x:v>customer0187@example.com</x:v>
      </x:c>
      <x:c r="D188" s="1" t="str">
        <x:v>UK</x:v>
      </x:c>
      <x:c r="E188" s="1" t="str">
        <x:v>2024-12-11</x:v>
      </x:c>
      <x:c r="F188" s="1" t="str">
        <x:v>2026-07-27</x:v>
      </x:c>
      <x:c r="G188" s="1" t="str">
        <x:v>8</x:v>
      </x:c>
      <x:c r="H188" s="1" t="str">
        <x:v>741.4</x:v>
      </x:c>
      <x:c r="I188" s="1" t="str">
        <x:v>5</x:v>
      </x:c>
      <x:c r="J188" s="1" t="str">
        <x:v>web</x:v>
      </x:c>
      <x:c r="K188" s="1"/>
      <x:c r="L188" s="1"/>
      <x:c r="M188" s="1"/>
      <x:c r="N188" s="1"/>
      <x:c r="O188" s="1"/>
    </x:row>
    <x:row r="189">
      <x:c r="A189" s="1" t="str">
        <x:v>C0188</x:v>
      </x:c>
      <x:c r="B189" s="1" t="str">
        <x:v>Ines</x:v>
      </x:c>
      <x:c r="C189" s="1" t="str">
        <x:v>customer0188@example.com</x:v>
      </x:c>
      <x:c r="D189" s="1" t="str">
        <x:v>Nigeria</x:v>
      </x:c>
      <x:c r="E189" s="1" t="str">
        <x:v>2026-08-22</x:v>
      </x:c>
      <x:c r="F189" s="1" t="str">
        <x:v>2026-09-08</x:v>
      </x:c>
      <x:c r="G189" s="1" t="str">
        <x:v>1</x:v>
      </x:c>
      <x:c r="H189" s="1" t="str">
        <x:v>101.23</x:v>
      </x:c>
      <x:c r="I189" s="1" t="str">
        <x:v>2</x:v>
      </x:c>
      <x:c r="J189" s="1" t="str">
        <x:v>store</x:v>
      </x:c>
      <x:c r="K189" s="1"/>
      <x:c r="L189" s="1"/>
      <x:c r="M189" s="1"/>
      <x:c r="N189" s="1"/>
      <x:c r="O189" s="1"/>
    </x:row>
    <x:row r="190">
      <x:c r="A190" s="1" t="str">
        <x:v>C0189</x:v>
      </x:c>
      <x:c r="B190" s="1" t="str">
        <x:v>Chloe</x:v>
      </x:c>
      <x:c r="C190" s="1" t="str">
        <x:v>customer0189@example.com</x:v>
      </x:c>
      <x:c r="D190" s="1" t="str">
        <x:v>UK</x:v>
      </x:c>
      <x:c r="E190" s="1" t="str">
        <x:v>2025-03-05</x:v>
      </x:c>
      <x:c r="F190" s="1" t="str">
        <x:v>2026-08-21</x:v>
      </x:c>
      <x:c r="G190" s="1" t="str">
        <x:v>8</x:v>
      </x:c>
      <x:c r="H190" s="1" t="str">
        <x:v>428.59</x:v>
      </x:c>
      <x:c r="I190" s="1" t="str">
        <x:v>3</x:v>
      </x:c>
      <x:c r="J190" s="1" t="str">
        <x:v>web</x:v>
      </x:c>
      <x:c r="K190" s="1"/>
      <x:c r="L190" s="1"/>
      <x:c r="M190" s="1"/>
      <x:c r="N190" s="1"/>
      <x:c r="O190" s="1"/>
    </x:row>
    <x:row r="191">
      <x:c r="A191" s="1" t="str">
        <x:v>C0190</x:v>
      </x:c>
      <x:c r="B191" s="1" t="str">
        <x:v>Sofia</x:v>
      </x:c>
      <x:c r="C191" s="1" t="str">
        <x:v>customer0190@example.com</x:v>
      </x:c>
      <x:c r="D191" s="1" t="str">
        <x:v>USA</x:v>
      </x:c>
      <x:c r="E191" s="1" t="str">
        <x:v>2024-04-09</x:v>
      </x:c>
      <x:c r="F191" s="1" t="str">
        <x:v>2026-02-11</x:v>
      </x:c>
      <x:c r="G191" s="1" t="str">
        <x:v>1</x:v>
      </x:c>
      <x:c r="H191" s="1" t="str">
        <x:v>43.81</x:v>
      </x:c>
      <x:c r="I191" s="1" t="str">
        <x:v>6</x:v>
      </x:c>
      <x:c r="J191" s="1" t="str">
        <x:v>app</x:v>
      </x:c>
      <x:c r="K191" s="1"/>
      <x:c r="L191" s="1"/>
      <x:c r="M191" s="1"/>
      <x:c r="N191" s="1"/>
      <x:c r="O191" s="1"/>
    </x:row>
    <x:row r="192">
      <x:c r="A192" s="1" t="str">
        <x:v>C0191</x:v>
      </x:c>
      <x:c r="B192" s="1" t="str">
        <x:v>Sofia</x:v>
      </x:c>
      <x:c r="C192" s="1" t="str">
        <x:v>customer0191@example.com</x:v>
      </x:c>
      <x:c r="D192" s="1" t="str">
        <x:v>Singapore</x:v>
      </x:c>
      <x:c r="E192" s="1" t="str">
        <x:v>2025-07-04</x:v>
      </x:c>
      <x:c r="F192" s="1" t="str">
        <x:v>2026-01-20</x:v>
      </x:c>
      <x:c r="G192" s="1" t="str">
        <x:v>2</x:v>
      </x:c>
      <x:c r="H192" s="1" t="str">
        <x:v>91.11</x:v>
      </x:c>
      <x:c r="I192" s="1" t="str">
        <x:v>4</x:v>
      </x:c>
      <x:c r="J192" s="1" t="str">
        <x:v>app</x:v>
      </x:c>
      <x:c r="K192" s="1"/>
      <x:c r="L192" s="1"/>
      <x:c r="M192" s="1"/>
      <x:c r="N192" s="1"/>
      <x:c r="O192" s="1"/>
    </x:row>
    <x:row r="193">
      <x:c r="A193" s="1" t="str">
        <x:v>C0192</x:v>
      </x:c>
      <x:c r="B193" s="1" t="str">
        <x:v>Arjun</x:v>
      </x:c>
      <x:c r="C193" s="1" t="str">
        <x:v>customer0192@example.com</x:v>
      </x:c>
      <x:c r="D193" s="1" t="str">
        <x:v>USA</x:v>
      </x:c>
      <x:c r="E193" s="1" t="str">
        <x:v>2024-08-08</x:v>
      </x:c>
      <x:c r="F193" s="1" t="str">
        <x:v>2025-10-29</x:v>
      </x:c>
      <x:c r="G193" s="1" t="str">
        <x:v>1</x:v>
      </x:c>
      <x:c r="H193" s="1" t="str">
        <x:v>17.21</x:v>
      </x:c>
      <x:c r="I193" s="1" t="str">
        <x:v>8</x:v>
      </x:c>
      <x:c r="J193" s="1" t="str">
        <x:v>store</x:v>
      </x:c>
      <x:c r="K193" s="1"/>
      <x:c r="L193" s="1"/>
      <x:c r="M193" s="1"/>
      <x:c r="N193" s="1"/>
      <x:c r="O193" s="1"/>
    </x:row>
    <x:row r="194">
      <x:c r="A194" s="1" t="str">
        <x:v>C0193</x:v>
      </x:c>
      <x:c r="B194" s="1" t="str">
        <x:v>Aarav</x:v>
      </x:c>
      <x:c r="C194" s="1" t="str">
        <x:v>customer0193@example.com</x:v>
      </x:c>
      <x:c r="D194" s="1" t="str">
        <x:v>USA</x:v>
      </x:c>
      <x:c r="E194" s="1" t="str">
        <x:v>2025-08-01</x:v>
      </x:c>
      <x:c r="F194" s="1" t="str">
        <x:v>2026-09-19</x:v>
      </x:c>
      <x:c r="G194" s="1" t="str">
        <x:v>4</x:v>
      </x:c>
      <x:c r="H194" s="1" t="str">
        <x:v>380.05</x:v>
      </x:c>
      <x:c r="I194" s="1" t="str">
        <x:v>6</x:v>
      </x:c>
      <x:c r="J194" s="1" t="str">
        <x:v>store</x:v>
      </x:c>
      <x:c r="K194" s="1"/>
      <x:c r="L194" s="1"/>
      <x:c r="M194" s="1"/>
      <x:c r="N194" s="1"/>
      <x:c r="O194" s="1"/>
    </x:row>
    <x:row r="195">
      <x:c r="A195" s="1" t="str">
        <x:v>C0194</x:v>
      </x:c>
      <x:c r="B195" s="1" t="str">
        <x:v>Mei</x:v>
      </x:c>
      <x:c r="C195" s="1" t="str">
        <x:v>customer0194@example.com</x:v>
      </x:c>
      <x:c r="D195" s="1" t="str">
        <x:v>USA</x:v>
      </x:c>
      <x:c r="E195" s="1" t="str">
        <x:v>2026-08-01</x:v>
      </x:c>
      <x:c r="F195" s="1" t="str">
        <x:v>2026-09-07</x:v>
      </x:c>
      <x:c r="G195" s="1" t="str">
        <x:v>2</x:v>
      </x:c>
      <x:c r="H195" s="1" t="str">
        <x:v>155.36</x:v>
      </x:c>
      <x:c r="I195" s="1" t="str">
        <x:v>10</x:v>
      </x:c>
      <x:c r="J195" s="1" t="str">
        <x:v>app</x:v>
      </x:c>
      <x:c r="K195" s="1"/>
      <x:c r="L195" s="1"/>
      <x:c r="M195" s="1"/>
      <x:c r="N195" s="1"/>
      <x:c r="O195" s="1"/>
    </x:row>
    <x:row r="196">
      <x:c r="A196" s="1" t="str">
        <x:v>C0195</x:v>
      </x:c>
      <x:c r="B196" s="1" t="str">
        <x:v>Arjun</x:v>
      </x:c>
      <x:c r="C196" s="1" t="str">
        <x:v>customer0195@example.com</x:v>
      </x:c>
      <x:c r="D196" s="1" t="str">
        <x:v>Singapore</x:v>
      </x:c>
      <x:c r="E196" s="1" t="str">
        <x:v>2026-08-07</x:v>
      </x:c>
      <x:c r="F196" s="1" t="str">
        <x:v>2026-09-16</x:v>
      </x:c>
      <x:c r="G196" s="1" t="str">
        <x:v>2</x:v>
      </x:c>
      <x:c r="H196" s="1" t="str">
        <x:v>70.08</x:v>
      </x:c>
      <x:c r="I196" s="1" t="str">
        <x:v>6</x:v>
      </x:c>
      <x:c r="J196" s="1" t="str">
        <x:v>app</x:v>
      </x:c>
      <x:c r="K196" s="1"/>
      <x:c r="L196" s="1"/>
      <x:c r="M196" s="1"/>
      <x:c r="N196" s="1"/>
      <x:c r="O196" s="1"/>
    </x:row>
    <x:row r="197">
      <x:c r="A197" s="1" t="str">
        <x:v>C0196</x:v>
      </x:c>
      <x:c r="B197" s="1" t="str">
        <x:v>Noah</x:v>
      </x:c>
      <x:c r="C197" s="1" t="str">
        <x:v>customer0196@example.com</x:v>
      </x:c>
      <x:c r="D197" s="1" t="str">
        <x:v>India</x:v>
      </x:c>
      <x:c r="E197" s="1" t="str">
        <x:v>2024-11-26</x:v>
      </x:c>
      <x:c r="F197" s="1" t="str">
        <x:v>2026-04-04</x:v>
      </x:c>
      <x:c r="G197" s="1" t="str">
        <x:v>2</x:v>
      </x:c>
      <x:c r="H197" s="1" t="str">
        <x:v>163.65</x:v>
      </x:c>
      <x:c r="I197" s="1" t="str">
        <x:v>9</x:v>
      </x:c>
      <x:c r="J197" s="1" t="str">
        <x:v>web</x:v>
      </x:c>
      <x:c r="K197" s="1"/>
      <x:c r="L197" s="1"/>
      <x:c r="M197" s="1"/>
      <x:c r="N197" s="1"/>
      <x:c r="O197" s="1"/>
    </x:row>
    <x:row r="198">
      <x:c r="A198" s="1" t="str">
        <x:v>C0197</x:v>
      </x:c>
      <x:c r="B198" s="1" t="str">
        <x:v>Samuel</x:v>
      </x:c>
      <x:c r="C198" s="1" t="str">
        <x:v>customer0197@example.com</x:v>
      </x:c>
      <x:c r="D198" s="1" t="str">
        <x:v>Australia</x:v>
      </x:c>
      <x:c r="E198" s="1" t="str">
        <x:v>2025-04-10</x:v>
      </x:c>
      <x:c r="F198" s="1" t="str">
        <x:v>2026-05-13</x:v>
      </x:c>
      <x:c r="G198" s="1" t="str">
        <x:v>8</x:v>
      </x:c>
      <x:c r="H198" s="1" t="str">
        <x:v>1144.91</x:v>
      </x:c>
      <x:c r="I198" s="1" t="str">
        <x:v>1</x:v>
      </x:c>
      <x:c r="J198" s="1" t="str">
        <x:v>app</x:v>
      </x:c>
      <x:c r="K198" s="1"/>
      <x:c r="L198" s="1"/>
      <x:c r="M198" s="1"/>
      <x:c r="N198" s="1"/>
      <x:c r="O198" s="1"/>
    </x:row>
    <x:row r="199">
      <x:c r="A199" s="1" t="str">
        <x:v>C0198</x:v>
      </x:c>
      <x:c r="B199" s="1" t="str">
        <x:v>Ethan</x:v>
      </x:c>
      <x:c r="C199" s="1" t="str">
        <x:v>customer0198@example.com</x:v>
      </x:c>
      <x:c r="D199" s="1" t="str">
        <x:v>Brazil</x:v>
      </x:c>
      <x:c r="E199" s="1" t="str">
        <x:v>2026-02-02</x:v>
      </x:c>
      <x:c r="F199" s="1" t="str">
        <x:v>2026-08-25</x:v>
      </x:c>
      <x:c r="G199" s="1" t="str">
        <x:v>4</x:v>
      </x:c>
      <x:c r="H199" s="1" t="str">
        <x:v>701.35</x:v>
      </x:c>
      <x:c r="I199" s="1" t="str">
        <x:v>1</x:v>
      </x:c>
      <x:c r="J199" s="1" t="str">
        <x:v>store</x:v>
      </x:c>
      <x:c r="K199" s="1"/>
      <x:c r="L199" s="1"/>
      <x:c r="M199" s="1"/>
      <x:c r="N199" s="1"/>
      <x:c r="O199" s="1"/>
    </x:row>
    <x:row r="200">
      <x:c r="A200" s="1" t="str">
        <x:v>C0199</x:v>
      </x:c>
      <x:c r="B200" s="1" t="str">
        <x:v>Yara</x:v>
      </x:c>
      <x:c r="C200" s="1" t="str">
        <x:v>customer0199@example.com</x:v>
      </x:c>
      <x:c r="D200" s="1" t="str">
        <x:v>Brazil</x:v>
      </x:c>
      <x:c r="E200" s="1" t="str">
        <x:v>2024-07-22</x:v>
      </x:c>
      <x:c r="F200" s="1" t="str">
        <x:v>2026-05-07</x:v>
      </x:c>
      <x:c r="G200" s="1" t="str">
        <x:v>10</x:v>
      </x:c>
      <x:c r="H200" s="1" t="str">
        <x:v>839.02</x:v>
      </x:c>
      <x:c r="I200" s="1" t="str">
        <x:v>8</x:v>
      </x:c>
      <x:c r="J200" s="1" t="str">
        <x:v>web</x:v>
      </x:c>
      <x:c r="K200" s="1"/>
      <x:c r="L200" s="1"/>
      <x:c r="M200" s="1"/>
      <x:c r="N200" s="1"/>
      <x:c r="O200" s="1"/>
    </x:row>
    <x:row r="201">
      <x:c r="A201" s="1" t="str">
        <x:v>C0200</x:v>
      </x:c>
      <x:c r="B201" s="1" t="str">
        <x:v>Mateo</x:v>
      </x:c>
      <x:c r="C201" s="1" t="str">
        <x:v>customer0200@example.com</x:v>
      </x:c>
      <x:c r="D201" s="1" t="str">
        <x:v>Japan</x:v>
      </x:c>
      <x:c r="E201" s="1" t="str">
        <x:v>2025-08-28</x:v>
      </x:c>
      <x:c r="F201" s="1" t="str">
        <x:v>2026-03-04</x:v>
      </x:c>
      <x:c r="G201" s="1" t="str">
        <x:v>6</x:v>
      </x:c>
      <x:c r="H201" s="1" t="str">
        <x:v>1388.82</x:v>
      </x:c>
      <x:c r="I201" s="1" t="str">
        <x:v>12</x:v>
      </x:c>
      <x:c r="J201" s="1" t="str">
        <x:v>app</x:v>
      </x:c>
      <x:c r="K201" s="1"/>
      <x:c r="L201" s="1"/>
      <x:c r="M201" s="1"/>
      <x:c r="N201" s="1"/>
      <x:c r="O201" s="1"/>
    </x:row>
    <x:row r="202">
      <x:c r="A202" s="1" t="str">
        <x:v>C0201</x:v>
      </x:c>
      <x:c r="B202" s="1" t="str">
        <x:v>Omar</x:v>
      </x:c>
      <x:c r="C202" s="1" t="str">
        <x:v>customer0201@example.com</x:v>
      </x:c>
      <x:c r="D202" s="1" t="str">
        <x:v>UAE</x:v>
      </x:c>
      <x:c r="E202" s="1" t="str">
        <x:v>2026-08-26</x:v>
      </x:c>
      <x:c r="F202" s="1" t="str">
        <x:v>2026-09-11</x:v>
      </x:c>
      <x:c r="G202" s="1" t="str">
        <x:v>2</x:v>
      </x:c>
      <x:c r="H202" s="1" t="str">
        <x:v>122.01</x:v>
      </x:c>
      <x:c r="I202" s="1" t="str">
        <x:v>6</x:v>
      </x:c>
      <x:c r="J202" s="1" t="str">
        <x:v>app</x:v>
      </x:c>
      <x:c r="K202" s="1"/>
      <x:c r="L202" s="1"/>
      <x:c r="M202" s="1"/>
      <x:c r="N202" s="1"/>
      <x:c r="O202" s="1"/>
    </x:row>
    <x:row r="203">
      <x:c r="A203" s="1" t="str">
        <x:v>C0202</x:v>
      </x:c>
      <x:c r="B203" s="1" t="str">
        <x:v>Chloe</x:v>
      </x:c>
      <x:c r="C203" s="1" t="str">
        <x:v>customer0202@example.com</x:v>
      </x:c>
      <x:c r="D203" s="1" t="str">
        <x:v>Nigeria</x:v>
      </x:c>
      <x:c r="E203" s="1" t="str">
        <x:v>2024-10-26</x:v>
      </x:c>
      <x:c r="F203" s="1" t="str">
        <x:v>2026-09-17</x:v>
      </x:c>
      <x:c r="G203" s="1" t="str">
        <x:v>14</x:v>
      </x:c>
      <x:c r="H203" s="1" t="str">
        <x:v>1605.7</x:v>
      </x:c>
      <x:c r="I203" s="1" t="str">
        <x:v>4</x:v>
      </x:c>
      <x:c r="J203" s="1" t="str">
        <x:v>app</x:v>
      </x:c>
      <x:c r="K203" s="1"/>
      <x:c r="L203" s="1"/>
      <x:c r="M203" s="1"/>
      <x:c r="N203" s="1"/>
      <x:c r="O203" s="1"/>
    </x:row>
    <x:row r="204">
      <x:c r="A204" s="1" t="str">
        <x:v>C0203</x:v>
      </x:c>
      <x:c r="B204" s="1" t="str">
        <x:v>Noah</x:v>
      </x:c>
      <x:c r="C204" s="1" t="str">
        <x:v>customer0203@example.com</x:v>
      </x:c>
      <x:c r="D204" s="1" t="str">
        <x:v>USA</x:v>
      </x:c>
      <x:c r="E204" s="1" t="str">
        <x:v>2025-06-26</x:v>
      </x:c>
      <x:c r="F204" s="1" t="str">
        <x:v>2026-08-01</x:v>
      </x:c>
      <x:c r="G204" s="1" t="str">
        <x:v>7</x:v>
      </x:c>
      <x:c r="H204" s="1" t="str">
        <x:v>880.05</x:v>
      </x:c>
      <x:c r="I204" s="1" t="str">
        <x:v>2</x:v>
      </x:c>
      <x:c r="J204" s="1" t="str">
        <x:v>app</x:v>
      </x:c>
      <x:c r="K204" s="1"/>
      <x:c r="L204" s="1"/>
      <x:c r="M204" s="1"/>
      <x:c r="N204" s="1"/>
      <x:c r="O204" s="1"/>
    </x:row>
    <x:row r="205">
      <x:c r="A205" s="1" t="str">
        <x:v>C0204</x:v>
      </x:c>
      <x:c r="B205" s="1" t="str">
        <x:v>Elena</x:v>
      </x:c>
      <x:c r="C205" s="1" t="str">
        <x:v>customer0204@example.com</x:v>
      </x:c>
      <x:c r="D205" s="1" t="str">
        <x:v>USA</x:v>
      </x:c>
      <x:c r="E205" s="1" t="str">
        <x:v>2024-10-21</x:v>
      </x:c>
      <x:c r="F205" s="1" t="str">
        <x:v>2026-05-19</x:v>
      </x:c>
      <x:c r="G205" s="1" t="str">
        <x:v>1</x:v>
      </x:c>
      <x:c r="H205" s="1" t="str">
        <x:v>97.1</x:v>
      </x:c>
      <x:c r="I205" s="1" t="str">
        <x:v>2</x:v>
      </x:c>
      <x:c r="J205" s="1" t="str">
        <x:v>web</x:v>
      </x:c>
      <x:c r="K205" s="1"/>
      <x:c r="L205" s="1"/>
      <x:c r="M205" s="1"/>
      <x:c r="N205" s="1"/>
      <x:c r="O205" s="1"/>
    </x:row>
    <x:row r="206">
      <x:c r="A206" s="1" t="str">
        <x:v>C0205</x:v>
      </x:c>
      <x:c r="B206" s="1" t="str">
        <x:v>Kai</x:v>
      </x:c>
      <x:c r="C206" s="1" t="str">
        <x:v>customer0205@example.com</x:v>
      </x:c>
      <x:c r="D206" s="1" t="str">
        <x:v>Japan</x:v>
      </x:c>
      <x:c r="E206" s="1" t="str">
        <x:v>2026-08-17</x:v>
      </x:c>
      <x:c r="F206" s="1" t="str">
        <x:v>2026-09-04</x:v>
      </x:c>
      <x:c r="G206" s="1" t="str">
        <x:v>2</x:v>
      </x:c>
      <x:c r="H206" s="1" t="str">
        <x:v>94.9</x:v>
      </x:c>
      <x:c r="I206" s="1" t="str">
        <x:v>10</x:v>
      </x:c>
      <x:c r="J206" s="1" t="str">
        <x:v>app</x:v>
      </x:c>
      <x:c r="K206" s="1"/>
      <x:c r="L206" s="1"/>
      <x:c r="M206" s="1"/>
      <x:c r="N206" s="1"/>
      <x:c r="O206" s="1"/>
    </x:row>
    <x:row r="207">
      <x:c r="A207" s="1" t="str">
        <x:v>C0206</x:v>
      </x:c>
      <x:c r="B207" s="1" t="str">
        <x:v>Omar</x:v>
      </x:c>
      <x:c r="C207" s="1" t="str">
        <x:v>customer0206@example.com</x:v>
      </x:c>
      <x:c r="D207" s="1" t="str">
        <x:v>UAE</x:v>
      </x:c>
      <x:c r="E207" s="1" t="str">
        <x:v>2025-03-05</x:v>
      </x:c>
      <x:c r="F207" s="1" t="str">
        <x:v>2025-10-26</x:v>
      </x:c>
      <x:c r="G207" s="1" t="str">
        <x:v>2</x:v>
      </x:c>
      <x:c r="H207" s="1" t="str">
        <x:v>152.13</x:v>
      </x:c>
      <x:c r="I207" s="1" t="str">
        <x:v>10</x:v>
      </x:c>
      <x:c r="J207" s="1" t="str">
        <x:v>web</x:v>
      </x:c>
      <x:c r="K207" s="1"/>
      <x:c r="L207" s="1"/>
      <x:c r="M207" s="1"/>
      <x:c r="N207" s="1"/>
      <x:c r="O207" s="1"/>
    </x:row>
    <x:row r="208">
      <x:c r="A208" s="1" t="str">
        <x:v>C0207</x:v>
      </x:c>
      <x:c r="B208" s="1" t="str">
        <x:v>Chloe</x:v>
      </x:c>
      <x:c r="C208" s="1" t="str">
        <x:v>customer0207@example.com</x:v>
      </x:c>
      <x:c r="D208" s="1" t="str">
        <x:v>USA</x:v>
      </x:c>
      <x:c r="E208" s="1" t="str">
        <x:v>2025-06-06</x:v>
      </x:c>
      <x:c r="F208" s="1" t="str">
        <x:v>2026-03-20</x:v>
      </x:c>
      <x:c r="G208" s="1" t="str">
        <x:v>2</x:v>
      </x:c>
      <x:c r="H208" s="1" t="str">
        <x:v>15.47</x:v>
      </x:c>
      <x:c r="I208" s="1" t="str">
        <x:v>10</x:v>
      </x:c>
      <x:c r="J208" s="1" t="str">
        <x:v>web</x:v>
      </x:c>
      <x:c r="K208" s="1"/>
      <x:c r="L208" s="1"/>
      <x:c r="M208" s="1"/>
      <x:c r="N208" s="1"/>
      <x:c r="O208" s="1"/>
    </x:row>
    <x:row r="209">
      <x:c r="A209" s="1" t="str">
        <x:v>C0208</x:v>
      </x:c>
      <x:c r="B209" s="1" t="str">
        <x:v>Nia</x:v>
      </x:c>
      <x:c r="C209" s="1" t="str">
        <x:v>customer0208@example.com</x:v>
      </x:c>
      <x:c r="D209" s="1" t="str">
        <x:v>Brazil</x:v>
      </x:c>
      <x:c r="E209" s="1" t="str">
        <x:v>2026-04-25</x:v>
      </x:c>
      <x:c r="F209" s="1" t="str">
        <x:v>2026-07-21</x:v>
      </x:c>
      <x:c r="G209" s="1" t="str">
        <x:v>6</x:v>
      </x:c>
      <x:c r="H209" s="1" t="str">
        <x:v>636.35</x:v>
      </x:c>
      <x:c r="I209" s="1" t="str">
        <x:v>2</x:v>
      </x:c>
      <x:c r="J209" s="1" t="str">
        <x:v>web</x:v>
      </x:c>
      <x:c r="K209" s="1"/>
      <x:c r="L209" s="1"/>
      <x:c r="M209" s="1"/>
      <x:c r="N209" s="1"/>
      <x:c r="O209" s="1"/>
    </x:row>
    <x:row r="210">
      <x:c r="A210" s="1" t="str">
        <x:v>C0209</x:v>
      </x:c>
      <x:c r="B210" s="1" t="str">
        <x:v>Yara</x:v>
      </x:c>
      <x:c r="C210" s="1" t="str">
        <x:v>customer0209@example.com</x:v>
      </x:c>
      <x:c r="D210" s="1" t="str">
        <x:v>UK</x:v>
      </x:c>
      <x:c r="E210" s="1" t="str">
        <x:v>2025-06-27</x:v>
      </x:c>
      <x:c r="F210" s="1" t="str">
        <x:v>2026-05-25</x:v>
      </x:c>
      <x:c r="G210" s="1" t="str">
        <x:v>1</x:v>
      </x:c>
      <x:c r="H210" s="1" t="str">
        <x:v>159.88</x:v>
      </x:c>
      <x:c r="I210" s="1" t="str">
        <x:v>8</x:v>
      </x:c>
      <x:c r="J210" s="1" t="str">
        <x:v>web</x:v>
      </x:c>
      <x:c r="K210" s="1"/>
      <x:c r="L210" s="1"/>
      <x:c r="M210" s="1"/>
      <x:c r="N210" s="1"/>
      <x:c r="O210" s="1"/>
    </x:row>
    <x:row r="211">
      <x:c r="A211" s="1" t="str">
        <x:v>C0210</x:v>
      </x:c>
      <x:c r="B211" s="1" t="str">
        <x:v>Felix</x:v>
      </x:c>
      <x:c r="C211" s="1" t="str">
        <x:v>customer0210@example.com</x:v>
      </x:c>
      <x:c r="D211" s="1" t="str">
        <x:v>Germany</x:v>
      </x:c>
      <x:c r="E211" s="1" t="str">
        <x:v>2026-09-26</x:v>
      </x:c>
      <x:c r="F211" s="1" t="str">
        <x:v>2026-09-30</x:v>
      </x:c>
      <x:c r="G211" s="1" t="str">
        <x:v>1</x:v>
      </x:c>
      <x:c r="H211" s="1" t="str">
        <x:v>53.56</x:v>
      </x:c>
      <x:c r="I211" s="1" t="str">
        <x:v>4</x:v>
      </x:c>
      <x:c r="J211" s="1" t="str">
        <x:v>store</x:v>
      </x:c>
      <x:c r="K211" s="1"/>
      <x:c r="L211" s="1"/>
      <x:c r="M211" s="1"/>
      <x:c r="N211" s="1"/>
      <x:c r="O211" s="1"/>
    </x:row>
    <x:row r="212">
      <x:c r="A212" s="1" t="str">
        <x:v>C0211</x:v>
      </x:c>
      <x:c r="B212" s="1" t="str">
        <x:v>Chloe</x:v>
      </x:c>
      <x:c r="C212" s="1" t="str">
        <x:v>customer0211@example.com</x:v>
      </x:c>
      <x:c r="D212" s="1" t="str">
        <x:v>UK</x:v>
      </x:c>
      <x:c r="E212" s="1" t="str">
        <x:v>2025-06-21</x:v>
      </x:c>
      <x:c r="F212" s="1" t="str">
        <x:v>2026-09-26</x:v>
      </x:c>
      <x:c r="G212" s="1" t="str">
        <x:v>11</x:v>
      </x:c>
      <x:c r="H212" s="1" t="str">
        <x:v>897.06</x:v>
      </x:c>
      <x:c r="I212" s="1" t="str">
        <x:v>3</x:v>
      </x:c>
      <x:c r="J212" s="1" t="str">
        <x:v>web</x:v>
      </x:c>
      <x:c r="K212" s="1"/>
      <x:c r="L212" s="1"/>
      <x:c r="M212" s="1"/>
      <x:c r="N212" s="1"/>
      <x:c r="O212" s="1"/>
    </x:row>
    <x:row r="213">
      <x:c r="A213" s="1" t="str">
        <x:v>C0212</x:v>
      </x:c>
      <x:c r="B213" s="1" t="str">
        <x:v>Yara</x:v>
      </x:c>
      <x:c r="C213" s="1" t="str">
        <x:v>customer0212@example.com</x:v>
      </x:c>
      <x:c r="D213" s="1" t="str">
        <x:v>Germany</x:v>
      </x:c>
      <x:c r="E213" s="1" t="str">
        <x:v>2024-09-15</x:v>
      </x:c>
      <x:c r="F213" s="1" t="str">
        <x:v>2026-03-30</x:v>
      </x:c>
      <x:c r="G213" s="1" t="str">
        <x:v>1</x:v>
      </x:c>
      <x:c r="H213" s="1" t="str">
        <x:v>131.98</x:v>
      </x:c>
      <x:c r="I213" s="1" t="str">
        <x:v>3</x:v>
      </x:c>
      <x:c r="J213" s="1" t="str">
        <x:v>web</x:v>
      </x:c>
      <x:c r="K213" s="1"/>
      <x:c r="L213" s="1"/>
      <x:c r="M213" s="1"/>
      <x:c r="N213" s="1"/>
      <x:c r="O213" s="1"/>
    </x:row>
    <x:row r="214">
      <x:c r="A214" s="1" t="str">
        <x:v>C0213</x:v>
      </x:c>
      <x:c r="B214" s="1" t="str">
        <x:v>Nia</x:v>
      </x:c>
      <x:c r="C214" s="1" t="str">
        <x:v>customer0213@example.com</x:v>
      </x:c>
      <x:c r="D214" s="1" t="str">
        <x:v>Singapore</x:v>
      </x:c>
      <x:c r="E214" s="1" t="str">
        <x:v>2026-08-17</x:v>
      </x:c>
      <x:c r="F214" s="1" t="str">
        <x:v>2026-09-14</x:v>
      </x:c>
      <x:c r="G214" s="1" t="str">
        <x:v>1</x:v>
      </x:c>
      <x:c r="H214" s="1" t="str">
        <x:v>138.71</x:v>
      </x:c>
      <x:c r="I214" s="1" t="str">
        <x:v>8</x:v>
      </x:c>
      <x:c r="J214" s="1" t="str">
        <x:v>app</x:v>
      </x:c>
      <x:c r="K214" s="1"/>
      <x:c r="L214" s="1"/>
      <x:c r="M214" s="1"/>
      <x:c r="N214" s="1"/>
      <x:c r="O214" s="1"/>
    </x:row>
    <x:row r="215">
      <x:c r="A215" s="1" t="str">
        <x:v>C0214</x:v>
      </x:c>
      <x:c r="B215" s="1" t="str">
        <x:v>Lina</x:v>
      </x:c>
      <x:c r="C215" s="1" t="str">
        <x:v>customer0214@example.com</x:v>
      </x:c>
      <x:c r="D215" s="1" t="str">
        <x:v>India</x:v>
      </x:c>
      <x:c r="E215" s="1" t="str">
        <x:v>2025-04-06</x:v>
      </x:c>
      <x:c r="F215" s="1" t="str">
        <x:v>2026-08-23</x:v>
      </x:c>
      <x:c r="G215" s="1" t="str">
        <x:v>9</x:v>
      </x:c>
      <x:c r="H215" s="1" t="str">
        <x:v>297.54</x:v>
      </x:c>
      <x:c r="I215" s="1" t="str">
        <x:v>7</x:v>
      </x:c>
      <x:c r="J215" s="1" t="str">
        <x:v>web</x:v>
      </x:c>
      <x:c r="K215" s="1"/>
      <x:c r="L215" s="1"/>
      <x:c r="M215" s="1"/>
      <x:c r="N215" s="1"/>
      <x:c r="O215" s="1"/>
    </x:row>
    <x:row r="216">
      <x:c r="A216" s="1" t="str">
        <x:v>C0215</x:v>
      </x:c>
      <x:c r="B216" s="1" t="str">
        <x:v>Aisha</x:v>
      </x:c>
      <x:c r="C216" s="1" t="str">
        <x:v>customer0215@example.com</x:v>
      </x:c>
      <x:c r="D216" s="1" t="str">
        <x:v>India</x:v>
      </x:c>
      <x:c r="E216" s="1" t="str">
        <x:v>2024-04-11</x:v>
      </x:c>
      <x:c r="F216" s="1" t="str">
        <x:v>2025-10-15</x:v>
      </x:c>
      <x:c r="G216" s="1" t="str">
        <x:v>1</x:v>
      </x:c>
      <x:c r="H216" s="1" t="str">
        <x:v>102.18</x:v>
      </x:c>
      <x:c r="I216" s="1" t="str">
        <x:v>2</x:v>
      </x:c>
      <x:c r="J216" s="1" t="str">
        <x:v>web</x:v>
      </x:c>
      <x:c r="K216" s="1"/>
      <x:c r="L216" s="1"/>
      <x:c r="M216" s="1"/>
      <x:c r="N216" s="1"/>
      <x:c r="O216" s="1"/>
    </x:row>
    <x:row r="217">
      <x:c r="A217" s="1" t="str">
        <x:v>C0216</x:v>
      </x:c>
      <x:c r="B217" s="1" t="str">
        <x:v>Chloe</x:v>
      </x:c>
      <x:c r="C217" s="1" t="str">
        <x:v>customer0216@example.com</x:v>
      </x:c>
      <x:c r="D217" s="1" t="str">
        <x:v>UAE</x:v>
      </x:c>
      <x:c r="E217" s="1" t="str">
        <x:v>2024-10-16</x:v>
      </x:c>
      <x:c r="F217" s="1" t="str">
        <x:v>2026-02-04</x:v>
      </x:c>
      <x:c r="G217" s="1" t="str">
        <x:v>10</x:v>
      </x:c>
      <x:c r="H217" s="1" t="str">
        <x:v>1015.1</x:v>
      </x:c>
      <x:c r="I217" s="1" t="str">
        <x:v>6</x:v>
      </x:c>
      <x:c r="J217" s="1" t="str">
        <x:v>store</x:v>
      </x:c>
      <x:c r="K217" s="1"/>
      <x:c r="L217" s="1"/>
      <x:c r="M217" s="1"/>
      <x:c r="N217" s="1"/>
      <x:c r="O217" s="1"/>
    </x:row>
    <x:row r="218">
      <x:c r="A218" s="1" t="str">
        <x:v>C0217</x:v>
      </x:c>
      <x:c r="B218" s="1" t="str">
        <x:v>Aarav</x:v>
      </x:c>
      <x:c r="C218" s="1" t="str">
        <x:v>customer0217@example.com</x:v>
      </x:c>
      <x:c r="D218" s="1" t="str">
        <x:v>Nigeria</x:v>
      </x:c>
      <x:c r="E218" s="1" t="str">
        <x:v>2026-08-12</x:v>
      </x:c>
      <x:c r="F218" s="1" t="str">
        <x:v>2026-09-10</x:v>
      </x:c>
      <x:c r="G218" s="1" t="str">
        <x:v>13</x:v>
      </x:c>
      <x:c r="H218" s="1" t="str">
        <x:v>1617.8</x:v>
      </x:c>
      <x:c r="I218" s="1" t="str">
        <x:v>0</x:v>
      </x:c>
      <x:c r="J218" s="1" t="str">
        <x:v>store</x:v>
      </x:c>
      <x:c r="K218" s="1"/>
      <x:c r="L218" s="1"/>
      <x:c r="M218" s="1"/>
      <x:c r="N218" s="1"/>
      <x:c r="O218" s="1"/>
    </x:row>
    <x:row r="219">
      <x:c r="A219" s="1" t="str">
        <x:v>C0218</x:v>
      </x:c>
      <x:c r="B219" s="1" t="str">
        <x:v>Kai</x:v>
      </x:c>
      <x:c r="C219" s="1" t="str">
        <x:v>customer0218@example.com</x:v>
      </x:c>
      <x:c r="D219" s="1" t="str">
        <x:v>UK</x:v>
      </x:c>
      <x:c r="E219" s="1" t="str">
        <x:v>2026-08-20</x:v>
      </x:c>
      <x:c r="F219" s="1" t="str">
        <x:v>2026-09-20</x:v>
      </x:c>
      <x:c r="G219" s="1" t="str">
        <x:v>1</x:v>
      </x:c>
      <x:c r="H219" s="1" t="str">
        <x:v>101.7</x:v>
      </x:c>
      <x:c r="I219" s="1" t="str">
        <x:v>0</x:v>
      </x:c>
      <x:c r="J219" s="1" t="str">
        <x:v>app</x:v>
      </x:c>
      <x:c r="K219" s="1"/>
      <x:c r="L219" s="1"/>
      <x:c r="M219" s="1"/>
      <x:c r="N219" s="1"/>
      <x:c r="O219" s="1"/>
    </x:row>
    <x:row r="220">
      <x:c r="A220" s="1" t="str">
        <x:v>C0219</x:v>
      </x:c>
      <x:c r="B220" s="1" t="str">
        <x:v>Ravi</x:v>
      </x:c>
      <x:c r="C220" s="1" t="str">
        <x:v>customer0219@example.com</x:v>
      </x:c>
      <x:c r="D220" s="1" t="str">
        <x:v>Australia</x:v>
      </x:c>
      <x:c r="E220" s="1" t="str">
        <x:v>2026-08-18</x:v>
      </x:c>
      <x:c r="F220" s="1" t="str">
        <x:v>2026-09-10</x:v>
      </x:c>
      <x:c r="G220" s="1" t="str">
        <x:v>1</x:v>
      </x:c>
      <x:c r="H220" s="1" t="str">
        <x:v>74.18</x:v>
      </x:c>
      <x:c r="I220" s="1" t="str">
        <x:v>12</x:v>
      </x:c>
      <x:c r="J220" s="1" t="str">
        <x:v>store</x:v>
      </x:c>
      <x:c r="K220" s="1"/>
      <x:c r="L220" s="1"/>
      <x:c r="M220" s="1"/>
      <x:c r="N220" s="1"/>
      <x:c r="O220" s="1"/>
    </x:row>
    <x:row r="221">
      <x:c r="A221" s="1" t="str">
        <x:v>C0220</x:v>
      </x:c>
      <x:c r="B221" s="1" t="str">
        <x:v>Omar</x:v>
      </x:c>
      <x:c r="C221" s="1" t="str">
        <x:v>customer0220@example.com</x:v>
      </x:c>
      <x:c r="D221" s="1" t="str">
        <x:v>Japan</x:v>
      </x:c>
      <x:c r="E221" s="1" t="str">
        <x:v>2025-02-28</x:v>
      </x:c>
      <x:c r="F221" s="1" t="str">
        <x:v>2026-05-06</x:v>
      </x:c>
      <x:c r="G221" s="1" t="str">
        <x:v>7</x:v>
      </x:c>
      <x:c r="H221" s="1" t="str">
        <x:v>750.47</x:v>
      </x:c>
      <x:c r="I221" s="1" t="str">
        <x:v>0</x:v>
      </x:c>
      <x:c r="J221" s="1" t="str">
        <x:v>web</x:v>
      </x:c>
      <x:c r="K221" s="1"/>
      <x:c r="L221" s="1"/>
      <x:c r="M221" s="1"/>
      <x:c r="N221" s="1"/>
      <x:c r="O221" s="1"/>
    </x:row>
    <x:row r="222">
      <x:c r="A222" s="1" t="str">
        <x:v>C0221</x:v>
      </x:c>
      <x:c r="B222" s="1" t="str">
        <x:v>Mei</x:v>
      </x:c>
      <x:c r="C222" s="1" t="str">
        <x:v>customer0221@example.com</x:v>
      </x:c>
      <x:c r="D222" s="1" t="str">
        <x:v>Japan</x:v>
      </x:c>
      <x:c r="E222" s="1" t="str">
        <x:v>2025-10-15</x:v>
      </x:c>
      <x:c r="F222" s="1" t="str">
        <x:v>2026-07-20</x:v>
      </x:c>
      <x:c r="G222" s="1" t="str">
        <x:v>6</x:v>
      </x:c>
      <x:c r="H222" s="1" t="str">
        <x:v>433.61</x:v>
      </x:c>
      <x:c r="I222" s="1" t="str">
        <x:v>5</x:v>
      </x:c>
      <x:c r="J222" s="1" t="str">
        <x:v>app</x:v>
      </x:c>
      <x:c r="K222" s="1"/>
      <x:c r="L222" s="1"/>
      <x:c r="M222" s="1"/>
      <x:c r="N222" s="1"/>
      <x:c r="O222" s="1"/>
    </x:row>
    <x:row r="223">
      <x:c r="A223" s="1" t="str">
        <x:v>C0222</x:v>
      </x:c>
      <x:c r="B223" s="1" t="str">
        <x:v>Arjun</x:v>
      </x:c>
      <x:c r="C223" s="1" t="str">
        <x:v>customer0222@example.com</x:v>
      </x:c>
      <x:c r="D223" s="1" t="str">
        <x:v>Germany</x:v>
      </x:c>
      <x:c r="E223" s="1" t="str">
        <x:v>2026-08-16</x:v>
      </x:c>
      <x:c r="F223" s="1" t="str">
        <x:v>2026-09-05</x:v>
      </x:c>
      <x:c r="G223" s="1" t="str">
        <x:v>1</x:v>
      </x:c>
      <x:c r="H223" s="1" t="str">
        <x:v>72.94</x:v>
      </x:c>
      <x:c r="I223" s="1" t="str">
        <x:v>2</x:v>
      </x:c>
      <x:c r="J223" s="1" t="str">
        <x:v>store</x:v>
      </x:c>
      <x:c r="K223" s="1"/>
      <x:c r="L223" s="1"/>
      <x:c r="M223" s="1"/>
      <x:c r="N223" s="1"/>
      <x:c r="O223" s="1"/>
    </x:row>
    <x:row r="224">
      <x:c r="A224" s="1" t="str">
        <x:v>C0223</x:v>
      </x:c>
      <x:c r="B224" s="1" t="str">
        <x:v>Jonas</x:v>
      </x:c>
      <x:c r="C224" s="1" t="str">
        <x:v>customer0223@example.com</x:v>
      </x:c>
      <x:c r="D224" s="1" t="str">
        <x:v>UAE</x:v>
      </x:c>
      <x:c r="E224" s="1" t="str">
        <x:v>2024-10-20</x:v>
      </x:c>
      <x:c r="F224" s="1" t="str">
        <x:v>2026-05-10</x:v>
      </x:c>
      <x:c r="G224" s="1" t="str">
        <x:v>1</x:v>
      </x:c>
      <x:c r="H224" s="1" t="str">
        <x:v>84.8</x:v>
      </x:c>
      <x:c r="I224" s="1" t="str">
        <x:v>8</x:v>
      </x:c>
      <x:c r="J224" s="1" t="str">
        <x:v>store</x:v>
      </x:c>
      <x:c r="K224" s="1"/>
      <x:c r="L224" s="1"/>
      <x:c r="M224" s="1"/>
      <x:c r="N224" s="1"/>
      <x:c r="O224" s="1"/>
    </x:row>
    <x:row r="225">
      <x:c r="A225" s="1" t="str">
        <x:v>C0224</x:v>
      </x:c>
      <x:c r="B225" s="1" t="str">
        <x:v>Samuel</x:v>
      </x:c>
      <x:c r="C225" s="1" t="str">
        <x:v>customer0224@example.com</x:v>
      </x:c>
      <x:c r="D225" s="1" t="str">
        <x:v>Australia</x:v>
      </x:c>
      <x:c r="E225" s="1" t="str">
        <x:v>2026-03-11</x:v>
      </x:c>
      <x:c r="F225" s="1" t="str">
        <x:v>2026-09-21</x:v>
      </x:c>
      <x:c r="G225" s="1" t="str">
        <x:v>9</x:v>
      </x:c>
      <x:c r="H225" s="1" t="str">
        <x:v>609.94</x:v>
      </x:c>
      <x:c r="I225" s="1" t="str">
        <x:v>9</x:v>
      </x:c>
      <x:c r="J225" s="1" t="str">
        <x:v>store</x:v>
      </x:c>
      <x:c r="K225" s="1"/>
      <x:c r="L225" s="1"/>
      <x:c r="M225" s="1"/>
      <x:c r="N225" s="1"/>
      <x:c r="O225" s="1"/>
    </x:row>
    <x:row r="226">
      <x:c r="A226" s="1" t="str">
        <x:v>C0225</x:v>
      </x:c>
      <x:c r="B226" s="1" t="str">
        <x:v>Kenji</x:v>
      </x:c>
      <x:c r="C226" s="1" t="str">
        <x:v>customer0225@example.com</x:v>
      </x:c>
      <x:c r="D226" s="1" t="str">
        <x:v>Nigeria</x:v>
      </x:c>
      <x:c r="E226" s="1" t="str">
        <x:v>2024-12-22</x:v>
      </x:c>
      <x:c r="F226" s="1" t="str">
        <x:v>2026-09-14</x:v>
      </x:c>
      <x:c r="G226" s="1" t="str">
        <x:v>16</x:v>
      </x:c>
      <x:c r="H226" s="1" t="str">
        <x:v>1578.78</x:v>
      </x:c>
      <x:c r="I226" s="1" t="str">
        <x:v>10</x:v>
      </x:c>
      <x:c r="J226" s="1" t="str">
        <x:v>app</x:v>
      </x:c>
      <x:c r="K226" s="1"/>
      <x:c r="L226" s="1"/>
      <x:c r="M226" s="1"/>
      <x:c r="N226" s="1"/>
      <x:c r="O226" s="1"/>
    </x:row>
    <x:row r="227">
      <x:c r="A227" s="1" t="str">
        <x:v>C0226</x:v>
      </x:c>
      <x:c r="B227" s="1" t="str">
        <x:v>Nia</x:v>
      </x:c>
      <x:c r="C227" s="1" t="str">
        <x:v>customer0226@example.com</x:v>
      </x:c>
      <x:c r="D227" s="1" t="str">
        <x:v>UK</x:v>
      </x:c>
      <x:c r="E227" s="1" t="str">
        <x:v>2026-04-13</x:v>
      </x:c>
      <x:c r="F227" s="1" t="str">
        <x:v>2026-07-25</x:v>
      </x:c>
      <x:c r="G227" s="1" t="str">
        <x:v>8</x:v>
      </x:c>
      <x:c r="H227" s="1" t="str">
        <x:v>733.87</x:v>
      </x:c>
      <x:c r="I227" s="1" t="str">
        <x:v>0</x:v>
      </x:c>
      <x:c r="J227" s="1" t="str">
        <x:v>web</x:v>
      </x:c>
      <x:c r="K227" s="1"/>
      <x:c r="L227" s="1"/>
      <x:c r="M227" s="1"/>
      <x:c r="N227" s="1"/>
      <x:c r="O227" s="1"/>
    </x:row>
    <x:row r="228">
      <x:c r="A228" s="1" t="str">
        <x:v>C0227</x:v>
      </x:c>
      <x:c r="B228" s="1" t="str">
        <x:v>Yara</x:v>
      </x:c>
      <x:c r="C228" s="1" t="str">
        <x:v>customer0227@example.com</x:v>
      </x:c>
      <x:c r="D228" s="1" t="str">
        <x:v>Germany</x:v>
      </x:c>
      <x:c r="E228" s="1" t="str">
        <x:v>2026-01-26</x:v>
      </x:c>
      <x:c r="F228" s="1" t="str">
        <x:v>2026-06-17</x:v>
      </x:c>
      <x:c r="G228" s="1" t="str">
        <x:v>2</x:v>
      </x:c>
      <x:c r="H228" s="1" t="str">
        <x:v>167.59</x:v>
      </x:c>
      <x:c r="I228" s="1" t="str">
        <x:v>8</x:v>
      </x:c>
      <x:c r="J228" s="1" t="str">
        <x:v>store</x:v>
      </x:c>
      <x:c r="K228" s="1"/>
      <x:c r="L228" s="1"/>
      <x:c r="M228" s="1"/>
      <x:c r="N228" s="1"/>
      <x:c r="O228" s="1"/>
    </x:row>
    <x:row r="229">
      <x:c r="A229" s="1" t="str">
        <x:v>C0228</x:v>
      </x:c>
      <x:c r="B229" s="1" t="str">
        <x:v>Aarav</x:v>
      </x:c>
      <x:c r="C229" s="1" t="str">
        <x:v>customer0228@example.com</x:v>
      </x:c>
      <x:c r="D229" s="1" t="str">
        <x:v>UAE</x:v>
      </x:c>
      <x:c r="E229" s="1" t="str">
        <x:v>2025-09-22</x:v>
      </x:c>
      <x:c r="F229" s="1" t="str">
        <x:v>2026-08-14</x:v>
      </x:c>
      <x:c r="G229" s="1" t="str">
        <x:v>4</x:v>
      </x:c>
      <x:c r="H229" s="1" t="str">
        <x:v>495.25</x:v>
      </x:c>
      <x:c r="I229" s="1" t="str">
        <x:v>9</x:v>
      </x:c>
      <x:c r="J229" s="1" t="str">
        <x:v>store</x:v>
      </x:c>
      <x:c r="K229" s="1"/>
      <x:c r="L229" s="1"/>
      <x:c r="M229" s="1"/>
      <x:c r="N229" s="1"/>
      <x:c r="O229" s="1"/>
    </x:row>
    <x:row r="230">
      <x:c r="A230" s="1" t="str">
        <x:v>C0229</x:v>
      </x:c>
      <x:c r="B230" s="1" t="str">
        <x:v>Maya</x:v>
      </x:c>
      <x:c r="C230" s="1" t="str">
        <x:v>customer0229@example.com</x:v>
      </x:c>
      <x:c r="D230" s="1" t="str">
        <x:v>Singapore</x:v>
      </x:c>
      <x:c r="E230" s="1" t="str">
        <x:v>2026-07-30</x:v>
      </x:c>
      <x:c r="F230" s="1" t="str">
        <x:v>2026-09-01</x:v>
      </x:c>
      <x:c r="G230" s="1" t="str">
        <x:v>1</x:v>
      </x:c>
      <x:c r="H230" s="1" t="str">
        <x:v>99.64</x:v>
      </x:c>
      <x:c r="I230" s="1" t="str">
        <x:v>12</x:v>
      </x:c>
      <x:c r="J230" s="1" t="str">
        <x:v>web</x:v>
      </x:c>
      <x:c r="K230" s="1"/>
      <x:c r="L230" s="1"/>
      <x:c r="M230" s="1"/>
      <x:c r="N230" s="1"/>
      <x:c r="O230" s="1"/>
    </x:row>
    <x:row r="231">
      <x:c r="A231" s="1" t="str">
        <x:v>C0230</x:v>
      </x:c>
      <x:c r="B231" s="1" t="str">
        <x:v>Nia</x:v>
      </x:c>
      <x:c r="C231" s="1" t="str">
        <x:v>customer0230@example.com</x:v>
      </x:c>
      <x:c r="D231" s="1" t="str">
        <x:v>UAE</x:v>
      </x:c>
      <x:c r="E231" s="1" t="str">
        <x:v>2026-09-01</x:v>
      </x:c>
      <x:c r="F231" s="1" t="str">
        <x:v>2026-09-01</x:v>
      </x:c>
      <x:c r="G231" s="1" t="str">
        <x:v>2</x:v>
      </x:c>
      <x:c r="H231" s="1" t="str">
        <x:v>91.44</x:v>
      </x:c>
      <x:c r="I231" s="1" t="str">
        <x:v>9</x:v>
      </x:c>
      <x:c r="J231" s="1" t="str">
        <x:v>store</x:v>
      </x:c>
      <x:c r="K231" s="1"/>
      <x:c r="L231" s="1"/>
      <x:c r="M231" s="1"/>
      <x:c r="N231" s="1"/>
      <x:c r="O231" s="1"/>
    </x:row>
    <x:row r="232">
      <x:c r="A232" s="1" t="str">
        <x:v>C0231</x:v>
      </x:c>
      <x:c r="B232" s="1" t="str">
        <x:v>Sofia</x:v>
      </x:c>
      <x:c r="C232" s="1" t="str">
        <x:v>customer0231@example.com</x:v>
      </x:c>
      <x:c r="D232" s="1" t="str">
        <x:v>Singapore</x:v>
      </x:c>
      <x:c r="E232" s="1" t="str">
        <x:v>2024-09-21</x:v>
      </x:c>
      <x:c r="F232" s="1" t="str">
        <x:v>2026-04-05</x:v>
      </x:c>
      <x:c r="G232" s="1" t="str">
        <x:v>2</x:v>
      </x:c>
      <x:c r="H232" s="1" t="str">
        <x:v>149.73</x:v>
      </x:c>
      <x:c r="I232" s="1" t="str">
        <x:v>10</x:v>
      </x:c>
      <x:c r="J232" s="1" t="str">
        <x:v>web</x:v>
      </x:c>
      <x:c r="K232" s="1"/>
      <x:c r="L232" s="1"/>
      <x:c r="M232" s="1"/>
      <x:c r="N232" s="1"/>
      <x:c r="O232" s="1"/>
    </x:row>
    <x:row r="233">
      <x:c r="A233" s="1" t="str">
        <x:v>C0232</x:v>
      </x:c>
      <x:c r="B233" s="1" t="str">
        <x:v>Aarav</x:v>
      </x:c>
      <x:c r="C233" s="1" t="str">
        <x:v>customer0232@example.com</x:v>
      </x:c>
      <x:c r="D233" s="1" t="str">
        <x:v>Singapore</x:v>
      </x:c>
      <x:c r="E233" s="1" t="str">
        <x:v>2026-08-29</x:v>
      </x:c>
      <x:c r="F233" s="1" t="str">
        <x:v>2026-09-02</x:v>
      </x:c>
      <x:c r="G233" s="1" t="str">
        <x:v>8</x:v>
      </x:c>
      <x:c r="H233" s="1" t="str">
        <x:v>210.87</x:v>
      </x:c>
      <x:c r="I233" s="1" t="str">
        <x:v>1</x:v>
      </x:c>
      <x:c r="J233" s="1" t="str">
        <x:v>app</x:v>
      </x:c>
      <x:c r="K233" s="1"/>
      <x:c r="L233" s="1"/>
      <x:c r="M233" s="1"/>
      <x:c r="N233" s="1"/>
      <x:c r="O233" s="1"/>
    </x:row>
    <x:row r="234">
      <x:c r="A234" s="1" t="str">
        <x:v>C0233</x:v>
      </x:c>
      <x:c r="B234" s="1" t="str">
        <x:v>Zara</x:v>
      </x:c>
      <x:c r="C234" s="1" t="str">
        <x:v>customer0233@example.com</x:v>
      </x:c>
      <x:c r="D234" s="1" t="str">
        <x:v>Australia</x:v>
      </x:c>
      <x:c r="E234" s="1" t="str">
        <x:v>2024-09-13</x:v>
      </x:c>
      <x:c r="F234" s="1" t="str">
        <x:v>2026-04-18</x:v>
      </x:c>
      <x:c r="G234" s="1" t="str">
        <x:v>2</x:v>
      </x:c>
      <x:c r="H234" s="1" t="str">
        <x:v>18.11</x:v>
      </x:c>
      <x:c r="I234" s="1" t="str">
        <x:v>11</x:v>
      </x:c>
      <x:c r="J234" s="1" t="str">
        <x:v>store</x:v>
      </x:c>
      <x:c r="K234" s="1"/>
      <x:c r="L234" s="1"/>
      <x:c r="M234" s="1"/>
      <x:c r="N234" s="1"/>
      <x:c r="O234" s="1"/>
    </x:row>
    <x:row r="235">
      <x:c r="A235" s="1" t="str">
        <x:v>C0234</x:v>
      </x:c>
      <x:c r="B235" s="1" t="str">
        <x:v>Elena</x:v>
      </x:c>
      <x:c r="C235" s="1" t="str">
        <x:v>customer0234@example.com</x:v>
      </x:c>
      <x:c r="D235" s="1" t="str">
        <x:v>Singapore</x:v>
      </x:c>
      <x:c r="E235" s="1" t="str">
        <x:v>2026-04-20</x:v>
      </x:c>
      <x:c r="F235" s="1" t="str">
        <x:v>2026-09-15</x:v>
      </x:c>
      <x:c r="G235" s="1" t="str">
        <x:v>5</x:v>
      </x:c>
      <x:c r="H235" s="1" t="str">
        <x:v>741.82</x:v>
      </x:c>
      <x:c r="I235" s="1" t="str">
        <x:v>4</x:v>
      </x:c>
      <x:c r="J235" s="1" t="str">
        <x:v>store</x:v>
      </x:c>
      <x:c r="K235" s="1"/>
      <x:c r="L235" s="1"/>
      <x:c r="M235" s="1"/>
      <x:c r="N235" s="1"/>
      <x:c r="O235" s="1"/>
    </x:row>
    <x:row r="236">
      <x:c r="A236" s="1" t="str">
        <x:v>C0235</x:v>
      </x:c>
      <x:c r="B236" s="1" t="str">
        <x:v>Leila</x:v>
      </x:c>
      <x:c r="C236" s="1" t="str">
        <x:v>customer0235@example.com</x:v>
      </x:c>
      <x:c r="D236" s="1" t="str">
        <x:v>India</x:v>
      </x:c>
      <x:c r="E236" s="1" t="str">
        <x:v>2025-06-06</x:v>
      </x:c>
      <x:c r="F236" s="1" t="str">
        <x:v>2026-02-21</x:v>
      </x:c>
      <x:c r="G236" s="1" t="str">
        <x:v>10</x:v>
      </x:c>
      <x:c r="H236" s="1" t="str">
        <x:v>1019.97</x:v>
      </x:c>
      <x:c r="I236" s="1" t="str">
        <x:v>11</x:v>
      </x:c>
      <x:c r="J236" s="1" t="str">
        <x:v>app</x:v>
      </x:c>
      <x:c r="K236" s="1"/>
      <x:c r="L236" s="1"/>
      <x:c r="M236" s="1"/>
      <x:c r="N236" s="1"/>
      <x:c r="O236" s="1"/>
    </x:row>
    <x:row r="237">
      <x:c r="A237" s="1" t="str">
        <x:v>C0236</x:v>
      </x:c>
      <x:c r="B237" s="1" t="str">
        <x:v>Leo</x:v>
      </x:c>
      <x:c r="C237" s="1" t="str">
        <x:v>customer0236@example.com</x:v>
      </x:c>
      <x:c r="D237" s="1" t="str">
        <x:v>UAE</x:v>
      </x:c>
      <x:c r="E237" s="1" t="str">
        <x:v>2025-01-05</x:v>
      </x:c>
      <x:c r="F237" s="1" t="str">
        <x:v>2026-09-30</x:v>
      </x:c>
      <x:c r="G237" s="1" t="str">
        <x:v>18</x:v>
      </x:c>
      <x:c r="H237" s="1" t="str">
        <x:v>1698.62</x:v>
      </x:c>
      <x:c r="I237" s="1" t="str">
        <x:v>4</x:v>
      </x:c>
      <x:c r="J237" s="1" t="str">
        <x:v>web</x:v>
      </x:c>
      <x:c r="K237" s="1"/>
      <x:c r="L237" s="1"/>
      <x:c r="M237" s="1"/>
      <x:c r="N237" s="1"/>
      <x:c r="O237" s="1"/>
    </x:row>
    <x:row r="238">
      <x:c r="A238" s="1" t="str">
        <x:v>C0237</x:v>
      </x:c>
      <x:c r="B238" s="1" t="str">
        <x:v>Chloe</x:v>
      </x:c>
      <x:c r="C238" s="1" t="str">
        <x:v>customer0237@example.com</x:v>
      </x:c>
      <x:c r="D238" s="1" t="str">
        <x:v>Nigeria</x:v>
      </x:c>
      <x:c r="E238" s="1" t="str">
        <x:v>2026-09-05</x:v>
      </x:c>
      <x:c r="F238" s="1" t="str">
        <x:v>2026-09-25</x:v>
      </x:c>
      <x:c r="G238" s="1" t="str">
        <x:v>2</x:v>
      </x:c>
      <x:c r="H238" s="1" t="str">
        <x:v>117.43</x:v>
      </x:c>
      <x:c r="I238" s="1" t="str">
        <x:v>11</x:v>
      </x:c>
      <x:c r="J238" s="1" t="str">
        <x:v>web</x:v>
      </x:c>
      <x:c r="K238" s="1"/>
      <x:c r="L238" s="1"/>
      <x:c r="M238" s="1"/>
      <x:c r="N238" s="1"/>
      <x:c r="O238" s="1"/>
    </x:row>
    <x:row r="239">
      <x:c r="A239" s="1" t="str">
        <x:v>C0238</x:v>
      </x:c>
      <x:c r="B239" s="1" t="str">
        <x:v>Chloe</x:v>
      </x:c>
      <x:c r="C239" s="1" t="str">
        <x:v>customer0238@example.com</x:v>
      </x:c>
      <x:c r="D239" s="1" t="str">
        <x:v>UK</x:v>
      </x:c>
      <x:c r="E239" s="1" t="str">
        <x:v>2026-01-18</x:v>
      </x:c>
      <x:c r="F239" s="1" t="str">
        <x:v>2026-05-17</x:v>
      </x:c>
      <x:c r="G239" s="1" t="str">
        <x:v>5</x:v>
      </x:c>
      <x:c r="H239" s="1" t="str">
        <x:v>1361.31</x:v>
      </x:c>
      <x:c r="I239" s="1" t="str">
        <x:v>10</x:v>
      </x:c>
      <x:c r="J239" s="1" t="str">
        <x:v>web</x:v>
      </x:c>
      <x:c r="K239" s="1"/>
      <x:c r="L239" s="1"/>
      <x:c r="M239" s="1"/>
      <x:c r="N239" s="1"/>
      <x:c r="O239" s="1"/>
    </x:row>
    <x:row r="240">
      <x:c r="A240" s="1" t="str">
        <x:v>C0239</x:v>
      </x:c>
      <x:c r="B240" s="1" t="str">
        <x:v>Ravi</x:v>
      </x:c>
      <x:c r="C240" s="1" t="str">
        <x:v>customer0239@example.com</x:v>
      </x:c>
      <x:c r="D240" s="1" t="str">
        <x:v>Germany</x:v>
      </x:c>
      <x:c r="E240" s="1" t="str">
        <x:v>2024-08-02</x:v>
      </x:c>
      <x:c r="F240" s="1" t="str">
        <x:v>2026-03-05</x:v>
      </x:c>
      <x:c r="G240" s="1" t="str">
        <x:v>7</x:v>
      </x:c>
      <x:c r="H240" s="1" t="str">
        <x:v>1152.32</x:v>
      </x:c>
      <x:c r="I240" s="1" t="str">
        <x:v>4</x:v>
      </x:c>
      <x:c r="J240" s="1" t="str">
        <x:v>app</x:v>
      </x:c>
      <x:c r="K240" s="1"/>
      <x:c r="L240" s="1"/>
      <x:c r="M240" s="1"/>
      <x:c r="N240" s="1"/>
      <x:c r="O240" s="1"/>
    </x:row>
    <x:row r="241">
      <x:c r="A241" s="1" t="str">
        <x:v>C0240</x:v>
      </x:c>
      <x:c r="B241" s="1" t="str">
        <x:v>Samuel</x:v>
      </x:c>
      <x:c r="C241" s="1" t="str">
        <x:v>customer0240@example.com</x:v>
      </x:c>
      <x:c r="D241" s="1" t="str">
        <x:v>UK</x:v>
      </x:c>
      <x:c r="E241" s="1" t="str">
        <x:v>2026-09-10</x:v>
      </x:c>
      <x:c r="F241" s="1" t="str">
        <x:v>2026-09-10</x:v>
      </x:c>
      <x:c r="G241" s="1" t="str">
        <x:v>2</x:v>
      </x:c>
      <x:c r="H241" s="1" t="str">
        <x:v>159.13</x:v>
      </x:c>
      <x:c r="I241" s="1" t="str">
        <x:v>9</x:v>
      </x:c>
      <x:c r="J241" s="1" t="str">
        <x:v>web</x:v>
      </x:c>
      <x:c r="K241" s="1"/>
      <x:c r="L241" s="1"/>
      <x:c r="M241" s="1"/>
      <x:c r="N241" s="1"/>
      <x:c r="O241" s="1"/>
    </x:row>
    <x:row r="242">
      <x:c r="A242" s="1" t="str">
        <x:v>C0241</x:v>
      </x:c>
      <x:c r="B242" s="1" t="str">
        <x:v>Aisha</x:v>
      </x:c>
      <x:c r="C242" s="1" t="str">
        <x:v>customer0241@example.com</x:v>
      </x:c>
      <x:c r="D242" s="1" t="str">
        <x:v>USA</x:v>
      </x:c>
      <x:c r="E242" s="1" t="str">
        <x:v>2026-08-09</x:v>
      </x:c>
      <x:c r="F242" s="1" t="str">
        <x:v>2026-09-02</x:v>
      </x:c>
      <x:c r="G242" s="1" t="str">
        <x:v>1</x:v>
      </x:c>
      <x:c r="H242" s="1" t="str">
        <x:v>80.27</x:v>
      </x:c>
      <x:c r="I242" s="1" t="str">
        <x:v>12</x:v>
      </x:c>
      <x:c r="J242" s="1" t="str">
        <x:v>web</x:v>
      </x:c>
      <x:c r="K242" s="1"/>
      <x:c r="L242" s="1"/>
      <x:c r="M242" s="1"/>
      <x:c r="N242" s="1"/>
      <x:c r="O242" s="1"/>
    </x:row>
    <x:row r="243">
      <x:c r="A243" s="1" t="str">
        <x:v>C0242</x:v>
      </x:c>
      <x:c r="B243" s="1" t="str">
        <x:v>Amara</x:v>
      </x:c>
      <x:c r="C243" s="1" t="str">
        <x:v>customer0242@example.com</x:v>
      </x:c>
      <x:c r="D243" s="1" t="str">
        <x:v>Nigeria</x:v>
      </x:c>
      <x:c r="E243" s="1" t="str">
        <x:v>2025-07-16</x:v>
      </x:c>
      <x:c r="F243" s="1" t="str">
        <x:v>2026-09-21</x:v>
      </x:c>
      <x:c r="G243" s="1" t="str">
        <x:v>5</x:v>
      </x:c>
      <x:c r="H243" s="1" t="str">
        <x:v>384.13</x:v>
      </x:c>
      <x:c r="I243" s="1" t="str">
        <x:v>12</x:v>
      </x:c>
      <x:c r="J243" s="1" t="str">
        <x:v>app</x:v>
      </x:c>
      <x:c r="K243" s="1"/>
      <x:c r="L243" s="1"/>
      <x:c r="M243" s="1"/>
      <x:c r="N243" s="1"/>
      <x:c r="O243" s="1"/>
    </x:row>
    <x:row r="244">
      <x:c r="A244" s="1" t="str">
        <x:v>C0243</x:v>
      </x:c>
      <x:c r="B244" s="1" t="str">
        <x:v>Kenji</x:v>
      </x:c>
      <x:c r="C244" s="1" t="str">
        <x:v>customer0243@example.com</x:v>
      </x:c>
      <x:c r="D244" s="1" t="str">
        <x:v>Germany</x:v>
      </x:c>
      <x:c r="E244" s="1" t="str">
        <x:v>2025-01-26</x:v>
      </x:c>
      <x:c r="F244" s="1" t="str">
        <x:v>2026-09-03</x:v>
      </x:c>
      <x:c r="G244" s="1" t="str">
        <x:v>9</x:v>
      </x:c>
      <x:c r="H244" s="1" t="str">
        <x:v>823.43</x:v>
      </x:c>
      <x:c r="I244" s="1" t="str">
        <x:v>12</x:v>
      </x:c>
      <x:c r="J244" s="1" t="str">
        <x:v>store</x:v>
      </x:c>
      <x:c r="K244" s="1"/>
      <x:c r="L244" s="1"/>
      <x:c r="M244" s="1"/>
      <x:c r="N244" s="1"/>
      <x:c r="O244" s="1"/>
    </x:row>
    <x:row r="245">
      <x:c r="A245" s="1" t="str">
        <x:v>C0244</x:v>
      </x:c>
      <x:c r="B245" s="1" t="str">
        <x:v>Lina</x:v>
      </x:c>
      <x:c r="C245" s="1" t="str">
        <x:v>customer0244@example.com</x:v>
      </x:c>
      <x:c r="D245" s="1" t="str">
        <x:v>Japan</x:v>
      </x:c>
      <x:c r="E245" s="1" t="str">
        <x:v>2026-08-27</x:v>
      </x:c>
      <x:c r="F245" s="1" t="str">
        <x:v>2026-09-01</x:v>
      </x:c>
      <x:c r="G245" s="1" t="str">
        <x:v>2</x:v>
      </x:c>
      <x:c r="H245" s="1" t="str">
        <x:v>75.5</x:v>
      </x:c>
      <x:c r="I245" s="1" t="str">
        <x:v>7</x:v>
      </x:c>
      <x:c r="J245" s="1" t="str">
        <x:v>web</x:v>
      </x:c>
      <x:c r="K245" s="1"/>
      <x:c r="L245" s="1"/>
      <x:c r="M245" s="1"/>
      <x:c r="N245" s="1"/>
      <x:c r="O245" s="1"/>
    </x:row>
    <x:row r="246">
      <x:c r="A246" s="1" t="str">
        <x:v>C0245</x:v>
      </x:c>
      <x:c r="B246" s="1" t="str">
        <x:v>Mateo</x:v>
      </x:c>
      <x:c r="C246" s="1" t="str">
        <x:v>customer0245@example.com</x:v>
      </x:c>
      <x:c r="D246" s="1" t="str">
        <x:v>Australia</x:v>
      </x:c>
      <x:c r="E246" s="1" t="str">
        <x:v>2024-09-29</x:v>
      </x:c>
      <x:c r="F246" s="1" t="str">
        <x:v>2026-08-23</x:v>
      </x:c>
      <x:c r="G246" s="1" t="str">
        <x:v>5</x:v>
      </x:c>
      <x:c r="H246" s="1" t="str">
        <x:v>624.83</x:v>
      </x:c>
      <x:c r="I246" s="1" t="str">
        <x:v>11</x:v>
      </x:c>
      <x:c r="J246" s="1" t="str">
        <x:v>app</x:v>
      </x:c>
      <x:c r="K246" s="1"/>
      <x:c r="L246" s="1"/>
      <x:c r="M246" s="1"/>
      <x:c r="N246" s="1"/>
      <x:c r="O246" s="1"/>
    </x:row>
    <x:row r="247">
      <x:c r="A247" s="1" t="str">
        <x:v>C0246</x:v>
      </x:c>
      <x:c r="B247" s="1" t="str">
        <x:v>Lina</x:v>
      </x:c>
      <x:c r="C247" s="1" t="str">
        <x:v>customer0246@example.com</x:v>
      </x:c>
      <x:c r="D247" s="1" t="str">
        <x:v>Brazil</x:v>
      </x:c>
      <x:c r="E247" s="1" t="str">
        <x:v>2026-03-22</x:v>
      </x:c>
      <x:c r="F247" s="1" t="str">
        <x:v>2026-06-19</x:v>
      </x:c>
      <x:c r="G247" s="1" t="str">
        <x:v>2</x:v>
      </x:c>
      <x:c r="H247" s="1" t="str">
        <x:v>95.45</x:v>
      </x:c>
      <x:c r="I247" s="1" t="str">
        <x:v>12</x:v>
      </x:c>
      <x:c r="J247" s="1" t="str">
        <x:v>app</x:v>
      </x:c>
      <x:c r="K247" s="1"/>
      <x:c r="L247" s="1"/>
      <x:c r="M247" s="1"/>
      <x:c r="N247" s="1"/>
      <x:c r="O247" s="1"/>
    </x:row>
    <x:row r="248">
      <x:c r="A248" s="1" t="str">
        <x:v>C0247</x:v>
      </x:c>
      <x:c r="B248" s="1" t="str">
        <x:v>Ravi</x:v>
      </x:c>
      <x:c r="C248" s="1" t="str">
        <x:v>customer0247@example.com</x:v>
      </x:c>
      <x:c r="D248" s="1" t="str">
        <x:v>Australia</x:v>
      </x:c>
      <x:c r="E248" s="1" t="str">
        <x:v>2025-01-21</x:v>
      </x:c>
      <x:c r="F248" s="1" t="str">
        <x:v>2026-07-09</x:v>
      </x:c>
      <x:c r="G248" s="1" t="str">
        <x:v>7</x:v>
      </x:c>
      <x:c r="H248" s="1" t="str">
        <x:v>827.85</x:v>
      </x:c>
      <x:c r="I248" s="1" t="str">
        <x:v>8</x:v>
      </x:c>
      <x:c r="J248" s="1" t="str">
        <x:v>store</x:v>
      </x:c>
      <x:c r="K248" s="1"/>
      <x:c r="L248" s="1"/>
      <x:c r="M248" s="1"/>
      <x:c r="N248" s="1"/>
      <x:c r="O248" s="1"/>
    </x:row>
    <x:row r="249">
      <x:c r="A249" s="1" t="str">
        <x:v>C0248</x:v>
      </x:c>
      <x:c r="B249" s="1" t="str">
        <x:v>Chloe</x:v>
      </x:c>
      <x:c r="C249" s="1" t="str">
        <x:v>customer0248@example.com</x:v>
      </x:c>
      <x:c r="D249" s="1" t="str">
        <x:v>Nigeria</x:v>
      </x:c>
      <x:c r="E249" s="1" t="str">
        <x:v>2025-11-02</x:v>
      </x:c>
      <x:c r="F249" s="1" t="str">
        <x:v>2026-08-25</x:v>
      </x:c>
      <x:c r="G249" s="1" t="str">
        <x:v>4</x:v>
      </x:c>
      <x:c r="H249" s="1" t="str">
        <x:v>264.53</x:v>
      </x:c>
      <x:c r="I249" s="1" t="str">
        <x:v>9</x:v>
      </x:c>
      <x:c r="J249" s="1" t="str">
        <x:v>web</x:v>
      </x:c>
      <x:c r="K249" s="1"/>
      <x:c r="L249" s="1"/>
      <x:c r="M249" s="1"/>
      <x:c r="N249" s="1"/>
      <x:c r="O249" s="1"/>
    </x:row>
    <x:row r="250">
      <x:c r="A250" s="1" t="str">
        <x:v>C0249</x:v>
      </x:c>
      <x:c r="B250" s="1" t="str">
        <x:v>Chloe</x:v>
      </x:c>
      <x:c r="C250" s="1" t="str">
        <x:v>customer0249@example.com</x:v>
      </x:c>
      <x:c r="D250" s="1" t="str">
        <x:v>Singapore</x:v>
      </x:c>
      <x:c r="E250" s="1" t="str">
        <x:v>2024-09-29</x:v>
      </x:c>
      <x:c r="F250" s="1" t="str">
        <x:v>2026-02-16</x:v>
      </x:c>
      <x:c r="G250" s="1" t="str">
        <x:v>5</x:v>
      </x:c>
      <x:c r="H250" s="1" t="str">
        <x:v>533.25</x:v>
      </x:c>
      <x:c r="I250" s="1" t="str">
        <x:v>5</x:v>
      </x:c>
      <x:c r="J250" s="1" t="str">
        <x:v>store</x:v>
      </x:c>
      <x:c r="K250" s="1"/>
      <x:c r="L250" s="1"/>
      <x:c r="M250" s="1"/>
      <x:c r="N250" s="1"/>
      <x:c r="O250" s="1"/>
    </x:row>
    <x:row r="251">
      <x:c r="A251" s="1" t="str">
        <x:v>C0250</x:v>
      </x:c>
      <x:c r="B251" s="1" t="str">
        <x:v>Chloe</x:v>
      </x:c>
      <x:c r="C251" s="1" t="str">
        <x:v>customer0250@example.com</x:v>
      </x:c>
      <x:c r="D251" s="1" t="str">
        <x:v>Germany</x:v>
      </x:c>
      <x:c r="E251" s="1" t="str">
        <x:v>2026-05-08</x:v>
      </x:c>
      <x:c r="F251" s="1" t="str">
        <x:v>2026-06-08</x:v>
      </x:c>
      <x:c r="G251" s="1" t="str">
        <x:v>5</x:v>
      </x:c>
      <x:c r="H251" s="1" t="str">
        <x:v>613.16</x:v>
      </x:c>
      <x:c r="I251" s="1" t="str">
        <x:v>8</x:v>
      </x:c>
      <x:c r="J251" s="1" t="str">
        <x:v>store</x:v>
      </x:c>
      <x:c r="K251" s="1"/>
      <x:c r="L251" s="1"/>
      <x:c r="M251" s="1"/>
      <x:c r="N251" s="1"/>
      <x:c r="O251" s="1"/>
    </x:row>
    <x:row r="252">
      <x:c r="A252" s="1" t="str">
        <x:v>C0251</x:v>
      </x:c>
      <x:c r="B252" s="1" t="str">
        <x:v>Priya</x:v>
      </x:c>
      <x:c r="C252" s="1" t="str">
        <x:v>customer0251@example.com</x:v>
      </x:c>
      <x:c r="D252" s="1" t="str">
        <x:v>Nigeria</x:v>
      </x:c>
      <x:c r="E252" s="1" t="str">
        <x:v>2025-02-27</x:v>
      </x:c>
      <x:c r="F252" s="1" t="str">
        <x:v>2026-09-29</x:v>
      </x:c>
      <x:c r="G252" s="1" t="str">
        <x:v>11</x:v>
      </x:c>
      <x:c r="H252" s="1" t="str">
        <x:v>2184.65</x:v>
      </x:c>
      <x:c r="I252" s="1" t="str">
        <x:v>9</x:v>
      </x:c>
      <x:c r="J252" s="1" t="str">
        <x:v>app</x:v>
      </x:c>
      <x:c r="K252" s="1"/>
      <x:c r="L252" s="1"/>
      <x:c r="M252" s="1"/>
      <x:c r="N252" s="1"/>
      <x:c r="O252" s="1"/>
    </x:row>
    <x:row r="253">
      <x:c r="A253" s="1" t="str">
        <x:v>C0252</x:v>
      </x:c>
      <x:c r="B253" s="1" t="str">
        <x:v>Kai</x:v>
      </x:c>
      <x:c r="C253" s="1" t="str">
        <x:v>customer0252@example.com</x:v>
      </x:c>
      <x:c r="D253" s="1" t="str">
        <x:v>Nigeria</x:v>
      </x:c>
      <x:c r="E253" s="1" t="str">
        <x:v>2025-05-17</x:v>
      </x:c>
      <x:c r="F253" s="1" t="str">
        <x:v>2026-08-17</x:v>
      </x:c>
      <x:c r="G253" s="1" t="str">
        <x:v>6</x:v>
      </x:c>
      <x:c r="H253" s="1" t="str">
        <x:v>267.98</x:v>
      </x:c>
      <x:c r="I253" s="1" t="str">
        <x:v>9</x:v>
      </x:c>
      <x:c r="J253" s="1" t="str">
        <x:v>app</x:v>
      </x:c>
      <x:c r="K253" s="1"/>
      <x:c r="L253" s="1"/>
      <x:c r="M253" s="1"/>
      <x:c r="N253" s="1"/>
      <x:c r="O253" s="1"/>
    </x:row>
    <x:row r="254">
      <x:c r="A254" s="1" t="str">
        <x:v>C0253</x:v>
      </x:c>
      <x:c r="B254" s="1" t="str">
        <x:v>Mateo</x:v>
      </x:c>
      <x:c r="C254" s="1" t="str">
        <x:v>customer0253@example.com</x:v>
      </x:c>
      <x:c r="D254" s="1" t="str">
        <x:v>Singapore</x:v>
      </x:c>
      <x:c r="E254" s="1" t="str">
        <x:v>2026-03-16</x:v>
      </x:c>
      <x:c r="F254" s="1" t="str">
        <x:v>2026-09-17</x:v>
      </x:c>
      <x:c r="G254" s="1" t="str">
        <x:v>5</x:v>
      </x:c>
      <x:c r="H254" s="1" t="str">
        <x:v>340.69</x:v>
      </x:c>
      <x:c r="I254" s="1" t="str">
        <x:v>0</x:v>
      </x:c>
      <x:c r="J254" s="1" t="str">
        <x:v>app</x:v>
      </x:c>
      <x:c r="K254" s="1"/>
      <x:c r="L254" s="1"/>
      <x:c r="M254" s="1"/>
      <x:c r="N254" s="1"/>
      <x:c r="O254" s="1"/>
    </x:row>
    <x:row r="255">
      <x:c r="A255" s="1" t="str">
        <x:v>C0254</x:v>
      </x:c>
      <x:c r="B255" s="1" t="str">
        <x:v>Mei</x:v>
      </x:c>
      <x:c r="C255" s="1" t="str">
        <x:v>customer0254@example.com</x:v>
      </x:c>
      <x:c r="D255" s="1" t="str">
        <x:v>Nigeria</x:v>
      </x:c>
      <x:c r="E255" s="1" t="str">
        <x:v>2026-07-16</x:v>
      </x:c>
      <x:c r="F255" s="1" t="str">
        <x:v>2026-09-19</x:v>
      </x:c>
      <x:c r="G255" s="1" t="str">
        <x:v>19</x:v>
      </x:c>
      <x:c r="H255" s="1" t="str">
        <x:v>1333.25</x:v>
      </x:c>
      <x:c r="I255" s="1" t="str">
        <x:v>10</x:v>
      </x:c>
      <x:c r="J255" s="1" t="str">
        <x:v>web</x:v>
      </x:c>
      <x:c r="K255" s="1"/>
      <x:c r="L255" s="1"/>
      <x:c r="M255" s="1"/>
      <x:c r="N255" s="1"/>
      <x:c r="O255" s="1"/>
    </x:row>
    <x:row r="256">
      <x:c r="A256" s="1" t="str">
        <x:v>C0255</x:v>
      </x:c>
      <x:c r="B256" s="1" t="str">
        <x:v>Felix</x:v>
      </x:c>
      <x:c r="C256" s="1" t="str">
        <x:v>customer0255@example.com</x:v>
      </x:c>
      <x:c r="D256" s="1" t="str">
        <x:v>Singapore</x:v>
      </x:c>
      <x:c r="E256" s="1" t="str">
        <x:v>2025-09-12</x:v>
      </x:c>
      <x:c r="F256" s="1" t="str">
        <x:v>2026-05-08</x:v>
      </x:c>
      <x:c r="G256" s="1" t="str">
        <x:v>2</x:v>
      </x:c>
      <x:c r="H256" s="1" t="str">
        <x:v>70.77</x:v>
      </x:c>
      <x:c r="I256" s="1" t="str">
        <x:v>10</x:v>
      </x:c>
      <x:c r="J256" s="1" t="str">
        <x:v>store</x:v>
      </x:c>
      <x:c r="K256" s="1"/>
      <x:c r="L256" s="1"/>
      <x:c r="M256" s="1"/>
      <x:c r="N256" s="1"/>
      <x:c r="O256" s="1"/>
    </x:row>
    <x:row r="257">
      <x:c r="A257" s="1" t="str">
        <x:v>C0256</x:v>
      </x:c>
      <x:c r="B257" s="1" t="str">
        <x:v>Elena</x:v>
      </x:c>
      <x:c r="C257" s="1" t="str">
        <x:v>customer0256@example.com</x:v>
      </x:c>
      <x:c r="D257" s="1" t="str">
        <x:v>USA</x:v>
      </x:c>
      <x:c r="E257" s="1" t="str">
        <x:v>2025-07-09</x:v>
      </x:c>
      <x:c r="F257" s="1" t="str">
        <x:v>2026-03-06</x:v>
      </x:c>
      <x:c r="G257" s="1" t="str">
        <x:v>5</x:v>
      </x:c>
      <x:c r="H257" s="1" t="str">
        <x:v>676.55</x:v>
      </x:c>
      <x:c r="I257" s="1" t="str">
        <x:v>2</x:v>
      </x:c>
      <x:c r="J257" s="1" t="str">
        <x:v>app</x:v>
      </x:c>
      <x:c r="K257" s="1"/>
      <x:c r="L257" s="1"/>
      <x:c r="M257" s="1"/>
      <x:c r="N257" s="1"/>
      <x:c r="O257" s="1"/>
    </x:row>
    <x:row r="258">
      <x:c r="A258" s="1" t="str">
        <x:v>C0257</x:v>
      </x:c>
      <x:c r="B258" s="1" t="str">
        <x:v>Samuel</x:v>
      </x:c>
      <x:c r="C258" s="1" t="str">
        <x:v>customer0257@example.com</x:v>
      </x:c>
      <x:c r="D258" s="1" t="str">
        <x:v>India</x:v>
      </x:c>
      <x:c r="E258" s="1" t="str">
        <x:v>2025-11-27</x:v>
      </x:c>
      <x:c r="F258" s="1" t="str">
        <x:v>2025-12-25</x:v>
      </x:c>
      <x:c r="G258" s="1" t="str">
        <x:v>1</x:v>
      </x:c>
      <x:c r="H258" s="1" t="str">
        <x:v>172.98</x:v>
      </x:c>
      <x:c r="I258" s="1" t="str">
        <x:v>4</x:v>
      </x:c>
      <x:c r="J258" s="1" t="str">
        <x:v>store</x:v>
      </x:c>
      <x:c r="K258" s="1"/>
      <x:c r="L258" s="1"/>
      <x:c r="M258" s="1"/>
      <x:c r="N258" s="1"/>
      <x:c r="O258" s="1"/>
    </x:row>
    <x:row r="259">
      <x:c r="A259" s="1" t="str">
        <x:v>C0258</x:v>
      </x:c>
      <x:c r="B259" s="1" t="str">
        <x:v>Ravi</x:v>
      </x:c>
      <x:c r="C259" s="1" t="str">
        <x:v>customer0258@example.com</x:v>
      </x:c>
      <x:c r="D259" s="1" t="str">
        <x:v>India</x:v>
      </x:c>
      <x:c r="E259" s="1" t="str">
        <x:v>2026-09-01</x:v>
      </x:c>
      <x:c r="F259" s="1" t="str">
        <x:v>2026-09-10</x:v>
      </x:c>
      <x:c r="G259" s="1" t="str">
        <x:v>2</x:v>
      </x:c>
      <x:c r="H259" s="1" t="str">
        <x:v>28.92</x:v>
      </x:c>
      <x:c r="I259" s="1" t="str">
        <x:v>3</x:v>
      </x:c>
      <x:c r="J259" s="1" t="str">
        <x:v>store</x:v>
      </x:c>
      <x:c r="K259" s="1"/>
      <x:c r="L259" s="1"/>
      <x:c r="M259" s="1"/>
      <x:c r="N259" s="1"/>
      <x:c r="O259" s="1"/>
    </x:row>
    <x:row r="260">
      <x:c r="A260" s="1" t="str">
        <x:v>C0259</x:v>
      </x:c>
      <x:c r="B260" s="1" t="str">
        <x:v>Priya</x:v>
      </x:c>
      <x:c r="C260" s="1" t="str">
        <x:v>customer0259@example.com</x:v>
      </x:c>
      <x:c r="D260" s="1" t="str">
        <x:v>Brazil</x:v>
      </x:c>
      <x:c r="E260" s="1" t="str">
        <x:v>2026-09-06</x:v>
      </x:c>
      <x:c r="F260" s="1" t="str">
        <x:v>2026-09-12</x:v>
      </x:c>
      <x:c r="G260" s="1" t="str">
        <x:v>2</x:v>
      </x:c>
      <x:c r="H260" s="1" t="str">
        <x:v>141.26</x:v>
      </x:c>
      <x:c r="I260" s="1" t="str">
        <x:v>5</x:v>
      </x:c>
      <x:c r="J260" s="1" t="str">
        <x:v>web</x:v>
      </x:c>
      <x:c r="K260" s="1"/>
      <x:c r="L260" s="1"/>
      <x:c r="M260" s="1"/>
      <x:c r="N260" s="1"/>
      <x:c r="O260" s="1"/>
    </x:row>
    <x:row r="261">
      <x:c r="A261" s="1" t="str">
        <x:v>C0260</x:v>
      </x:c>
      <x:c r="B261" s="1" t="str">
        <x:v>Zara</x:v>
      </x:c>
      <x:c r="C261" s="1" t="str">
        <x:v>customer0260@example.com</x:v>
      </x:c>
      <x:c r="D261" s="1" t="str">
        <x:v>UK</x:v>
      </x:c>
      <x:c r="E261" s="1" t="str">
        <x:v>2024-12-29</x:v>
      </x:c>
      <x:c r="F261" s="1" t="str">
        <x:v>2026-03-25</x:v>
      </x:c>
      <x:c r="G261" s="1" t="str">
        <x:v>10</x:v>
      </x:c>
      <x:c r="H261" s="1" t="str">
        <x:v>686.59</x:v>
      </x:c>
      <x:c r="I261" s="1" t="str">
        <x:v>10</x:v>
      </x:c>
      <x:c r="J261" s="1" t="str">
        <x:v>app</x:v>
      </x:c>
      <x:c r="K261" s="1"/>
      <x:c r="L261" s="1"/>
      <x:c r="M261" s="1"/>
      <x:c r="N261" s="1"/>
      <x:c r="O261" s="1"/>
    </x:row>
    <x:row r="262">
      <x:c r="A262" s="1" t="str">
        <x:v>C0261</x:v>
      </x:c>
      <x:c r="B262" s="1" t="str">
        <x:v>Leo</x:v>
      </x:c>
      <x:c r="C262" s="1" t="str">
        <x:v>customer0261@example.com</x:v>
      </x:c>
      <x:c r="D262" s="1" t="str">
        <x:v>Nigeria</x:v>
      </x:c>
      <x:c r="E262" s="1" t="str">
        <x:v>2025-09-27</x:v>
      </x:c>
      <x:c r="F262" s="1" t="str">
        <x:v>2026-05-10</x:v>
      </x:c>
      <x:c r="G262" s="1" t="str">
        <x:v>3</x:v>
      </x:c>
      <x:c r="H262" s="1" t="str">
        <x:v>430.5</x:v>
      </x:c>
      <x:c r="I262" s="1" t="str">
        <x:v>5</x:v>
      </x:c>
      <x:c r="J262" s="1" t="str">
        <x:v>store</x:v>
      </x:c>
      <x:c r="K262" s="1"/>
      <x:c r="L262" s="1"/>
      <x:c r="M262" s="1"/>
      <x:c r="N262" s="1"/>
      <x:c r="O262" s="1"/>
    </x:row>
    <x:row r="263">
      <x:c r="A263" s="1" t="str">
        <x:v>C0262</x:v>
      </x:c>
      <x:c r="B263" s="1" t="str">
        <x:v>Samuel</x:v>
      </x:c>
      <x:c r="C263" s="1" t="str">
        <x:v>customer0262@example.com</x:v>
      </x:c>
      <x:c r="D263" s="1" t="str">
        <x:v>India</x:v>
      </x:c>
      <x:c r="E263" s="1" t="str">
        <x:v>2025-06-27</x:v>
      </x:c>
      <x:c r="F263" s="1" t="str">
        <x:v>2026-07-26</x:v>
      </x:c>
      <x:c r="G263" s="1" t="str">
        <x:v>3</x:v>
      </x:c>
      <x:c r="H263" s="1" t="str">
        <x:v>848.16</x:v>
      </x:c>
      <x:c r="I263" s="1" t="str">
        <x:v>10</x:v>
      </x:c>
      <x:c r="J263" s="1" t="str">
        <x:v>app</x:v>
      </x:c>
      <x:c r="K263" s="1"/>
      <x:c r="L263" s="1"/>
      <x:c r="M263" s="1"/>
      <x:c r="N263" s="1"/>
      <x:c r="O263" s="1"/>
    </x:row>
    <x:row r="264">
      <x:c r="A264" s="1" t="str">
        <x:v>C0263</x:v>
      </x:c>
      <x:c r="B264" s="1" t="str">
        <x:v>Sofia</x:v>
      </x:c>
      <x:c r="C264" s="1" t="str">
        <x:v>customer0263@example.com</x:v>
      </x:c>
      <x:c r="D264" s="1" t="str">
        <x:v>Brazil</x:v>
      </x:c>
      <x:c r="E264" s="1" t="str">
        <x:v>2024-12-01</x:v>
      </x:c>
      <x:c r="F264" s="1" t="str">
        <x:v>2026-04-03</x:v>
      </x:c>
      <x:c r="G264" s="1" t="str">
        <x:v>8</x:v>
      </x:c>
      <x:c r="H264" s="1" t="str">
        <x:v>1196.52</x:v>
      </x:c>
      <x:c r="I264" s="1" t="str">
        <x:v>2</x:v>
      </x:c>
      <x:c r="J264" s="1" t="str">
        <x:v>web</x:v>
      </x:c>
      <x:c r="K264" s="1"/>
      <x:c r="L264" s="1"/>
      <x:c r="M264" s="1"/>
      <x:c r="N264" s="1"/>
      <x:c r="O264" s="1"/>
    </x:row>
    <x:row r="265">
      <x:c r="A265" s="1" t="str">
        <x:v>C0264</x:v>
      </x:c>
      <x:c r="B265" s="1" t="str">
        <x:v>Jonas</x:v>
      </x:c>
      <x:c r="C265" s="1" t="str">
        <x:v>customer0264@example.com</x:v>
      </x:c>
      <x:c r="D265" s="1" t="str">
        <x:v>UK</x:v>
      </x:c>
      <x:c r="E265" s="1" t="str">
        <x:v>2025-02-25</x:v>
      </x:c>
      <x:c r="F265" s="1" t="str">
        <x:v>2026-09-14</x:v>
      </x:c>
      <x:c r="G265" s="1" t="str">
        <x:v>4</x:v>
      </x:c>
      <x:c r="H265" s="1" t="str">
        <x:v>699.61</x:v>
      </x:c>
      <x:c r="I265" s="1" t="str">
        <x:v>7</x:v>
      </x:c>
      <x:c r="J265" s="1" t="str">
        <x:v>app</x:v>
      </x:c>
      <x:c r="K265" s="1"/>
      <x:c r="L265" s="1"/>
      <x:c r="M265" s="1"/>
      <x:c r="N265" s="1"/>
      <x:c r="O265" s="1"/>
    </x:row>
    <x:row r="266">
      <x:c r="A266" s="1" t="str">
        <x:v>C0265</x:v>
      </x:c>
      <x:c r="B266" s="1" t="str">
        <x:v>Diego</x:v>
      </x:c>
      <x:c r="C266" s="1" t="str">
        <x:v>customer0265@example.com</x:v>
      </x:c>
      <x:c r="D266" s="1" t="str">
        <x:v>Germany</x:v>
      </x:c>
      <x:c r="E266" s="1" t="str">
        <x:v>2025-10-27</x:v>
      </x:c>
      <x:c r="F266" s="1" t="str">
        <x:v>2026-07-31</x:v>
      </x:c>
      <x:c r="G266" s="1" t="str">
        <x:v>4</x:v>
      </x:c>
      <x:c r="H266" s="1" t="str">
        <x:v>308.98</x:v>
      </x:c>
      <x:c r="I266" s="1" t="str">
        <x:v>5</x:v>
      </x:c>
      <x:c r="J266" s="1" t="str">
        <x:v>app</x:v>
      </x:c>
      <x:c r="K266" s="1"/>
      <x:c r="L266" s="1"/>
      <x:c r="M266" s="1"/>
      <x:c r="N266" s="1"/>
      <x:c r="O266" s="1"/>
    </x:row>
    <x:row r="267">
      <x:c r="A267" s="1" t="str">
        <x:v>C0266</x:v>
      </x:c>
      <x:c r="B267" s="1" t="str">
        <x:v>Sofia</x:v>
      </x:c>
      <x:c r="C267" s="1" t="str">
        <x:v>customer0266@example.com</x:v>
      </x:c>
      <x:c r="D267" s="1" t="str">
        <x:v>UK</x:v>
      </x:c>
      <x:c r="E267" s="1" t="str">
        <x:v>2025-05-02</x:v>
      </x:c>
      <x:c r="F267" s="1" t="str">
        <x:v>2026-09-08</x:v>
      </x:c>
      <x:c r="G267" s="1" t="str">
        <x:v>5</x:v>
      </x:c>
      <x:c r="H267" s="1" t="str">
        <x:v>519.33</x:v>
      </x:c>
      <x:c r="I267" s="1" t="str">
        <x:v>8</x:v>
      </x:c>
      <x:c r="J267" s="1" t="str">
        <x:v>app</x:v>
      </x:c>
      <x:c r="K267" s="1"/>
      <x:c r="L267" s="1"/>
      <x:c r="M267" s="1"/>
      <x:c r="N267" s="1"/>
      <x:c r="O267" s="1"/>
    </x:row>
    <x:row r="268">
      <x:c r="A268" s="1" t="str">
        <x:v>C0267</x:v>
      </x:c>
      <x:c r="B268" s="1" t="str">
        <x:v>Sofia</x:v>
      </x:c>
      <x:c r="C268" s="1" t="str">
        <x:v>customer0267@example.com</x:v>
      </x:c>
      <x:c r="D268" s="1" t="str">
        <x:v>Germany</x:v>
      </x:c>
      <x:c r="E268" s="1" t="str">
        <x:v>2026-08-18</x:v>
      </x:c>
      <x:c r="F268" s="1" t="str">
        <x:v>2026-09-05</x:v>
      </x:c>
      <x:c r="G268" s="1" t="str">
        <x:v>1</x:v>
      </x:c>
      <x:c r="H268" s="1" t="str">
        <x:v>109.59</x:v>
      </x:c>
      <x:c r="I268" s="1" t="str">
        <x:v>12</x:v>
      </x:c>
      <x:c r="J268" s="1" t="str">
        <x:v>app</x:v>
      </x:c>
      <x:c r="K268" s="1"/>
      <x:c r="L268" s="1"/>
      <x:c r="M268" s="1"/>
      <x:c r="N268" s="1"/>
      <x:c r="O268" s="1"/>
    </x:row>
    <x:row r="269">
      <x:c r="A269" s="1" t="str">
        <x:v>C0268</x:v>
      </x:c>
      <x:c r="B269" s="1" t="str">
        <x:v>Sofia</x:v>
      </x:c>
      <x:c r="C269" s="1" t="str">
        <x:v>customer0268@example.com</x:v>
      </x:c>
      <x:c r="D269" s="1" t="str">
        <x:v>UAE</x:v>
      </x:c>
      <x:c r="E269" s="1" t="str">
        <x:v>2025-03-16</x:v>
      </x:c>
      <x:c r="F269" s="1" t="str">
        <x:v>2025-11-14</x:v>
      </x:c>
      <x:c r="G269" s="1" t="str">
        <x:v>2</x:v>
      </x:c>
      <x:c r="H269" s="1" t="str">
        <x:v>189.66</x:v>
      </x:c>
      <x:c r="I269" s="1" t="str">
        <x:v>4</x:v>
      </x:c>
      <x:c r="J269" s="1" t="str">
        <x:v>web</x:v>
      </x:c>
      <x:c r="K269" s="1"/>
      <x:c r="L269" s="1"/>
      <x:c r="M269" s="1"/>
      <x:c r="N269" s="1"/>
      <x:c r="O269" s="1"/>
    </x:row>
    <x:row r="270">
      <x:c r="A270" s="1" t="str">
        <x:v>C0269</x:v>
      </x:c>
      <x:c r="B270" s="1" t="str">
        <x:v>Aarav</x:v>
      </x:c>
      <x:c r="C270" s="1" t="str">
        <x:v>customer0269@example.com</x:v>
      </x:c>
      <x:c r="D270" s="1" t="str">
        <x:v>Australia</x:v>
      </x:c>
      <x:c r="E270" s="1" t="str">
        <x:v>2024-08-08</x:v>
      </x:c>
      <x:c r="F270" s="1" t="str">
        <x:v>2026-05-25</x:v>
      </x:c>
      <x:c r="G270" s="1" t="str">
        <x:v>2</x:v>
      </x:c>
      <x:c r="H270" s="1" t="str">
        <x:v>40.26</x:v>
      </x:c>
      <x:c r="I270" s="1" t="str">
        <x:v>12</x:v>
      </x:c>
      <x:c r="J270" s="1" t="str">
        <x:v>store</x:v>
      </x:c>
      <x:c r="K270" s="1"/>
      <x:c r="L270" s="1"/>
      <x:c r="M270" s="1"/>
      <x:c r="N270" s="1"/>
      <x:c r="O270" s="1"/>
    </x:row>
    <x:row r="271">
      <x:c r="A271" s="1" t="str">
        <x:v>C0270</x:v>
      </x:c>
      <x:c r="B271" s="1" t="str">
        <x:v>Ines</x:v>
      </x:c>
      <x:c r="C271" s="1" t="str">
        <x:v>customer0270@example.com</x:v>
      </x:c>
      <x:c r="D271" s="1" t="str">
        <x:v>UK</x:v>
      </x:c>
      <x:c r="E271" s="1" t="str">
        <x:v>2025-03-14</x:v>
      </x:c>
      <x:c r="F271" s="1" t="str">
        <x:v>2026-09-04</x:v>
      </x:c>
      <x:c r="G271" s="1" t="str">
        <x:v>6</x:v>
      </x:c>
      <x:c r="H271" s="1" t="str">
        <x:v>201.35</x:v>
      </x:c>
      <x:c r="I271" s="1" t="str">
        <x:v>5</x:v>
      </x:c>
      <x:c r="J271" s="1" t="str">
        <x:v>web</x:v>
      </x:c>
      <x:c r="K271" s="1"/>
      <x:c r="L271" s="1"/>
      <x:c r="M271" s="1"/>
      <x:c r="N271" s="1"/>
      <x:c r="O271" s="1"/>
    </x:row>
    <x:row r="272">
      <x:c r="A272" s="1" t="str">
        <x:v>C0271</x:v>
      </x:c>
      <x:c r="B272" s="1" t="str">
        <x:v>Kenji</x:v>
      </x:c>
      <x:c r="C272" s="1" t="str">
        <x:v>customer0271@example.com</x:v>
      </x:c>
      <x:c r="D272" s="1" t="str">
        <x:v>UK</x:v>
      </x:c>
      <x:c r="E272" s="1" t="str">
        <x:v>2026-03-16</x:v>
      </x:c>
      <x:c r="F272" s="1" t="str">
        <x:v>2026-09-17</x:v>
      </x:c>
      <x:c r="G272" s="1" t="str">
        <x:v>11</x:v>
      </x:c>
      <x:c r="H272" s="1" t="str">
        <x:v>1042.96</x:v>
      </x:c>
      <x:c r="I272" s="1" t="str">
        <x:v>8</x:v>
      </x:c>
      <x:c r="J272" s="1" t="str">
        <x:v>app</x:v>
      </x:c>
      <x:c r="K272" s="1"/>
      <x:c r="L272" s="1"/>
      <x:c r="M272" s="1"/>
      <x:c r="N272" s="1"/>
      <x:c r="O272" s="1"/>
    </x:row>
    <x:row r="273">
      <x:c r="A273" s="1" t="str">
        <x:v>C0272</x:v>
      </x:c>
      <x:c r="B273" s="1" t="str">
        <x:v>Elena</x:v>
      </x:c>
      <x:c r="C273" s="1" t="str">
        <x:v>customer0272@example.com</x:v>
      </x:c>
      <x:c r="D273" s="1" t="str">
        <x:v>Australia</x:v>
      </x:c>
      <x:c r="E273" s="1" t="str">
        <x:v>2026-08-17</x:v>
      </x:c>
      <x:c r="F273" s="1" t="str">
        <x:v>2026-09-24</x:v>
      </x:c>
      <x:c r="G273" s="1" t="str">
        <x:v>1</x:v>
      </x:c>
      <x:c r="H273" s="1" t="str">
        <x:v>152.64</x:v>
      </x:c>
      <x:c r="I273" s="1" t="str">
        <x:v>12</x:v>
      </x:c>
      <x:c r="J273" s="1" t="str">
        <x:v>web</x:v>
      </x:c>
      <x:c r="K273" s="1"/>
      <x:c r="L273" s="1"/>
      <x:c r="M273" s="1"/>
      <x:c r="N273" s="1"/>
      <x:c r="O273" s="1"/>
    </x:row>
    <x:row r="274">
      <x:c r="A274" s="1" t="str">
        <x:v>C0273</x:v>
      </x:c>
      <x:c r="B274" s="1" t="str">
        <x:v>Yara</x:v>
      </x:c>
      <x:c r="C274" s="1" t="str">
        <x:v>customer0273@example.com</x:v>
      </x:c>
      <x:c r="D274" s="1" t="str">
        <x:v>USA</x:v>
      </x:c>
      <x:c r="E274" s="1" t="str">
        <x:v>2024-11-30</x:v>
      </x:c>
      <x:c r="F274" s="1" t="str">
        <x:v>2026-09-04</x:v>
      </x:c>
      <x:c r="G274" s="1" t="str">
        <x:v>7</x:v>
      </x:c>
      <x:c r="H274" s="1" t="str">
        <x:v>668.93</x:v>
      </x:c>
      <x:c r="I274" s="1" t="str">
        <x:v>9</x:v>
      </x:c>
      <x:c r="J274" s="1" t="str">
        <x:v>web</x:v>
      </x:c>
      <x:c r="K274" s="1"/>
      <x:c r="L274" s="1"/>
      <x:c r="M274" s="1"/>
      <x:c r="N274" s="1"/>
      <x:c r="O274" s="1"/>
    </x:row>
    <x:row r="275">
      <x:c r="A275" s="1" t="str">
        <x:v>C0274</x:v>
      </x:c>
      <x:c r="B275" s="1" t="str">
        <x:v>Samuel</x:v>
      </x:c>
      <x:c r="C275" s="1" t="str">
        <x:v>customer0274@example.com</x:v>
      </x:c>
      <x:c r="D275" s="1" t="str">
        <x:v>India</x:v>
      </x:c>
      <x:c r="E275" s="1" t="str">
        <x:v>2025-07-23</x:v>
      </x:c>
      <x:c r="F275" s="1" t="str">
        <x:v>2026-09-13</x:v>
      </x:c>
      <x:c r="G275" s="1" t="str">
        <x:v>8</x:v>
      </x:c>
      <x:c r="H275" s="1" t="str">
        <x:v>712.9</x:v>
      </x:c>
      <x:c r="I275" s="1" t="str">
        <x:v>8</x:v>
      </x:c>
      <x:c r="J275" s="1" t="str">
        <x:v>web</x:v>
      </x:c>
      <x:c r="K275" s="1"/>
      <x:c r="L275" s="1"/>
      <x:c r="M275" s="1"/>
      <x:c r="N275" s="1"/>
      <x:c r="O275" s="1"/>
    </x:row>
    <x:row r="276">
      <x:c r="A276" s="1" t="str">
        <x:v>C0275</x:v>
      </x:c>
      <x:c r="B276" s="1" t="str">
        <x:v>Kenji</x:v>
      </x:c>
      <x:c r="C276" s="1" t="str">
        <x:v>customer0275@example.com</x:v>
      </x:c>
      <x:c r="D276" s="1" t="str">
        <x:v>Germany</x:v>
      </x:c>
      <x:c r="E276" s="1" t="str">
        <x:v>2025-03-19</x:v>
      </x:c>
      <x:c r="F276" s="1" t="str">
        <x:v>2026-07-20</x:v>
      </x:c>
      <x:c r="G276" s="1" t="str">
        <x:v>3</x:v>
      </x:c>
      <x:c r="H276" s="1" t="str">
        <x:v>210.81</x:v>
      </x:c>
      <x:c r="I276" s="1" t="str">
        <x:v>3</x:v>
      </x:c>
      <x:c r="J276" s="1" t="str">
        <x:v>app</x:v>
      </x:c>
      <x:c r="K276" s="1"/>
      <x:c r="L276" s="1"/>
      <x:c r="M276" s="1"/>
      <x:c r="N276" s="1"/>
      <x:c r="O276" s="1"/>
    </x:row>
    <x:row r="277">
      <x:c r="A277" s="1" t="str">
        <x:v>C0276</x:v>
      </x:c>
      <x:c r="B277" s="1" t="str">
        <x:v>Diego</x:v>
      </x:c>
      <x:c r="C277" s="1" t="str">
        <x:v>customer0276@example.com</x:v>
      </x:c>
      <x:c r="D277" s="1" t="str">
        <x:v>Nigeria</x:v>
      </x:c>
      <x:c r="E277" s="1" t="str">
        <x:v>2025-03-12</x:v>
      </x:c>
      <x:c r="F277" s="1" t="str">
        <x:v>2026-03-27</x:v>
      </x:c>
      <x:c r="G277" s="1" t="str">
        <x:v>3</x:v>
      </x:c>
      <x:c r="H277" s="1" t="str">
        <x:v>438.01</x:v>
      </x:c>
      <x:c r="I277" s="1" t="str">
        <x:v>0</x:v>
      </x:c>
      <x:c r="J277" s="1" t="str">
        <x:v>web</x:v>
      </x:c>
      <x:c r="K277" s="1"/>
      <x:c r="L277" s="1"/>
      <x:c r="M277" s="1"/>
      <x:c r="N277" s="1"/>
      <x:c r="O277" s="1"/>
    </x:row>
    <x:row r="278">
      <x:c r="A278" s="1" t="str">
        <x:v>C0277</x:v>
      </x:c>
      <x:c r="B278" s="1" t="str">
        <x:v>Arjun</x:v>
      </x:c>
      <x:c r="C278" s="1" t="str">
        <x:v>customer0277@example.com</x:v>
      </x:c>
      <x:c r="D278" s="1" t="str">
        <x:v>USA</x:v>
      </x:c>
      <x:c r="E278" s="1" t="str">
        <x:v>2025-03-06</x:v>
      </x:c>
      <x:c r="F278" s="1" t="str">
        <x:v>2026-03-06</x:v>
      </x:c>
      <x:c r="G278" s="1" t="str">
        <x:v>11</x:v>
      </x:c>
      <x:c r="H278" s="1" t="str">
        <x:v>332.04</x:v>
      </x:c>
      <x:c r="I278" s="1" t="str">
        <x:v>5</x:v>
      </x:c>
      <x:c r="J278" s="1" t="str">
        <x:v>store</x:v>
      </x:c>
      <x:c r="K278" s="1"/>
      <x:c r="L278" s="1"/>
      <x:c r="M278" s="1"/>
      <x:c r="N278" s="1"/>
      <x:c r="O278" s="1"/>
    </x:row>
    <x:row r="279">
      <x:c r="A279" s="1" t="str">
        <x:v>C0278</x:v>
      </x:c>
      <x:c r="B279" s="1" t="str">
        <x:v>Noah</x:v>
      </x:c>
      <x:c r="C279" s="1" t="str">
        <x:v>customer0278@example.com</x:v>
      </x:c>
      <x:c r="D279" s="1" t="str">
        <x:v>Japan</x:v>
      </x:c>
      <x:c r="E279" s="1" t="str">
        <x:v>2025-01-02</x:v>
      </x:c>
      <x:c r="F279" s="1" t="str">
        <x:v>2026-05-23</x:v>
      </x:c>
      <x:c r="G279" s="1" t="str">
        <x:v>2</x:v>
      </x:c>
      <x:c r="H279" s="1" t="str">
        <x:v>167.74</x:v>
      </x:c>
      <x:c r="I279" s="1" t="str">
        <x:v>0</x:v>
      </x:c>
      <x:c r="J279" s="1" t="str">
        <x:v>store</x:v>
      </x:c>
      <x:c r="K279" s="1"/>
      <x:c r="L279" s="1"/>
      <x:c r="M279" s="1"/>
      <x:c r="N279" s="1"/>
      <x:c r="O279" s="1"/>
    </x:row>
    <x:row r="280">
      <x:c r="A280" s="1" t="str">
        <x:v>C0279</x:v>
      </x:c>
      <x:c r="B280" s="1" t="str">
        <x:v>Zara</x:v>
      </x:c>
      <x:c r="C280" s="1" t="str">
        <x:v>customer0279@example.com</x:v>
      </x:c>
      <x:c r="D280" s="1" t="str">
        <x:v>Nigeria</x:v>
      </x:c>
      <x:c r="E280" s="1" t="str">
        <x:v>2026-01-16</x:v>
      </x:c>
      <x:c r="F280" s="1" t="str">
        <x:v>2026-04-16</x:v>
      </x:c>
      <x:c r="G280" s="1" t="str">
        <x:v>1</x:v>
      </x:c>
      <x:c r="H280" s="1" t="str">
        <x:v>57.62</x:v>
      </x:c>
      <x:c r="I280" s="1" t="str">
        <x:v>2</x:v>
      </x:c>
      <x:c r="J280" s="1" t="str">
        <x:v>app</x:v>
      </x:c>
      <x:c r="K280" s="1"/>
      <x:c r="L280" s="1"/>
      <x:c r="M280" s="1"/>
      <x:c r="N280" s="1"/>
      <x:c r="O280" s="1"/>
    </x:row>
    <x:row r="281">
      <x:c r="A281" s="1" t="str">
        <x:v>C0280</x:v>
      </x:c>
      <x:c r="B281" s="1" t="str">
        <x:v>Aarav</x:v>
      </x:c>
      <x:c r="C281" s="1" t="str">
        <x:v>customer0280@example.com</x:v>
      </x:c>
      <x:c r="D281" s="1" t="str">
        <x:v>Singapore</x:v>
      </x:c>
      <x:c r="E281" s="1" t="str">
        <x:v>2026-08-23</x:v>
      </x:c>
      <x:c r="F281" s="1" t="str">
        <x:v>2026-09-22</x:v>
      </x:c>
      <x:c r="G281" s="1" t="str">
        <x:v>16</x:v>
      </x:c>
      <x:c r="H281" s="1" t="str">
        <x:v>1907.45</x:v>
      </x:c>
      <x:c r="I281" s="1" t="str">
        <x:v>11</x:v>
      </x:c>
      <x:c r="J281" s="1" t="str">
        <x:v>store</x:v>
      </x:c>
      <x:c r="K281" s="1"/>
      <x:c r="L281" s="1"/>
      <x:c r="M281" s="1"/>
      <x:c r="N281" s="1"/>
      <x:c r="O281" s="1"/>
    </x:row>
    <x:row r="282">
      <x:c r="A282" s="1" t="str">
        <x:v>C0281</x:v>
      </x:c>
      <x:c r="B282" s="1" t="str">
        <x:v>Noah</x:v>
      </x:c>
      <x:c r="C282" s="1" t="str">
        <x:v>customer0281@example.com</x:v>
      </x:c>
      <x:c r="D282" s="1" t="str">
        <x:v>Japan</x:v>
      </x:c>
      <x:c r="E282" s="1" t="str">
        <x:v>2025-02-06</x:v>
      </x:c>
      <x:c r="F282" s="1" t="str">
        <x:v>2026-09-19</x:v>
      </x:c>
      <x:c r="G282" s="1" t="str">
        <x:v>9</x:v>
      </x:c>
      <x:c r="H282" s="1" t="str">
        <x:v>619.58</x:v>
      </x:c>
      <x:c r="I282" s="1" t="str">
        <x:v>3</x:v>
      </x:c>
      <x:c r="J282" s="1" t="str">
        <x:v>store</x:v>
      </x:c>
      <x:c r="K282" s="1"/>
      <x:c r="L282" s="1"/>
      <x:c r="M282" s="1"/>
      <x:c r="N282" s="1"/>
      <x:c r="O282" s="1"/>
    </x:row>
    <x:row r="283">
      <x:c r="A283" s="1" t="str">
        <x:v>C0282</x:v>
      </x:c>
      <x:c r="B283" s="1" t="str">
        <x:v>Omar</x:v>
      </x:c>
      <x:c r="C283" s="1" t="str">
        <x:v>customer0282@example.com</x:v>
      </x:c>
      <x:c r="D283" s="1" t="str">
        <x:v>Singapore</x:v>
      </x:c>
      <x:c r="E283" s="1" t="str">
        <x:v>2026-02-13</x:v>
      </x:c>
      <x:c r="F283" s="1" t="str">
        <x:v>2026-03-31</x:v>
      </x:c>
      <x:c r="G283" s="1" t="str">
        <x:v>4</x:v>
      </x:c>
      <x:c r="H283" s="1" t="str">
        <x:v>1074.66</x:v>
      </x:c>
      <x:c r="I283" s="1" t="str">
        <x:v>7</x:v>
      </x:c>
      <x:c r="J283" s="1" t="str">
        <x:v>web</x:v>
      </x:c>
      <x:c r="K283" s="1"/>
      <x:c r="L283" s="1"/>
      <x:c r="M283" s="1"/>
      <x:c r="N283" s="1"/>
      <x:c r="O283" s="1"/>
    </x:row>
    <x:row r="284">
      <x:c r="A284" s="1" t="str">
        <x:v>C0283</x:v>
      </x:c>
      <x:c r="B284" s="1" t="str">
        <x:v>Mateo</x:v>
      </x:c>
      <x:c r="C284" s="1" t="str">
        <x:v>customer0283@example.com</x:v>
      </x:c>
      <x:c r="D284" s="1" t="str">
        <x:v>UK</x:v>
      </x:c>
      <x:c r="E284" s="1" t="str">
        <x:v>2026-08-30</x:v>
      </x:c>
      <x:c r="F284" s="1" t="str">
        <x:v>2026-09-06</x:v>
      </x:c>
      <x:c r="G284" s="1" t="str">
        <x:v>2</x:v>
      </x:c>
      <x:c r="H284" s="1" t="str">
        <x:v>37.61</x:v>
      </x:c>
      <x:c r="I284" s="1" t="str">
        <x:v>8</x:v>
      </x:c>
      <x:c r="J284" s="1" t="str">
        <x:v>store</x:v>
      </x:c>
      <x:c r="K284" s="1"/>
      <x:c r="L284" s="1"/>
      <x:c r="M284" s="1"/>
      <x:c r="N284" s="1"/>
      <x:c r="O284" s="1"/>
    </x:row>
    <x:row r="285">
      <x:c r="A285" s="1" t="str">
        <x:v>C0284</x:v>
      </x:c>
      <x:c r="B285" s="1" t="str">
        <x:v>Elena</x:v>
      </x:c>
      <x:c r="C285" s="1" t="str">
        <x:v>customer0284@example.com</x:v>
      </x:c>
      <x:c r="D285" s="1" t="str">
        <x:v>UAE</x:v>
      </x:c>
      <x:c r="E285" s="1" t="str">
        <x:v>2025-05-07</x:v>
      </x:c>
      <x:c r="F285" s="1" t="str">
        <x:v>2026-08-23</x:v>
      </x:c>
      <x:c r="G285" s="1" t="str">
        <x:v>4</x:v>
      </x:c>
      <x:c r="H285" s="1" t="str">
        <x:v>668.14</x:v>
      </x:c>
      <x:c r="I285" s="1" t="str">
        <x:v>2</x:v>
      </x:c>
      <x:c r="J285" s="1" t="str">
        <x:v>app</x:v>
      </x:c>
      <x:c r="K285" s="1"/>
      <x:c r="L285" s="1"/>
      <x:c r="M285" s="1"/>
      <x:c r="N285" s="1"/>
      <x:c r="O285" s="1"/>
    </x:row>
    <x:row r="286">
      <x:c r="A286" s="1" t="str">
        <x:v>C0285</x:v>
      </x:c>
      <x:c r="B286" s="1" t="str">
        <x:v>Ethan</x:v>
      </x:c>
      <x:c r="C286" s="1" t="str">
        <x:v>customer0285@example.com</x:v>
      </x:c>
      <x:c r="D286" s="1" t="str">
        <x:v>India</x:v>
      </x:c>
      <x:c r="E286" s="1" t="str">
        <x:v>2024-03-29</x:v>
      </x:c>
      <x:c r="F286" s="1" t="str">
        <x:v>2025-12-06</x:v>
      </x:c>
      <x:c r="G286" s="1" t="str">
        <x:v>2</x:v>
      </x:c>
      <x:c r="H286" s="1" t="str">
        <x:v>119.48</x:v>
      </x:c>
      <x:c r="I286" s="1" t="str">
        <x:v>6</x:v>
      </x:c>
      <x:c r="J286" s="1" t="str">
        <x:v>app</x:v>
      </x:c>
      <x:c r="K286" s="1"/>
      <x:c r="L286" s="1"/>
      <x:c r="M286" s="1"/>
      <x:c r="N286" s="1"/>
      <x:c r="O286" s="1"/>
    </x:row>
    <x:row r="287">
      <x:c r="A287" s="1" t="str">
        <x:v>C0286</x:v>
      </x:c>
      <x:c r="B287" s="1" t="str">
        <x:v>Arjun</x:v>
      </x:c>
      <x:c r="C287" s="1" t="str">
        <x:v>customer0286@example.com</x:v>
      </x:c>
      <x:c r="D287" s="1" t="str">
        <x:v>UAE</x:v>
      </x:c>
      <x:c r="E287" s="1" t="str">
        <x:v>2025-01-23</x:v>
      </x:c>
      <x:c r="F287" s="1" t="str">
        <x:v>2026-01-01</x:v>
      </x:c>
      <x:c r="G287" s="1" t="str">
        <x:v>2</x:v>
      </x:c>
      <x:c r="H287" s="1" t="str">
        <x:v>57.07</x:v>
      </x:c>
      <x:c r="I287" s="1" t="str">
        <x:v>9</x:v>
      </x:c>
      <x:c r="J287" s="1" t="str">
        <x:v>web</x:v>
      </x:c>
      <x:c r="K287" s="1"/>
      <x:c r="L287" s="1"/>
      <x:c r="M287" s="1"/>
      <x:c r="N287" s="1"/>
      <x:c r="O287" s="1"/>
    </x:row>
    <x:row r="288">
      <x:c r="A288" s="1" t="str">
        <x:v>C0287</x:v>
      </x:c>
      <x:c r="B288" s="1" t="str">
        <x:v>Leila</x:v>
      </x:c>
      <x:c r="C288" s="1" t="str">
        <x:v>customer0287@example.com</x:v>
      </x:c>
      <x:c r="D288" s="1" t="str">
        <x:v>Brazil</x:v>
      </x:c>
      <x:c r="E288" s="1" t="str">
        <x:v>2024-06-30</x:v>
      </x:c>
      <x:c r="F288" s="1" t="str">
        <x:v>2026-05-27</x:v>
      </x:c>
      <x:c r="G288" s="1" t="str">
        <x:v>2</x:v>
      </x:c>
      <x:c r="H288" s="1" t="str">
        <x:v>105.54</x:v>
      </x:c>
      <x:c r="I288" s="1" t="str">
        <x:v>3</x:v>
      </x:c>
      <x:c r="J288" s="1" t="str">
        <x:v>web</x:v>
      </x:c>
      <x:c r="K288" s="1"/>
      <x:c r="L288" s="1"/>
      <x:c r="M288" s="1"/>
      <x:c r="N288" s="1"/>
      <x:c r="O288" s="1"/>
    </x:row>
    <x:row r="289">
      <x:c r="A289" s="1" t="str">
        <x:v>C0288</x:v>
      </x:c>
      <x:c r="B289" s="1" t="str">
        <x:v>Leo</x:v>
      </x:c>
      <x:c r="C289" s="1" t="str">
        <x:v>customer0288@example.com</x:v>
      </x:c>
      <x:c r="D289" s="1" t="str">
        <x:v>Brazil</x:v>
      </x:c>
      <x:c r="E289" s="1" t="str">
        <x:v>2026-09-19</x:v>
      </x:c>
      <x:c r="F289" s="1" t="str">
        <x:v>2026-09-30</x:v>
      </x:c>
      <x:c r="G289" s="1" t="str">
        <x:v>2</x:v>
      </x:c>
      <x:c r="H289" s="1" t="str">
        <x:v>37.44</x:v>
      </x:c>
      <x:c r="I289" s="1" t="str">
        <x:v>6</x:v>
      </x:c>
      <x:c r="J289" s="1" t="str">
        <x:v>app</x:v>
      </x:c>
      <x:c r="K289" s="1"/>
      <x:c r="L289" s="1"/>
      <x:c r="M289" s="1"/>
      <x:c r="N289" s="1"/>
      <x:c r="O289" s="1"/>
    </x:row>
    <x:row r="290">
      <x:c r="A290" s="1" t="str">
        <x:v>C0289</x:v>
      </x:c>
      <x:c r="B290" s="1" t="str">
        <x:v>Kai</x:v>
      </x:c>
      <x:c r="C290" s="1" t="str">
        <x:v>customer0289@example.com</x:v>
      </x:c>
      <x:c r="D290" s="1" t="str">
        <x:v>Australia</x:v>
      </x:c>
      <x:c r="E290" s="1" t="str">
        <x:v>2025-05-13</x:v>
      </x:c>
      <x:c r="F290" s="1" t="str">
        <x:v>2026-06-23</x:v>
      </x:c>
      <x:c r="G290" s="1" t="str">
        <x:v>6</x:v>
      </x:c>
      <x:c r="H290" s="1" t="str">
        <x:v>410.32</x:v>
      </x:c>
      <x:c r="I290" s="1" t="str">
        <x:v>10</x:v>
      </x:c>
      <x:c r="J290" s="1" t="str">
        <x:v>app</x:v>
      </x:c>
      <x:c r="K290" s="1"/>
      <x:c r="L290" s="1"/>
      <x:c r="M290" s="1"/>
      <x:c r="N290" s="1"/>
      <x:c r="O290" s="1"/>
    </x:row>
    <x:row r="291">
      <x:c r="A291" s="1" t="str">
        <x:v>C0290</x:v>
      </x:c>
      <x:c r="B291" s="1" t="str">
        <x:v>Omar</x:v>
      </x:c>
      <x:c r="C291" s="1" t="str">
        <x:v>customer0290@example.com</x:v>
      </x:c>
      <x:c r="D291" s="1" t="str">
        <x:v>Nigeria</x:v>
      </x:c>
      <x:c r="E291" s="1" t="str">
        <x:v>2024-09-06</x:v>
      </x:c>
      <x:c r="F291" s="1" t="str">
        <x:v>2026-06-03</x:v>
      </x:c>
      <x:c r="G291" s="1" t="str">
        <x:v>1</x:v>
      </x:c>
      <x:c r="H291" s="1" t="str">
        <x:v>166.48</x:v>
      </x:c>
      <x:c r="I291" s="1" t="str">
        <x:v>4</x:v>
      </x:c>
      <x:c r="J291" s="1" t="str">
        <x:v>store</x:v>
      </x:c>
      <x:c r="K291" s="1"/>
      <x:c r="L291" s="1"/>
      <x:c r="M291" s="1"/>
      <x:c r="N291" s="1"/>
      <x:c r="O291" s="1"/>
    </x:row>
    <x:row r="292">
      <x:c r="A292" s="1" t="str">
        <x:v>C0291</x:v>
      </x:c>
      <x:c r="B292" s="1" t="str">
        <x:v>Ethan</x:v>
      </x:c>
      <x:c r="C292" s="1" t="str">
        <x:v>customer0291@example.com</x:v>
      </x:c>
      <x:c r="D292" s="1" t="str">
        <x:v>India</x:v>
      </x:c>
      <x:c r="E292" s="1" t="str">
        <x:v>2026-02-15</x:v>
      </x:c>
      <x:c r="F292" s="1" t="str">
        <x:v>2026-06-19</x:v>
      </x:c>
      <x:c r="G292" s="1" t="str">
        <x:v>12</x:v>
      </x:c>
      <x:c r="H292" s="1" t="str">
        <x:v>365.58</x:v>
      </x:c>
      <x:c r="I292" s="1" t="str">
        <x:v>6</x:v>
      </x:c>
      <x:c r="J292" s="1" t="str">
        <x:v>app</x:v>
      </x:c>
      <x:c r="K292" s="1"/>
      <x:c r="L292" s="1"/>
      <x:c r="M292" s="1"/>
      <x:c r="N292" s="1"/>
      <x:c r="O292" s="1"/>
    </x:row>
    <x:row r="293">
      <x:c r="A293" s="1" t="str">
        <x:v>C0292</x:v>
      </x:c>
      <x:c r="B293" s="1" t="str">
        <x:v>Amara</x:v>
      </x:c>
      <x:c r="C293" s="1" t="str">
        <x:v>customer0292@example.com</x:v>
      </x:c>
      <x:c r="D293" s="1" t="str">
        <x:v>Singapore</x:v>
      </x:c>
      <x:c r="E293" s="1" t="str">
        <x:v>2024-04-04</x:v>
      </x:c>
      <x:c r="F293" s="1" t="str">
        <x:v>2026-01-27</x:v>
      </x:c>
      <x:c r="G293" s="1" t="str">
        <x:v>1</x:v>
      </x:c>
      <x:c r="H293" s="1" t="str">
        <x:v>68.45</x:v>
      </x:c>
      <x:c r="I293" s="1" t="str">
        <x:v>0</x:v>
      </x:c>
      <x:c r="J293" s="1" t="str">
        <x:v>store</x:v>
      </x:c>
      <x:c r="K293" s="1"/>
      <x:c r="L293" s="1"/>
      <x:c r="M293" s="1"/>
      <x:c r="N293" s="1"/>
      <x:c r="O293" s="1"/>
    </x:row>
    <x:row r="294">
      <x:c r="A294" s="1" t="str">
        <x:v>C0293</x:v>
      </x:c>
      <x:c r="B294" s="1" t="str">
        <x:v>Leila</x:v>
      </x:c>
      <x:c r="C294" s="1" t="str">
        <x:v>customer0293@example.com</x:v>
      </x:c>
      <x:c r="D294" s="1" t="str">
        <x:v>UK</x:v>
      </x:c>
      <x:c r="E294" s="1" t="str">
        <x:v>2024-08-09</x:v>
      </x:c>
      <x:c r="F294" s="1" t="str">
        <x:v>2026-02-06</x:v>
      </x:c>
      <x:c r="G294" s="1" t="str">
        <x:v>1</x:v>
      </x:c>
      <x:c r="H294" s="1" t="str">
        <x:v>96.62</x:v>
      </x:c>
      <x:c r="I294" s="1" t="str">
        <x:v>7</x:v>
      </x:c>
      <x:c r="J294" s="1" t="str">
        <x:v>app</x:v>
      </x:c>
      <x:c r="K294" s="1"/>
      <x:c r="L294" s="1"/>
      <x:c r="M294" s="1"/>
      <x:c r="N294" s="1"/>
      <x:c r="O294" s="1"/>
    </x:row>
    <x:row r="295">
      <x:c r="A295" s="1" t="str">
        <x:v>C0294</x:v>
      </x:c>
      <x:c r="B295" s="1" t="str">
        <x:v>Zara</x:v>
      </x:c>
      <x:c r="C295" s="1" t="str">
        <x:v>customer0294@example.com</x:v>
      </x:c>
      <x:c r="D295" s="1" t="str">
        <x:v>Singapore</x:v>
      </x:c>
      <x:c r="E295" s="1" t="str">
        <x:v>2025-07-08</x:v>
      </x:c>
      <x:c r="F295" s="1" t="str">
        <x:v>2026-04-14</x:v>
      </x:c>
      <x:c r="G295" s="1" t="str">
        <x:v>9</x:v>
      </x:c>
      <x:c r="H295" s="1" t="str">
        <x:v>913.95</x:v>
      </x:c>
      <x:c r="I295" s="1" t="str">
        <x:v>11</x:v>
      </x:c>
      <x:c r="J295" s="1" t="str">
        <x:v>store</x:v>
      </x:c>
      <x:c r="K295" s="1"/>
      <x:c r="L295" s="1"/>
      <x:c r="M295" s="1"/>
      <x:c r="N295" s="1"/>
      <x:c r="O295" s="1"/>
    </x:row>
    <x:row r="296">
      <x:c r="A296" s="1" t="str">
        <x:v>C0295</x:v>
      </x:c>
      <x:c r="B296" s="1" t="str">
        <x:v>Felix</x:v>
      </x:c>
      <x:c r="C296" s="1" t="str">
        <x:v>customer0295@example.com</x:v>
      </x:c>
      <x:c r="D296" s="1" t="str">
        <x:v>UAE</x:v>
      </x:c>
      <x:c r="E296" s="1" t="str">
        <x:v>2025-12-11</x:v>
      </x:c>
      <x:c r="F296" s="1" t="str">
        <x:v>2026-07-25</x:v>
      </x:c>
      <x:c r="G296" s="1" t="str">
        <x:v>7</x:v>
      </x:c>
      <x:c r="H296" s="1" t="str">
        <x:v>686.38</x:v>
      </x:c>
      <x:c r="I296" s="1" t="str">
        <x:v>3</x:v>
      </x:c>
      <x:c r="J296" s="1" t="str">
        <x:v>store</x:v>
      </x:c>
      <x:c r="K296" s="1"/>
      <x:c r="L296" s="1"/>
      <x:c r="M296" s="1"/>
      <x:c r="N296" s="1"/>
      <x:c r="O296" s="1"/>
    </x:row>
    <x:row r="297">
      <x:c r="A297" s="1" t="str">
        <x:v>C0296</x:v>
      </x:c>
      <x:c r="B297" s="1" t="str">
        <x:v>Samuel</x:v>
      </x:c>
      <x:c r="C297" s="1" t="str">
        <x:v>customer0296@example.com</x:v>
      </x:c>
      <x:c r="D297" s="1" t="str">
        <x:v>Germany</x:v>
      </x:c>
      <x:c r="E297" s="1" t="str">
        <x:v>2026-08-17</x:v>
      </x:c>
      <x:c r="F297" s="1" t="str">
        <x:v>2026-09-16</x:v>
      </x:c>
      <x:c r="G297" s="1" t="str">
        <x:v>2</x:v>
      </x:c>
      <x:c r="H297" s="1" t="str">
        <x:v>118.05</x:v>
      </x:c>
      <x:c r="I297" s="1" t="str">
        <x:v>0</x:v>
      </x:c>
      <x:c r="J297" s="1" t="str">
        <x:v>app</x:v>
      </x:c>
      <x:c r="K297" s="1"/>
      <x:c r="L297" s="1"/>
      <x:c r="M297" s="1"/>
      <x:c r="N297" s="1"/>
      <x:c r="O297" s="1"/>
    </x:row>
    <x:row r="298">
      <x:c r="A298" s="1" t="str">
        <x:v>C0297</x:v>
      </x:c>
      <x:c r="B298" s="1" t="str">
        <x:v>Mateo</x:v>
      </x:c>
      <x:c r="C298" s="1" t="str">
        <x:v>customer0297@example.com</x:v>
      </x:c>
      <x:c r="D298" s="1" t="str">
        <x:v>India</x:v>
      </x:c>
      <x:c r="E298" s="1" t="str">
        <x:v>2025-01-06</x:v>
      </x:c>
      <x:c r="F298" s="1" t="str">
        <x:v>2026-08-28</x:v>
      </x:c>
      <x:c r="G298" s="1" t="str">
        <x:v>7</x:v>
      </x:c>
      <x:c r="H298" s="1" t="str">
        <x:v>582.14</x:v>
      </x:c>
      <x:c r="I298" s="1" t="str">
        <x:v>5</x:v>
      </x:c>
      <x:c r="J298" s="1" t="str">
        <x:v>app</x:v>
      </x:c>
      <x:c r="K298" s="1"/>
      <x:c r="L298" s="1"/>
      <x:c r="M298" s="1"/>
      <x:c r="N298" s="1"/>
      <x:c r="O298" s="1"/>
    </x:row>
    <x:row r="299">
      <x:c r="A299" s="1" t="str">
        <x:v>C0298</x:v>
      </x:c>
      <x:c r="B299" s="1" t="str">
        <x:v>Omar</x:v>
      </x:c>
      <x:c r="C299" s="1" t="str">
        <x:v>customer0298@example.com</x:v>
      </x:c>
      <x:c r="D299" s="1" t="str">
        <x:v>Germany</x:v>
      </x:c>
      <x:c r="E299" s="1" t="str">
        <x:v>2024-10-06</x:v>
      </x:c>
      <x:c r="F299" s="1" t="str">
        <x:v>2026-02-21</x:v>
      </x:c>
      <x:c r="G299" s="1" t="str">
        <x:v>2</x:v>
      </x:c>
      <x:c r="H299" s="1" t="str">
        <x:v>112.41</x:v>
      </x:c>
      <x:c r="I299" s="1" t="str">
        <x:v>3</x:v>
      </x:c>
      <x:c r="J299" s="1" t="str">
        <x:v>web</x:v>
      </x:c>
      <x:c r="K299" s="1"/>
      <x:c r="L299" s="1"/>
      <x:c r="M299" s="1"/>
      <x:c r="N299" s="1"/>
      <x:c r="O299" s="1"/>
    </x:row>
    <x:row r="300">
      <x:c r="A300" s="1" t="str">
        <x:v>C0299</x:v>
      </x:c>
      <x:c r="B300" s="1" t="str">
        <x:v>Mei</x:v>
      </x:c>
      <x:c r="C300" s="1" t="str">
        <x:v>customer0299@example.com</x:v>
      </x:c>
      <x:c r="D300" s="1" t="str">
        <x:v>Brazil</x:v>
      </x:c>
      <x:c r="E300" s="1" t="str">
        <x:v>2025-01-18</x:v>
      </x:c>
      <x:c r="F300" s="1" t="str">
        <x:v>2026-09-30</x:v>
      </x:c>
      <x:c r="G300" s="1" t="str">
        <x:v>10</x:v>
      </x:c>
      <x:c r="H300" s="1" t="str">
        <x:v>1481.81</x:v>
      </x:c>
      <x:c r="I300" s="1" t="str">
        <x:v>7</x:v>
      </x:c>
      <x:c r="J300" s="1" t="str">
        <x:v>store</x:v>
      </x:c>
      <x:c r="K300" s="1"/>
      <x:c r="L300" s="1"/>
      <x:c r="M300" s="1"/>
      <x:c r="N300" s="1"/>
      <x:c r="O300" s="1"/>
    </x:row>
    <x:row r="301">
      <x:c r="A301" s="1" t="str">
        <x:v>C0300</x:v>
      </x:c>
      <x:c r="B301" s="1" t="str">
        <x:v>Ethan</x:v>
      </x:c>
      <x:c r="C301" s="1" t="str">
        <x:v>customer0300@example.com</x:v>
      </x:c>
      <x:c r="D301" s="1" t="str">
        <x:v>USA</x:v>
      </x:c>
      <x:c r="E301" s="1" t="str">
        <x:v>2026-05-30</x:v>
      </x:c>
      <x:c r="F301" s="1" t="str">
        <x:v>2026-09-18</x:v>
      </x:c>
      <x:c r="G301" s="1" t="str">
        <x:v>15</x:v>
      </x:c>
      <x:c r="H301" s="1" t="str">
        <x:v>1166.58</x:v>
      </x:c>
      <x:c r="I301" s="1" t="str">
        <x:v>10</x:v>
      </x:c>
      <x:c r="J301" s="1" t="str">
        <x:v>store</x:v>
      </x:c>
      <x:c r="K301" s="1"/>
      <x:c r="L301" s="1"/>
      <x:c r="M301" s="1"/>
      <x:c r="N301" s="1"/>
      <x:c r="O301" s="1"/>
    </x:row>
    <x:row r="302">
      <x:c r="A302" s="1" t="str">
        <x:v>C0301</x:v>
      </x:c>
      <x:c r="B302" s="1" t="str">
        <x:v>Nia</x:v>
      </x:c>
      <x:c r="C302" s="1" t="str">
        <x:v>customer0301@example.com</x:v>
      </x:c>
      <x:c r="D302" s="1" t="str">
        <x:v>USA</x:v>
      </x:c>
      <x:c r="E302" s="1" t="str">
        <x:v>2025-07-02</x:v>
      </x:c>
      <x:c r="F302" s="1" t="str">
        <x:v>2025-11-22</x:v>
      </x:c>
      <x:c r="G302" s="1" t="str">
        <x:v>2</x:v>
      </x:c>
      <x:c r="H302" s="1" t="str">
        <x:v>131.94</x:v>
      </x:c>
      <x:c r="I302" s="1" t="str">
        <x:v>9</x:v>
      </x:c>
      <x:c r="J302" s="1" t="str">
        <x:v>store</x:v>
      </x:c>
      <x:c r="K302" s="1"/>
      <x:c r="L302" s="1"/>
      <x:c r="M302" s="1"/>
      <x:c r="N302" s="1"/>
      <x:c r="O302" s="1"/>
    </x:row>
    <x:row r="303">
      <x:c r="A303" s="1" t="str">
        <x:v>C0302</x:v>
      </x:c>
      <x:c r="B303" s="1" t="str">
        <x:v>Arjun</x:v>
      </x:c>
      <x:c r="C303" s="1" t="str">
        <x:v>customer0302@example.com</x:v>
      </x:c>
      <x:c r="D303" s="1" t="str">
        <x:v>UK</x:v>
      </x:c>
      <x:c r="E303" s="1" t="str">
        <x:v>2024-07-30</x:v>
      </x:c>
      <x:c r="F303" s="1" t="str">
        <x:v>2026-05-06</x:v>
      </x:c>
      <x:c r="G303" s="1" t="str">
        <x:v>2</x:v>
      </x:c>
      <x:c r="H303" s="1" t="str">
        <x:v>62.02</x:v>
      </x:c>
      <x:c r="I303" s="1" t="str">
        <x:v>6</x:v>
      </x:c>
      <x:c r="J303" s="1" t="str">
        <x:v>app</x:v>
      </x:c>
      <x:c r="K303" s="1"/>
      <x:c r="L303" s="1"/>
      <x:c r="M303" s="1"/>
      <x:c r="N303" s="1"/>
      <x:c r="O303" s="1"/>
    </x:row>
    <x:row r="304">
      <x:c r="A304" s="1" t="str">
        <x:v>C0303</x:v>
      </x:c>
      <x:c r="B304" s="1" t="str">
        <x:v>Mateo</x:v>
      </x:c>
      <x:c r="C304" s="1" t="str">
        <x:v>customer0303@example.com</x:v>
      </x:c>
      <x:c r="D304" s="1" t="str">
        <x:v>Nigeria</x:v>
      </x:c>
      <x:c r="E304" s="1" t="str">
        <x:v>2025-04-15</x:v>
      </x:c>
      <x:c r="F304" s="1" t="str">
        <x:v>2026-09-06</x:v>
      </x:c>
      <x:c r="G304" s="1" t="str">
        <x:v>16</x:v>
      </x:c>
      <x:c r="H304" s="1" t="str">
        <x:v>1537.34</x:v>
      </x:c>
      <x:c r="I304" s="1" t="str">
        <x:v>2</x:v>
      </x:c>
      <x:c r="J304" s="1" t="str">
        <x:v>web</x:v>
      </x:c>
      <x:c r="K304" s="1"/>
      <x:c r="L304" s="1"/>
      <x:c r="M304" s="1"/>
      <x:c r="N304" s="1"/>
      <x:c r="O304" s="1"/>
    </x:row>
    <x:row r="305">
      <x:c r="A305" s="1" t="str">
        <x:v>C0304</x:v>
      </x:c>
      <x:c r="B305" s="1" t="str">
        <x:v>Arjun</x:v>
      </x:c>
      <x:c r="C305" s="1" t="str">
        <x:v>customer0304@example.com</x:v>
      </x:c>
      <x:c r="D305" s="1" t="str">
        <x:v>Australia</x:v>
      </x:c>
      <x:c r="E305" s="1" t="str">
        <x:v>2024-10-25</x:v>
      </x:c>
      <x:c r="F305" s="1" t="str">
        <x:v>2026-01-31</x:v>
      </x:c>
      <x:c r="G305" s="1" t="str">
        <x:v>1</x:v>
      </x:c>
      <x:c r="H305" s="1" t="str">
        <x:v>81.42</x:v>
      </x:c>
      <x:c r="I305" s="1" t="str">
        <x:v>4</x:v>
      </x:c>
      <x:c r="J305" s="1" t="str">
        <x:v>store</x:v>
      </x:c>
      <x:c r="K305" s="1"/>
      <x:c r="L305" s="1"/>
      <x:c r="M305" s="1"/>
      <x:c r="N305" s="1"/>
      <x:c r="O305" s="1"/>
    </x:row>
    <x:row r="306">
      <x:c r="A306" s="1" t="str">
        <x:v>C0305</x:v>
      </x:c>
      <x:c r="B306" s="1" t="str">
        <x:v>Mateo</x:v>
      </x:c>
      <x:c r="C306" s="1" t="str">
        <x:v>customer0305@example.com</x:v>
      </x:c>
      <x:c r="D306" s="1" t="str">
        <x:v>Brazil</x:v>
      </x:c>
      <x:c r="E306" s="1" t="str">
        <x:v>2024-12-06</x:v>
      </x:c>
      <x:c r="F306" s="1" t="str">
        <x:v>2026-08-07</x:v>
      </x:c>
      <x:c r="G306" s="1" t="str">
        <x:v>6</x:v>
      </x:c>
      <x:c r="H306" s="1" t="str">
        <x:v>568.29</x:v>
      </x:c>
      <x:c r="I306" s="1" t="str">
        <x:v>0</x:v>
      </x:c>
      <x:c r="J306" s="1" t="str">
        <x:v>store</x:v>
      </x:c>
      <x:c r="K306" s="1"/>
      <x:c r="L306" s="1"/>
      <x:c r="M306" s="1"/>
      <x:c r="N306" s="1"/>
      <x:c r="O306" s="1"/>
    </x:row>
    <x:row r="307">
      <x:c r="A307" s="1" t="str">
        <x:v>C0306</x:v>
      </x:c>
      <x:c r="B307" s="1" t="str">
        <x:v>Lina</x:v>
      </x:c>
      <x:c r="C307" s="1" t="str">
        <x:v>customer0306@example.com</x:v>
      </x:c>
      <x:c r="D307" s="1" t="str">
        <x:v>Germany</x:v>
      </x:c>
      <x:c r="E307" s="1" t="str">
        <x:v>2025-04-06</x:v>
      </x:c>
      <x:c r="F307" s="1" t="str">
        <x:v>2025-10-11</x:v>
      </x:c>
      <x:c r="G307" s="1" t="str">
        <x:v>2</x:v>
      </x:c>
      <x:c r="H307" s="1" t="str">
        <x:v>92.71</x:v>
      </x:c>
      <x:c r="I307" s="1" t="str">
        <x:v>12</x:v>
      </x:c>
      <x:c r="J307" s="1" t="str">
        <x:v>app</x:v>
      </x:c>
      <x:c r="K307" s="1"/>
      <x:c r="L307" s="1"/>
      <x:c r="M307" s="1"/>
      <x:c r="N307" s="1"/>
      <x:c r="O307" s="1"/>
    </x:row>
    <x:row r="308">
      <x:c r="A308" s="1" t="str">
        <x:v>C0307</x:v>
      </x:c>
      <x:c r="B308" s="1" t="str">
        <x:v>Ravi</x:v>
      </x:c>
      <x:c r="C308" s="1" t="str">
        <x:v>customer0307@example.com</x:v>
      </x:c>
      <x:c r="D308" s="1" t="str">
        <x:v>Nigeria</x:v>
      </x:c>
      <x:c r="E308" s="1" t="str">
        <x:v>2025-04-20</x:v>
      </x:c>
      <x:c r="F308" s="1" t="str">
        <x:v>2026-03-24</x:v>
      </x:c>
      <x:c r="G308" s="1" t="str">
        <x:v>12</x:v>
      </x:c>
      <x:c r="H308" s="1" t="str">
        <x:v>516.73</x:v>
      </x:c>
      <x:c r="I308" s="1" t="str">
        <x:v>3</x:v>
      </x:c>
      <x:c r="J308" s="1" t="str">
        <x:v>web</x:v>
      </x:c>
      <x:c r="K308" s="1"/>
      <x:c r="L308" s="1"/>
      <x:c r="M308" s="1"/>
      <x:c r="N308" s="1"/>
      <x:c r="O308" s="1"/>
    </x:row>
    <x:row r="309">
      <x:c r="A309" s="1" t="str">
        <x:v>C0308</x:v>
      </x:c>
      <x:c r="B309" s="1" t="str">
        <x:v>Diego</x:v>
      </x:c>
      <x:c r="C309" s="1" t="str">
        <x:v>customer0308@example.com</x:v>
      </x:c>
      <x:c r="D309" s="1" t="str">
        <x:v>Australia</x:v>
      </x:c>
      <x:c r="E309" s="1" t="str">
        <x:v>2025-11-09</x:v>
      </x:c>
      <x:c r="F309" s="1" t="str">
        <x:v>2026-07-29</x:v>
      </x:c>
      <x:c r="G309" s="1" t="str">
        <x:v>3</x:v>
      </x:c>
      <x:c r="H309" s="1" t="str">
        <x:v>217.9</x:v>
      </x:c>
      <x:c r="I309" s="1" t="str">
        <x:v>4</x:v>
      </x:c>
      <x:c r="J309" s="1" t="str">
        <x:v>store</x:v>
      </x:c>
      <x:c r="K309" s="1"/>
      <x:c r="L309" s="1"/>
      <x:c r="M309" s="1"/>
      <x:c r="N309" s="1"/>
      <x:c r="O309" s="1"/>
    </x:row>
    <x:row r="310">
      <x:c r="A310" s="1" t="str">
        <x:v>C0309</x:v>
      </x:c>
      <x:c r="B310" s="1" t="str">
        <x:v>Maya</x:v>
      </x:c>
      <x:c r="C310" s="1" t="str">
        <x:v>customer0309@example.com</x:v>
      </x:c>
      <x:c r="D310" s="1" t="str">
        <x:v>Nigeria</x:v>
      </x:c>
      <x:c r="E310" s="1" t="str">
        <x:v>2024-11-11</x:v>
      </x:c>
      <x:c r="F310" s="1" t="str">
        <x:v>2025-11-12</x:v>
      </x:c>
      <x:c r="G310" s="1" t="str">
        <x:v>2</x:v>
      </x:c>
      <x:c r="H310" s="1" t="str">
        <x:v>83.17</x:v>
      </x:c>
      <x:c r="I310" s="1" t="str">
        <x:v>10</x:v>
      </x:c>
      <x:c r="J310" s="1" t="str">
        <x:v>web</x:v>
      </x:c>
      <x:c r="K310" s="1"/>
      <x:c r="L310" s="1"/>
      <x:c r="M310" s="1"/>
      <x:c r="N310" s="1"/>
      <x:c r="O310" s="1"/>
    </x:row>
    <x:row r="311">
      <x:c r="A311" s="1" t="str">
        <x:v>C0310</x:v>
      </x:c>
      <x:c r="B311" s="1" t="str">
        <x:v>Hana</x:v>
      </x:c>
      <x:c r="C311" s="1" t="str">
        <x:v>customer0310@example.com</x:v>
      </x:c>
      <x:c r="D311" s="1" t="str">
        <x:v>Brazil</x:v>
      </x:c>
      <x:c r="E311" s="1" t="str">
        <x:v>2026-03-17</x:v>
      </x:c>
      <x:c r="F311" s="1" t="str">
        <x:v>2026-06-26</x:v>
      </x:c>
      <x:c r="G311" s="1" t="str">
        <x:v>4</x:v>
      </x:c>
      <x:c r="H311" s="1" t="str">
        <x:v>854.04</x:v>
      </x:c>
      <x:c r="I311" s="1" t="str">
        <x:v>8</x:v>
      </x:c>
      <x:c r="J311" s="1" t="str">
        <x:v>web</x:v>
      </x:c>
      <x:c r="K311" s="1"/>
      <x:c r="L311" s="1"/>
      <x:c r="M311" s="1"/>
      <x:c r="N311" s="1"/>
      <x:c r="O311" s="1"/>
    </x:row>
    <x:row r="312">
      <x:c r="A312" s="1" t="str">
        <x:v>C0311</x:v>
      </x:c>
      <x:c r="B312" s="1" t="str">
        <x:v>Priya</x:v>
      </x:c>
      <x:c r="C312" s="1" t="str">
        <x:v>customer0311@example.com</x:v>
      </x:c>
      <x:c r="D312" s="1" t="str">
        <x:v>UAE</x:v>
      </x:c>
      <x:c r="E312" s="1" t="str">
        <x:v>2026-08-06</x:v>
      </x:c>
      <x:c r="F312" s="1" t="str">
        <x:v>2026-09-01</x:v>
      </x:c>
      <x:c r="G312" s="1" t="str">
        <x:v>1</x:v>
      </x:c>
      <x:c r="H312" s="1" t="str">
        <x:v>160.77</x:v>
      </x:c>
      <x:c r="I312" s="1" t="str">
        <x:v>7</x:v>
      </x:c>
      <x:c r="J312" s="1" t="str">
        <x:v>store</x:v>
      </x:c>
      <x:c r="K312" s="1"/>
      <x:c r="L312" s="1"/>
      <x:c r="M312" s="1"/>
      <x:c r="N312" s="1"/>
      <x:c r="O312" s="1"/>
    </x:row>
    <x:row r="313">
      <x:c r="A313" s="1" t="str">
        <x:v>C0312</x:v>
      </x:c>
      <x:c r="B313" s="1" t="str">
        <x:v>Chloe</x:v>
      </x:c>
      <x:c r="C313" s="1" t="str">
        <x:v>customer0312@example.com</x:v>
      </x:c>
      <x:c r="D313" s="1" t="str">
        <x:v>Singapore</x:v>
      </x:c>
      <x:c r="E313" s="1" t="str">
        <x:v>2025-02-08</x:v>
      </x:c>
      <x:c r="F313" s="1" t="str">
        <x:v>2025-12-30</x:v>
      </x:c>
      <x:c r="G313" s="1" t="str">
        <x:v>1</x:v>
      </x:c>
      <x:c r="H313" s="1" t="str">
        <x:v>44.88</x:v>
      </x:c>
      <x:c r="I313" s="1" t="str">
        <x:v>4</x:v>
      </x:c>
      <x:c r="J313" s="1" t="str">
        <x:v>store</x:v>
      </x:c>
      <x:c r="K313" s="1"/>
      <x:c r="L313" s="1"/>
      <x:c r="M313" s="1"/>
      <x:c r="N313" s="1"/>
      <x:c r="O313" s="1"/>
    </x:row>
    <x:row r="314">
      <x:c r="A314" s="1" t="str">
        <x:v>C0313</x:v>
      </x:c>
      <x:c r="B314" s="1" t="str">
        <x:v>Jonas</x:v>
      </x:c>
      <x:c r="C314" s="1" t="str">
        <x:v>customer0313@example.com</x:v>
      </x:c>
      <x:c r="D314" s="1" t="str">
        <x:v>UAE</x:v>
      </x:c>
      <x:c r="E314" s="1" t="str">
        <x:v>2025-03-12</x:v>
      </x:c>
      <x:c r="F314" s="1" t="str">
        <x:v>2026-08-15</x:v>
      </x:c>
      <x:c r="G314" s="1" t="str">
        <x:v>8</x:v>
      </x:c>
      <x:c r="H314" s="1" t="str">
        <x:v>440.35</x:v>
      </x:c>
      <x:c r="I314" s="1" t="str">
        <x:v>10</x:v>
      </x:c>
      <x:c r="J314" s="1" t="str">
        <x:v>app</x:v>
      </x:c>
      <x:c r="K314" s="1"/>
      <x:c r="L314" s="1"/>
      <x:c r="M314" s="1"/>
      <x:c r="N314" s="1"/>
      <x:c r="O314" s="1"/>
    </x:row>
    <x:row r="315">
      <x:c r="A315" s="1" t="str">
        <x:v>C0314</x:v>
      </x:c>
      <x:c r="B315" s="1" t="str">
        <x:v>Hana</x:v>
      </x:c>
      <x:c r="C315" s="1" t="str">
        <x:v>customer0314@example.com</x:v>
      </x:c>
      <x:c r="D315" s="1" t="str">
        <x:v>UK</x:v>
      </x:c>
      <x:c r="E315" s="1" t="str">
        <x:v>2025-08-10</x:v>
      </x:c>
      <x:c r="F315" s="1" t="str">
        <x:v>2026-02-18</x:v>
      </x:c>
      <x:c r="G315" s="1" t="str">
        <x:v>6</x:v>
      </x:c>
      <x:c r="H315" s="1" t="str">
        <x:v>830.62</x:v>
      </x:c>
      <x:c r="I315" s="1" t="str">
        <x:v>0</x:v>
      </x:c>
      <x:c r="J315" s="1" t="str">
        <x:v>store</x:v>
      </x:c>
      <x:c r="K315" s="1"/>
      <x:c r="L315" s="1"/>
      <x:c r="M315" s="1"/>
      <x:c r="N315" s="1"/>
      <x:c r="O315" s="1"/>
    </x:row>
    <x:row r="316">
      <x:c r="A316" s="1" t="str">
        <x:v>C0315</x:v>
      </x:c>
      <x:c r="B316" s="1" t="str">
        <x:v>Felix</x:v>
      </x:c>
      <x:c r="C316" s="1" t="str">
        <x:v>customer0315@example.com</x:v>
      </x:c>
      <x:c r="D316" s="1" t="str">
        <x:v>India</x:v>
      </x:c>
      <x:c r="E316" s="1" t="str">
        <x:v>2024-08-24</x:v>
      </x:c>
      <x:c r="F316" s="1" t="str">
        <x:v>2026-06-01</x:v>
      </x:c>
      <x:c r="G316" s="1" t="str">
        <x:v>8</x:v>
      </x:c>
      <x:c r="H316" s="1" t="str">
        <x:v>905.35</x:v>
      </x:c>
      <x:c r="I316" s="1" t="str">
        <x:v>11</x:v>
      </x:c>
      <x:c r="J316" s="1" t="str">
        <x:v>web</x:v>
      </x:c>
      <x:c r="K316" s="1"/>
      <x:c r="L316" s="1"/>
      <x:c r="M316" s="1"/>
      <x:c r="N316" s="1"/>
      <x:c r="O316" s="1"/>
    </x:row>
    <x:row r="317">
      <x:c r="A317" s="1" t="str">
        <x:v>C0316</x:v>
      </x:c>
      <x:c r="B317" s="1" t="str">
        <x:v>Aarav</x:v>
      </x:c>
      <x:c r="C317" s="1" t="str">
        <x:v>customer0316@example.com</x:v>
      </x:c>
      <x:c r="D317" s="1" t="str">
        <x:v>Germany</x:v>
      </x:c>
      <x:c r="E317" s="1" t="str">
        <x:v>2025-03-13</x:v>
      </x:c>
      <x:c r="F317" s="1" t="str">
        <x:v>2026-09-30</x:v>
      </x:c>
      <x:c r="G317" s="1" t="str">
        <x:v>12</x:v>
      </x:c>
      <x:c r="H317" s="1" t="str">
        <x:v>1737.02</x:v>
      </x:c>
      <x:c r="I317" s="1" t="str">
        <x:v>6</x:v>
      </x:c>
      <x:c r="J317" s="1" t="str">
        <x:v>app</x:v>
      </x:c>
      <x:c r="K317" s="1"/>
      <x:c r="L317" s="1"/>
      <x:c r="M317" s="1"/>
      <x:c r="N317" s="1"/>
      <x:c r="O317" s="1"/>
    </x:row>
    <x:row r="318">
      <x:c r="A318" s="1" t="str">
        <x:v>C0317</x:v>
      </x:c>
      <x:c r="B318" s="1" t="str">
        <x:v>Kai</x:v>
      </x:c>
      <x:c r="C318" s="1" t="str">
        <x:v>customer0317@example.com</x:v>
      </x:c>
      <x:c r="D318" s="1" t="str">
        <x:v>Japan</x:v>
      </x:c>
      <x:c r="E318" s="1" t="str">
        <x:v>2026-08-09</x:v>
      </x:c>
      <x:c r="F318" s="1" t="str">
        <x:v>2026-09-09</x:v>
      </x:c>
      <x:c r="G318" s="1" t="str">
        <x:v>1</x:v>
      </x:c>
      <x:c r="H318" s="1" t="str">
        <x:v>51.46</x:v>
      </x:c>
      <x:c r="I318" s="1" t="str">
        <x:v>9</x:v>
      </x:c>
      <x:c r="J318" s="1" t="str">
        <x:v>web</x:v>
      </x:c>
      <x:c r="K318" s="1"/>
      <x:c r="L318" s="1"/>
      <x:c r="M318" s="1"/>
      <x:c r="N318" s="1"/>
      <x:c r="O318" s="1"/>
    </x:row>
    <x:row r="319">
      <x:c r="A319" s="1" t="str">
        <x:v>C0318</x:v>
      </x:c>
      <x:c r="B319" s="1" t="str">
        <x:v>Kenji</x:v>
      </x:c>
      <x:c r="C319" s="1" t="str">
        <x:v>customer0318@example.com</x:v>
      </x:c>
      <x:c r="D319" s="1" t="str">
        <x:v>UK</x:v>
      </x:c>
      <x:c r="E319" s="1" t="str">
        <x:v>2025-12-08</x:v>
      </x:c>
      <x:c r="F319" s="1" t="str">
        <x:v>2026-04-11</x:v>
      </x:c>
      <x:c r="G319" s="1" t="str">
        <x:v>1</x:v>
      </x:c>
      <x:c r="H319" s="1" t="str">
        <x:v>86.94</x:v>
      </x:c>
      <x:c r="I319" s="1" t="str">
        <x:v>8</x:v>
      </x:c>
      <x:c r="J319" s="1" t="str">
        <x:v>store</x:v>
      </x:c>
      <x:c r="K319" s="1"/>
      <x:c r="L319" s="1"/>
      <x:c r="M319" s="1"/>
      <x:c r="N319" s="1"/>
      <x:c r="O319" s="1"/>
    </x:row>
    <x:row r="320">
      <x:c r="A320" s="1" t="str">
        <x:v>C0319</x:v>
      </x:c>
      <x:c r="B320" s="1" t="str">
        <x:v>Priya</x:v>
      </x:c>
      <x:c r="C320" s="1" t="str">
        <x:v>customer0319@example.com</x:v>
      </x:c>
      <x:c r="D320" s="1" t="str">
        <x:v>Australia</x:v>
      </x:c>
      <x:c r="E320" s="1" t="str">
        <x:v>2025-04-10</x:v>
      </x:c>
      <x:c r="F320" s="1" t="str">
        <x:v>2026-09-27</x:v>
      </x:c>
      <x:c r="G320" s="1" t="str">
        <x:v>9</x:v>
      </x:c>
      <x:c r="H320" s="1" t="str">
        <x:v>872.86</x:v>
      </x:c>
      <x:c r="I320" s="1" t="str">
        <x:v>9</x:v>
      </x:c>
      <x:c r="J320" s="1" t="str">
        <x:v>web</x:v>
      </x:c>
      <x:c r="K320" s="1"/>
      <x:c r="L320" s="1"/>
      <x:c r="M320" s="1"/>
      <x:c r="N320" s="1"/>
      <x:c r="O320" s="1"/>
    </x:row>
    <x:row r="321">
      <x:c r="A321" s="1" t="str">
        <x:v>C0320</x:v>
      </x:c>
      <x:c r="B321" s="1" t="str">
        <x:v>Ravi</x:v>
      </x:c>
      <x:c r="C321" s="1" t="str">
        <x:v>customer0320@example.com</x:v>
      </x:c>
      <x:c r="D321" s="1" t="str">
        <x:v>UK</x:v>
      </x:c>
      <x:c r="E321" s="1" t="str">
        <x:v>2024-10-08</x:v>
      </x:c>
      <x:c r="F321" s="1" t="str">
        <x:v>2026-05-23</x:v>
      </x:c>
      <x:c r="G321" s="1" t="str">
        <x:v>1</x:v>
      </x:c>
      <x:c r="H321" s="1" t="str">
        <x:v>134.8</x:v>
      </x:c>
      <x:c r="I321" s="1" t="str">
        <x:v>11</x:v>
      </x:c>
      <x:c r="J321" s="1" t="str">
        <x:v>app</x:v>
      </x:c>
      <x:c r="K321" s="1"/>
      <x:c r="L321" s="1"/>
      <x:c r="M321" s="1"/>
      <x:c r="N321" s="1"/>
      <x:c r="O321" s="1"/>
    </x:row>
    <x:row r="322">
      <x:c r="A322" s="1" t="str">
        <x:v>C0321</x:v>
      </x:c>
      <x:c r="B322" s="1" t="str">
        <x:v>Mei</x:v>
      </x:c>
      <x:c r="C322" s="1" t="str">
        <x:v>customer0321@example.com</x:v>
      </x:c>
      <x:c r="D322" s="1" t="str">
        <x:v>Nigeria</x:v>
      </x:c>
      <x:c r="E322" s="1" t="str">
        <x:v>2026-05-22</x:v>
      </x:c>
      <x:c r="F322" s="1" t="str">
        <x:v>2026-08-31</x:v>
      </x:c>
      <x:c r="G322" s="1" t="str">
        <x:v>3</x:v>
      </x:c>
      <x:c r="H322" s="1" t="str">
        <x:v>386.63</x:v>
      </x:c>
      <x:c r="I322" s="1" t="str">
        <x:v>1</x:v>
      </x:c>
      <x:c r="J322" s="1" t="str">
        <x:v>web</x:v>
      </x:c>
      <x:c r="K322" s="1"/>
      <x:c r="L322" s="1"/>
      <x:c r="M322" s="1"/>
      <x:c r="N322" s="1"/>
      <x:c r="O322" s="1"/>
    </x:row>
    <x:row r="323">
      <x:c r="A323" s="1" t="str">
        <x:v>C0322</x:v>
      </x:c>
      <x:c r="B323" s="1" t="str">
        <x:v>Diego</x:v>
      </x:c>
      <x:c r="C323" s="1" t="str">
        <x:v>customer0322@example.com</x:v>
      </x:c>
      <x:c r="D323" s="1" t="str">
        <x:v>India</x:v>
      </x:c>
      <x:c r="E323" s="1" t="str">
        <x:v>2025-06-24</x:v>
      </x:c>
      <x:c r="F323" s="1" t="str">
        <x:v>2026-08-03</x:v>
      </x:c>
      <x:c r="G323" s="1" t="str">
        <x:v>3</x:v>
      </x:c>
      <x:c r="H323" s="1" t="str">
        <x:v>238.28</x:v>
      </x:c>
      <x:c r="I323" s="1" t="str">
        <x:v>7</x:v>
      </x:c>
      <x:c r="J323" s="1" t="str">
        <x:v>app</x:v>
      </x:c>
      <x:c r="K323" s="1"/>
      <x:c r="L323" s="1"/>
      <x:c r="M323" s="1"/>
      <x:c r="N323" s="1"/>
      <x:c r="O323" s="1"/>
    </x:row>
    <x:row r="324">
      <x:c r="A324" s="1" t="str">
        <x:v>C0323</x:v>
      </x:c>
      <x:c r="B324" s="1" t="str">
        <x:v>Mei</x:v>
      </x:c>
      <x:c r="C324" s="1" t="str">
        <x:v>customer0323@example.com</x:v>
      </x:c>
      <x:c r="D324" s="1" t="str">
        <x:v>UK</x:v>
      </x:c>
      <x:c r="E324" s="1" t="str">
        <x:v>2026-08-17</x:v>
      </x:c>
      <x:c r="F324" s="1" t="str">
        <x:v>2026-09-23</x:v>
      </x:c>
      <x:c r="G324" s="1" t="str">
        <x:v>1</x:v>
      </x:c>
      <x:c r="H324" s="1" t="str">
        <x:v>27.04</x:v>
      </x:c>
      <x:c r="I324" s="1" t="str">
        <x:v>5</x:v>
      </x:c>
      <x:c r="J324" s="1" t="str">
        <x:v>app</x:v>
      </x:c>
      <x:c r="K324" s="1"/>
      <x:c r="L324" s="1"/>
      <x:c r="M324" s="1"/>
      <x:c r="N324" s="1"/>
      <x:c r="O324" s="1"/>
    </x:row>
    <x:row r="325">
      <x:c r="A325" s="1" t="str">
        <x:v>C0324</x:v>
      </x:c>
      <x:c r="B325" s="1" t="str">
        <x:v>Jonas</x:v>
      </x:c>
      <x:c r="C325" s="1" t="str">
        <x:v>customer0324@example.com</x:v>
      </x:c>
      <x:c r="D325" s="1" t="str">
        <x:v>Australia</x:v>
      </x:c>
      <x:c r="E325" s="1" t="str">
        <x:v>2025-02-17</x:v>
      </x:c>
      <x:c r="F325" s="1" t="str">
        <x:v>2025-11-02</x:v>
      </x:c>
      <x:c r="G325" s="1" t="str">
        <x:v>2</x:v>
      </x:c>
      <x:c r="H325" s="1" t="str">
        <x:v>88.22</x:v>
      </x:c>
      <x:c r="I325" s="1" t="str">
        <x:v>1</x:v>
      </x:c>
      <x:c r="J325" s="1" t="str">
        <x:v>app</x:v>
      </x:c>
      <x:c r="K325" s="1"/>
      <x:c r="L325" s="1"/>
      <x:c r="M325" s="1"/>
      <x:c r="N325" s="1"/>
      <x:c r="O325" s="1"/>
    </x:row>
    <x:row r="326">
      <x:c r="A326" s="1" t="str">
        <x:v>C0325</x:v>
      </x:c>
      <x:c r="B326" s="1" t="str">
        <x:v>Jonas</x:v>
      </x:c>
      <x:c r="C326" s="1" t="str">
        <x:v>customer0325@example.com</x:v>
      </x:c>
      <x:c r="D326" s="1" t="str">
        <x:v>Australia</x:v>
      </x:c>
      <x:c r="E326" s="1" t="str">
        <x:v>2026-08-15</x:v>
      </x:c>
      <x:c r="F326" s="1" t="str">
        <x:v>2026-09-09</x:v>
      </x:c>
      <x:c r="G326" s="1" t="str">
        <x:v>1</x:v>
      </x:c>
      <x:c r="H326" s="1" t="str">
        <x:v>86.16</x:v>
      </x:c>
      <x:c r="I326" s="1" t="str">
        <x:v>0</x:v>
      </x:c>
      <x:c r="J326" s="1" t="str">
        <x:v>app</x:v>
      </x:c>
      <x:c r="K326" s="1"/>
      <x:c r="L326" s="1"/>
      <x:c r="M326" s="1"/>
      <x:c r="N326" s="1"/>
      <x:c r="O326" s="1"/>
    </x:row>
    <x:row r="327">
      <x:c r="A327" s="1" t="str">
        <x:v>C0326</x:v>
      </x:c>
      <x:c r="B327" s="1" t="str">
        <x:v>Jonas</x:v>
      </x:c>
      <x:c r="C327" s="1" t="str">
        <x:v>customer0326@example.com</x:v>
      </x:c>
      <x:c r="D327" s="1" t="str">
        <x:v>Germany</x:v>
      </x:c>
      <x:c r="E327" s="1" t="str">
        <x:v>2026-09-18</x:v>
      </x:c>
      <x:c r="F327" s="1" t="str">
        <x:v>2026-09-25</x:v>
      </x:c>
      <x:c r="G327" s="1" t="str">
        <x:v>13</x:v>
      </x:c>
      <x:c r="H327" s="1" t="str">
        <x:v>1206.41</x:v>
      </x:c>
      <x:c r="I327" s="1" t="str">
        <x:v>6</x:v>
      </x:c>
      <x:c r="J327" s="1" t="str">
        <x:v>store</x:v>
      </x:c>
      <x:c r="K327" s="1"/>
      <x:c r="L327" s="1"/>
      <x:c r="M327" s="1"/>
      <x:c r="N327" s="1"/>
      <x:c r="O327" s="1"/>
    </x:row>
    <x:row r="328">
      <x:c r="A328" s="1" t="str">
        <x:v>C0327</x:v>
      </x:c>
      <x:c r="B328" s="1" t="str">
        <x:v>Mateo</x:v>
      </x:c>
      <x:c r="C328" s="1" t="str">
        <x:v>customer0327@example.com</x:v>
      </x:c>
      <x:c r="D328" s="1" t="str">
        <x:v>Singapore</x:v>
      </x:c>
      <x:c r="E328" s="1" t="str">
        <x:v>2025-09-01</x:v>
      </x:c>
      <x:c r="F328" s="1" t="str">
        <x:v>2026-08-10</x:v>
      </x:c>
      <x:c r="G328" s="1" t="str">
        <x:v>7</x:v>
      </x:c>
      <x:c r="H328" s="1" t="str">
        <x:v>810.04</x:v>
      </x:c>
      <x:c r="I328" s="1" t="str">
        <x:v>1</x:v>
      </x:c>
      <x:c r="J328" s="1" t="str">
        <x:v>web</x:v>
      </x:c>
      <x:c r="K328" s="1"/>
      <x:c r="L328" s="1"/>
      <x:c r="M328" s="1"/>
      <x:c r="N328" s="1"/>
      <x:c r="O328" s="1"/>
    </x:row>
    <x:row r="329">
      <x:c r="A329" s="1" t="str">
        <x:v>C0328</x:v>
      </x:c>
      <x:c r="B329" s="1" t="str">
        <x:v>Ines</x:v>
      </x:c>
      <x:c r="C329" s="1" t="str">
        <x:v>customer0328@example.com</x:v>
      </x:c>
      <x:c r="D329" s="1" t="str">
        <x:v>Brazil</x:v>
      </x:c>
      <x:c r="E329" s="1" t="str">
        <x:v>2024-09-04</x:v>
      </x:c>
      <x:c r="F329" s="1" t="str">
        <x:v>2025-12-26</x:v>
      </x:c>
      <x:c r="G329" s="1" t="str">
        <x:v>1</x:v>
      </x:c>
      <x:c r="H329" s="1" t="str">
        <x:v>82.79</x:v>
      </x:c>
      <x:c r="I329" s="1" t="str">
        <x:v>3</x:v>
      </x:c>
      <x:c r="J329" s="1" t="str">
        <x:v>web</x:v>
      </x:c>
      <x:c r="K329" s="1"/>
      <x:c r="L329" s="1"/>
      <x:c r="M329" s="1"/>
      <x:c r="N329" s="1"/>
      <x:c r="O329" s="1"/>
    </x:row>
    <x:row r="330">
      <x:c r="A330" s="1" t="str">
        <x:v>C0329</x:v>
      </x:c>
      <x:c r="B330" s="1" t="str">
        <x:v>Zara</x:v>
      </x:c>
      <x:c r="C330" s="1" t="str">
        <x:v>customer0329@example.com</x:v>
      </x:c>
      <x:c r="D330" s="1" t="str">
        <x:v>UK</x:v>
      </x:c>
      <x:c r="E330" s="1" t="str">
        <x:v>2026-04-03</x:v>
      </x:c>
      <x:c r="F330" s="1" t="str">
        <x:v>2026-09-09</x:v>
      </x:c>
      <x:c r="G330" s="1" t="str">
        <x:v>8</x:v>
      </x:c>
      <x:c r="H330" s="1" t="str">
        <x:v>1146.27</x:v>
      </x:c>
      <x:c r="I330" s="1" t="str">
        <x:v>1</x:v>
      </x:c>
      <x:c r="J330" s="1" t="str">
        <x:v>app</x:v>
      </x:c>
      <x:c r="K330" s="1"/>
      <x:c r="L330" s="1"/>
      <x:c r="M330" s="1"/>
      <x:c r="N330" s="1"/>
      <x:c r="O330" s="1"/>
    </x:row>
    <x:row r="331">
      <x:c r="A331" s="1" t="str">
        <x:v>C0330</x:v>
      </x:c>
      <x:c r="B331" s="1" t="str">
        <x:v>Amara</x:v>
      </x:c>
      <x:c r="C331" s="1" t="str">
        <x:v>customer0330@example.com</x:v>
      </x:c>
      <x:c r="D331" s="1" t="str">
        <x:v>Brazil</x:v>
      </x:c>
      <x:c r="E331" s="1" t="str">
        <x:v>2026-01-03</x:v>
      </x:c>
      <x:c r="F331" s="1" t="str">
        <x:v>2026-09-05</x:v>
      </x:c>
      <x:c r="G331" s="1" t="str">
        <x:v>7</x:v>
      </x:c>
      <x:c r="H331" s="1" t="str">
        <x:v>510.32</x:v>
      </x:c>
      <x:c r="I331" s="1" t="str">
        <x:v>5</x:v>
      </x:c>
      <x:c r="J331" s="1" t="str">
        <x:v>app</x:v>
      </x:c>
      <x:c r="K331" s="1"/>
      <x:c r="L331" s="1"/>
      <x:c r="M331" s="1"/>
      <x:c r="N331" s="1"/>
      <x:c r="O331" s="1"/>
    </x:row>
    <x:row r="332">
      <x:c r="A332" s="1" t="str">
        <x:v>C0331</x:v>
      </x:c>
      <x:c r="B332" s="1" t="str">
        <x:v>Ethan</x:v>
      </x:c>
      <x:c r="C332" s="1" t="str">
        <x:v>customer0331@example.com</x:v>
      </x:c>
      <x:c r="D332" s="1" t="str">
        <x:v>USA</x:v>
      </x:c>
      <x:c r="E332" s="1" t="str">
        <x:v>2026-08-19</x:v>
      </x:c>
      <x:c r="F332" s="1" t="str">
        <x:v>2026-09-18</x:v>
      </x:c>
      <x:c r="G332" s="1" t="str">
        <x:v>1</x:v>
      </x:c>
      <x:c r="H332" s="1" t="str">
        <x:v>67.56</x:v>
      </x:c>
      <x:c r="I332" s="1" t="str">
        <x:v>3</x:v>
      </x:c>
      <x:c r="J332" s="1" t="str">
        <x:v>web</x:v>
      </x:c>
      <x:c r="K332" s="1"/>
      <x:c r="L332" s="1"/>
      <x:c r="M332" s="1"/>
      <x:c r="N332" s="1"/>
      <x:c r="O332" s="1"/>
    </x:row>
    <x:row r="333">
      <x:c r="A333" s="1" t="str">
        <x:v>C0332</x:v>
      </x:c>
      <x:c r="B333" s="1" t="str">
        <x:v>Diego</x:v>
      </x:c>
      <x:c r="C333" s="1" t="str">
        <x:v>customer0332@example.com</x:v>
      </x:c>
      <x:c r="D333" s="1" t="str">
        <x:v>Brazil</x:v>
      </x:c>
      <x:c r="E333" s="1" t="str">
        <x:v>2026-08-11</x:v>
      </x:c>
      <x:c r="F333" s="1" t="str">
        <x:v>2026-09-08</x:v>
      </x:c>
      <x:c r="G333" s="1" t="str">
        <x:v>2</x:v>
      </x:c>
      <x:c r="H333" s="1" t="str">
        <x:v>115.35</x:v>
      </x:c>
      <x:c r="I333" s="1" t="str">
        <x:v>8</x:v>
      </x:c>
      <x:c r="J333" s="1" t="str">
        <x:v>app</x:v>
      </x:c>
      <x:c r="K333" s="1"/>
      <x:c r="L333" s="1"/>
      <x:c r="M333" s="1"/>
      <x:c r="N333" s="1"/>
      <x:c r="O333" s="1"/>
    </x:row>
    <x:row r="334">
      <x:c r="A334" s="1" t="str">
        <x:v>C0333</x:v>
      </x:c>
      <x:c r="B334" s="1" t="str">
        <x:v>Nia</x:v>
      </x:c>
      <x:c r="C334" s="1" t="str">
        <x:v>customer0333@example.com</x:v>
      </x:c>
      <x:c r="D334" s="1" t="str">
        <x:v>Japan</x:v>
      </x:c>
      <x:c r="E334" s="1" t="str">
        <x:v>2025-10-16</x:v>
      </x:c>
      <x:c r="F334" s="1" t="str">
        <x:v>2026-02-18</x:v>
      </x:c>
      <x:c r="G334" s="1" t="str">
        <x:v>6</x:v>
      </x:c>
      <x:c r="H334" s="1" t="str">
        <x:v>394.34</x:v>
      </x:c>
      <x:c r="I334" s="1" t="str">
        <x:v>1</x:v>
      </x:c>
      <x:c r="J334" s="1" t="str">
        <x:v>store</x:v>
      </x:c>
      <x:c r="K334" s="1"/>
      <x:c r="L334" s="1"/>
      <x:c r="M334" s="1"/>
      <x:c r="N334" s="1"/>
      <x:c r="O334" s="1"/>
    </x:row>
    <x:row r="335">
      <x:c r="A335" s="1" t="str">
        <x:v>C0334</x:v>
      </x:c>
      <x:c r="B335" s="1" t="str">
        <x:v>Kenji</x:v>
      </x:c>
      <x:c r="C335" s="1" t="str">
        <x:v>customer0334@example.com</x:v>
      </x:c>
      <x:c r="D335" s="1" t="str">
        <x:v>Germany</x:v>
      </x:c>
      <x:c r="E335" s="1" t="str">
        <x:v>2024-05-06</x:v>
      </x:c>
      <x:c r="F335" s="1" t="str">
        <x:v>2025-12-08</x:v>
      </x:c>
      <x:c r="G335" s="1" t="str">
        <x:v>1</x:v>
      </x:c>
      <x:c r="H335" s="1" t="str">
        <x:v>130.07</x:v>
      </x:c>
      <x:c r="I335" s="1" t="str">
        <x:v>0</x:v>
      </x:c>
      <x:c r="J335" s="1" t="str">
        <x:v>web</x:v>
      </x:c>
      <x:c r="K335" s="1"/>
      <x:c r="L335" s="1"/>
      <x:c r="M335" s="1"/>
      <x:c r="N335" s="1"/>
      <x:c r="O335" s="1"/>
    </x:row>
    <x:row r="336">
      <x:c r="A336" s="1" t="str">
        <x:v>C0335</x:v>
      </x:c>
      <x:c r="B336" s="1" t="str">
        <x:v>Ravi</x:v>
      </x:c>
      <x:c r="C336" s="1" t="str">
        <x:v>customer0335@example.com</x:v>
      </x:c>
      <x:c r="D336" s="1" t="str">
        <x:v>USA</x:v>
      </x:c>
      <x:c r="E336" s="1" t="str">
        <x:v>2026-08-25</x:v>
      </x:c>
      <x:c r="F336" s="1" t="str">
        <x:v>2026-09-08</x:v>
      </x:c>
      <x:c r="G336" s="1" t="str">
        <x:v>1</x:v>
      </x:c>
      <x:c r="H336" s="1" t="str">
        <x:v>144.18</x:v>
      </x:c>
      <x:c r="I336" s="1" t="str">
        <x:v>10</x:v>
      </x:c>
      <x:c r="J336" s="1" t="str">
        <x:v>app</x:v>
      </x:c>
      <x:c r="K336" s="1"/>
      <x:c r="L336" s="1"/>
      <x:c r="M336" s="1"/>
      <x:c r="N336" s="1"/>
      <x:c r="O336" s="1"/>
    </x:row>
    <x:row r="337">
      <x:c r="A337" s="1" t="str">
        <x:v>C0336</x:v>
      </x:c>
      <x:c r="B337" s="1" t="str">
        <x:v>Lucas</x:v>
      </x:c>
      <x:c r="C337" s="1" t="str">
        <x:v>customer0336@example.com</x:v>
      </x:c>
      <x:c r="D337" s="1" t="str">
        <x:v>Singapore</x:v>
      </x:c>
      <x:c r="E337" s="1" t="str">
        <x:v>2025-11-19</x:v>
      </x:c>
      <x:c r="F337" s="1" t="str">
        <x:v>2026-09-19</x:v>
      </x:c>
      <x:c r="G337" s="1" t="str">
        <x:v>20</x:v>
      </x:c>
      <x:c r="H337" s="1" t="str">
        <x:v>1400.58</x:v>
      </x:c>
      <x:c r="I337" s="1" t="str">
        <x:v>11</x:v>
      </x:c>
      <x:c r="J337" s="1" t="str">
        <x:v>web</x:v>
      </x:c>
      <x:c r="K337" s="1"/>
      <x:c r="L337" s="1"/>
      <x:c r="M337" s="1"/>
      <x:c r="N337" s="1"/>
      <x:c r="O337" s="1"/>
    </x:row>
    <x:row r="338">
      <x:c r="A338" s="1" t="str">
        <x:v>C0337</x:v>
      </x:c>
      <x:c r="B338" s="1" t="str">
        <x:v>Ines</x:v>
      </x:c>
      <x:c r="C338" s="1" t="str">
        <x:v>customer0337@example.com</x:v>
      </x:c>
      <x:c r="D338" s="1" t="str">
        <x:v>Brazil</x:v>
      </x:c>
      <x:c r="E338" s="1" t="str">
        <x:v>2025-08-09</x:v>
      </x:c>
      <x:c r="F338" s="1" t="str">
        <x:v>2026-09-21</x:v>
      </x:c>
      <x:c r="G338" s="1" t="str">
        <x:v>10</x:v>
      </x:c>
      <x:c r="H338" s="1" t="str">
        <x:v>1906.93</x:v>
      </x:c>
      <x:c r="I338" s="1" t="str">
        <x:v>6</x:v>
      </x:c>
      <x:c r="J338" s="1" t="str">
        <x:v>web</x:v>
      </x:c>
      <x:c r="K338" s="1"/>
      <x:c r="L338" s="1"/>
      <x:c r="M338" s="1"/>
      <x:c r="N338" s="1"/>
      <x:c r="O338" s="1"/>
    </x:row>
    <x:row r="339">
      <x:c r="A339" s="1" t="str">
        <x:v>C0338</x:v>
      </x:c>
      <x:c r="B339" s="1" t="str">
        <x:v>Nia</x:v>
      </x:c>
      <x:c r="C339" s="1" t="str">
        <x:v>customer0338@example.com</x:v>
      </x:c>
      <x:c r="D339" s="1" t="str">
        <x:v>Brazil</x:v>
      </x:c>
      <x:c r="E339" s="1" t="str">
        <x:v>2025-04-07</x:v>
      </x:c>
      <x:c r="F339" s="1" t="str">
        <x:v>2026-04-17</x:v>
      </x:c>
      <x:c r="G339" s="1" t="str">
        <x:v>2</x:v>
      </x:c>
      <x:c r="H339" s="1" t="str">
        <x:v>45.87</x:v>
      </x:c>
      <x:c r="I339" s="1" t="str">
        <x:v>6</x:v>
      </x:c>
      <x:c r="J339" s="1" t="str">
        <x:v>app</x:v>
      </x:c>
      <x:c r="K339" s="1"/>
      <x:c r="L339" s="1"/>
      <x:c r="M339" s="1"/>
      <x:c r="N339" s="1"/>
      <x:c r="O339" s="1"/>
    </x:row>
    <x:row r="340">
      <x:c r="A340" s="1" t="str">
        <x:v>C0339</x:v>
      </x:c>
      <x:c r="B340" s="1" t="str">
        <x:v>Chloe</x:v>
      </x:c>
      <x:c r="C340" s="1" t="str">
        <x:v>customer0339@example.com</x:v>
      </x:c>
      <x:c r="D340" s="1" t="str">
        <x:v>Singapore</x:v>
      </x:c>
      <x:c r="E340" s="1" t="str">
        <x:v>2026-08-14</x:v>
      </x:c>
      <x:c r="F340" s="1" t="str">
        <x:v>2026-09-08</x:v>
      </x:c>
      <x:c r="G340" s="1" t="str">
        <x:v>2</x:v>
      </x:c>
      <x:c r="H340" s="1" t="str">
        <x:v>59.75</x:v>
      </x:c>
      <x:c r="I340" s="1" t="str">
        <x:v>2</x:v>
      </x:c>
      <x:c r="J340" s="1" t="str">
        <x:v>web</x:v>
      </x:c>
      <x:c r="K340" s="1"/>
      <x:c r="L340" s="1"/>
      <x:c r="M340" s="1"/>
      <x:c r="N340" s="1"/>
      <x:c r="O340" s="1"/>
    </x:row>
    <x:row r="341">
      <x:c r="A341" s="1" t="str">
        <x:v>C0340</x:v>
      </x:c>
      <x:c r="B341" s="1" t="str">
        <x:v>Maya</x:v>
      </x:c>
      <x:c r="C341" s="1" t="str">
        <x:v>customer0340@example.com</x:v>
      </x:c>
      <x:c r="D341" s="1" t="str">
        <x:v>UAE</x:v>
      </x:c>
      <x:c r="E341" s="1" t="str">
        <x:v>2024-10-18</x:v>
      </x:c>
      <x:c r="F341" s="1" t="str">
        <x:v>2026-09-11</x:v>
      </x:c>
      <x:c r="G341" s="1" t="str">
        <x:v>19</x:v>
      </x:c>
      <x:c r="H341" s="1" t="str">
        <x:v>950.71</x:v>
      </x:c>
      <x:c r="I341" s="1" t="str">
        <x:v>0</x:v>
      </x:c>
      <x:c r="J341" s="1" t="str">
        <x:v>store</x:v>
      </x:c>
      <x:c r="K341" s="1"/>
      <x:c r="L341" s="1"/>
      <x:c r="M341" s="1"/>
      <x:c r="N341" s="1"/>
      <x:c r="O341" s="1"/>
    </x:row>
    <x:row r="342">
      <x:c r="A342" s="1" t="str">
        <x:v>C0341</x:v>
      </x:c>
      <x:c r="B342" s="1" t="str">
        <x:v>Elena</x:v>
      </x:c>
      <x:c r="C342" s="1" t="str">
        <x:v>customer0341@example.com</x:v>
      </x:c>
      <x:c r="D342" s="1" t="str">
        <x:v>India</x:v>
      </x:c>
      <x:c r="E342" s="1" t="str">
        <x:v>2025-08-03</x:v>
      </x:c>
      <x:c r="F342" s="1" t="str">
        <x:v>2026-08-27</x:v>
      </x:c>
      <x:c r="G342" s="1" t="str">
        <x:v>9</x:v>
      </x:c>
      <x:c r="H342" s="1" t="str">
        <x:v>412.15</x:v>
      </x:c>
      <x:c r="I342" s="1" t="str">
        <x:v>8</x:v>
      </x:c>
      <x:c r="J342" s="1" t="str">
        <x:v>web</x:v>
      </x:c>
      <x:c r="K342" s="1"/>
      <x:c r="L342" s="1"/>
      <x:c r="M342" s="1"/>
      <x:c r="N342" s="1"/>
      <x:c r="O342" s="1"/>
    </x:row>
    <x:row r="343">
      <x:c r="A343" s="1" t="str">
        <x:v>C0342</x:v>
      </x:c>
      <x:c r="B343" s="1" t="str">
        <x:v>Omar</x:v>
      </x:c>
      <x:c r="C343" s="1" t="str">
        <x:v>customer0342@example.com</x:v>
      </x:c>
      <x:c r="D343" s="1" t="str">
        <x:v>UAE</x:v>
      </x:c>
      <x:c r="E343" s="1" t="str">
        <x:v>2026-08-23</x:v>
      </x:c>
      <x:c r="F343" s="1" t="str">
        <x:v>2026-09-25</x:v>
      </x:c>
      <x:c r="G343" s="1" t="str">
        <x:v>1</x:v>
      </x:c>
      <x:c r="H343" s="1" t="str">
        <x:v>111.23</x:v>
      </x:c>
      <x:c r="I343" s="1" t="str">
        <x:v>10</x:v>
      </x:c>
      <x:c r="J343" s="1" t="str">
        <x:v>store</x:v>
      </x:c>
      <x:c r="K343" s="1"/>
      <x:c r="L343" s="1"/>
      <x:c r="M343" s="1"/>
      <x:c r="N343" s="1"/>
      <x:c r="O343" s="1"/>
    </x:row>
    <x:row r="344">
      <x:c r="A344" s="1" t="str">
        <x:v>C0343</x:v>
      </x:c>
      <x:c r="B344" s="1" t="str">
        <x:v>Jonas</x:v>
      </x:c>
      <x:c r="C344" s="1" t="str">
        <x:v>customer0343@example.com</x:v>
      </x:c>
      <x:c r="D344" s="1" t="str">
        <x:v>India</x:v>
      </x:c>
      <x:c r="E344" s="1" t="str">
        <x:v>2026-08-14</x:v>
      </x:c>
      <x:c r="F344" s="1" t="str">
        <x:v>2026-09-01</x:v>
      </x:c>
      <x:c r="G344" s="1" t="str">
        <x:v>1</x:v>
      </x:c>
      <x:c r="H344" s="1" t="str">
        <x:v>37.9</x:v>
      </x:c>
      <x:c r="I344" s="1" t="str">
        <x:v>9</x:v>
      </x:c>
      <x:c r="J344" s="1" t="str">
        <x:v>store</x:v>
      </x:c>
      <x:c r="K344" s="1"/>
      <x:c r="L344" s="1"/>
      <x:c r="M344" s="1"/>
      <x:c r="N344" s="1"/>
      <x:c r="O344" s="1"/>
    </x:row>
    <x:row r="345">
      <x:c r="A345" s="1" t="str">
        <x:v>C0344</x:v>
      </x:c>
      <x:c r="B345" s="1" t="str">
        <x:v>Lucas</x:v>
      </x:c>
      <x:c r="C345" s="1" t="str">
        <x:v>customer0344@example.com</x:v>
      </x:c>
      <x:c r="D345" s="1" t="str">
        <x:v>Brazil</x:v>
      </x:c>
      <x:c r="E345" s="1" t="str">
        <x:v>2026-09-03</x:v>
      </x:c>
      <x:c r="F345" s="1" t="str">
        <x:v>2026-09-23</x:v>
      </x:c>
      <x:c r="G345" s="1" t="str">
        <x:v>1</x:v>
      </x:c>
      <x:c r="H345" s="1" t="str">
        <x:v>25.94</x:v>
      </x:c>
      <x:c r="I345" s="1" t="str">
        <x:v>11</x:v>
      </x:c>
      <x:c r="J345" s="1" t="str">
        <x:v>app</x:v>
      </x:c>
      <x:c r="K345" s="1"/>
      <x:c r="L345" s="1"/>
      <x:c r="M345" s="1"/>
      <x:c r="N345" s="1"/>
      <x:c r="O345" s="1"/>
    </x:row>
    <x:row r="346">
      <x:c r="A346" s="1" t="str">
        <x:v>C0345</x:v>
      </x:c>
      <x:c r="B346" s="1" t="str">
        <x:v>Ethan</x:v>
      </x:c>
      <x:c r="C346" s="1" t="str">
        <x:v>customer0345@example.com</x:v>
      </x:c>
      <x:c r="D346" s="1" t="str">
        <x:v>Singapore</x:v>
      </x:c>
      <x:c r="E346" s="1" t="str">
        <x:v>2025-06-06</x:v>
      </x:c>
      <x:c r="F346" s="1" t="str">
        <x:v>2026-03-20</x:v>
      </x:c>
      <x:c r="G346" s="1" t="str">
        <x:v>12</x:v>
      </x:c>
      <x:c r="H346" s="1" t="str">
        <x:v>1203.05</x:v>
      </x:c>
      <x:c r="I346" s="1" t="str">
        <x:v>5</x:v>
      </x:c>
      <x:c r="J346" s="1" t="str">
        <x:v>web</x:v>
      </x:c>
      <x:c r="K346" s="1"/>
      <x:c r="L346" s="1"/>
      <x:c r="M346" s="1"/>
      <x:c r="N346" s="1"/>
      <x:c r="O346" s="1"/>
    </x:row>
    <x:row r="347">
      <x:c r="A347" s="1" t="str">
        <x:v>C0346</x:v>
      </x:c>
      <x:c r="B347" s="1" t="str">
        <x:v>Felix</x:v>
      </x:c>
      <x:c r="C347" s="1" t="str">
        <x:v>customer0346@example.com</x:v>
      </x:c>
      <x:c r="D347" s="1" t="str">
        <x:v>Australia</x:v>
      </x:c>
      <x:c r="E347" s="1" t="str">
        <x:v>2024-06-28</x:v>
      </x:c>
      <x:c r="F347" s="1" t="str">
        <x:v>2026-04-02</x:v>
      </x:c>
      <x:c r="G347" s="1" t="str">
        <x:v>11</x:v>
      </x:c>
      <x:c r="H347" s="1" t="str">
        <x:v>1099.4</x:v>
      </x:c>
      <x:c r="I347" s="1" t="str">
        <x:v>8</x:v>
      </x:c>
      <x:c r="J347" s="1" t="str">
        <x:v>app</x:v>
      </x:c>
      <x:c r="K347" s="1"/>
      <x:c r="L347" s="1"/>
      <x:c r="M347" s="1"/>
      <x:c r="N347" s="1"/>
      <x:c r="O347" s="1"/>
    </x:row>
    <x:row r="348">
      <x:c r="A348" s="1" t="str">
        <x:v>C0347</x:v>
      </x:c>
      <x:c r="B348" s="1" t="str">
        <x:v>Priya</x:v>
      </x:c>
      <x:c r="C348" s="1" t="str">
        <x:v>customer0347@example.com</x:v>
      </x:c>
      <x:c r="D348" s="1" t="str">
        <x:v>USA</x:v>
      </x:c>
      <x:c r="E348" s="1" t="str">
        <x:v>2026-09-16</x:v>
      </x:c>
      <x:c r="F348" s="1" t="str">
        <x:v>2026-09-24</x:v>
      </x:c>
      <x:c r="G348" s="1" t="str">
        <x:v>2</x:v>
      </x:c>
      <x:c r="H348" s="1" t="str">
        <x:v>127.7</x:v>
      </x:c>
      <x:c r="I348" s="1" t="str">
        <x:v>0</x:v>
      </x:c>
      <x:c r="J348" s="1" t="str">
        <x:v>store</x:v>
      </x:c>
      <x:c r="K348" s="1"/>
      <x:c r="L348" s="1"/>
      <x:c r="M348" s="1"/>
      <x:c r="N348" s="1"/>
      <x:c r="O348" s="1"/>
    </x:row>
    <x:row r="349">
      <x:c r="A349" s="1" t="str">
        <x:v>C0348</x:v>
      </x:c>
      <x:c r="B349" s="1" t="str">
        <x:v>Zara</x:v>
      </x:c>
      <x:c r="C349" s="1" t="str">
        <x:v>customer0348@example.com</x:v>
      </x:c>
      <x:c r="D349" s="1" t="str">
        <x:v>Japan</x:v>
      </x:c>
      <x:c r="E349" s="1" t="str">
        <x:v>2024-04-29</x:v>
      </x:c>
      <x:c r="F349" s="1" t="str">
        <x:v>2026-02-10</x:v>
      </x:c>
      <x:c r="G349" s="1" t="str">
        <x:v>1</x:v>
      </x:c>
      <x:c r="H349" s="1" t="str">
        <x:v>110.62</x:v>
      </x:c>
      <x:c r="I349" s="1" t="str">
        <x:v>4</x:v>
      </x:c>
      <x:c r="J349" s="1" t="str">
        <x:v>app</x:v>
      </x:c>
      <x:c r="K349" s="1"/>
      <x:c r="L349" s="1"/>
      <x:c r="M349" s="1"/>
      <x:c r="N349" s="1"/>
      <x:c r="O349" s="1"/>
    </x:row>
    <x:row r="350">
      <x:c r="A350" s="1" t="str">
        <x:v>C0349</x:v>
      </x:c>
      <x:c r="B350" s="1" t="str">
        <x:v>Lucas</x:v>
      </x:c>
      <x:c r="C350" s="1" t="str">
        <x:v>customer0349@example.com</x:v>
      </x:c>
      <x:c r="D350" s="1" t="str">
        <x:v>Germany</x:v>
      </x:c>
      <x:c r="E350" s="1" t="str">
        <x:v>2025-12-25</x:v>
      </x:c>
      <x:c r="F350" s="1" t="str">
        <x:v>2026-03-29</x:v>
      </x:c>
      <x:c r="G350" s="1" t="str">
        <x:v>2</x:v>
      </x:c>
      <x:c r="H350" s="1" t="str">
        <x:v>75.77</x:v>
      </x:c>
      <x:c r="I350" s="1" t="str">
        <x:v>2</x:v>
      </x:c>
      <x:c r="J350" s="1" t="str">
        <x:v>app</x:v>
      </x:c>
      <x:c r="K350" s="1"/>
      <x:c r="L350" s="1"/>
      <x:c r="M350" s="1"/>
      <x:c r="N350" s="1"/>
      <x:c r="O350" s="1"/>
    </x:row>
    <x:row r="351">
      <x:c r="A351" s="1" t="str">
        <x:v>C0350</x:v>
      </x:c>
      <x:c r="B351" s="1" t="str">
        <x:v>Aarav</x:v>
      </x:c>
      <x:c r="C351" s="1" t="str">
        <x:v>customer0350@example.com</x:v>
      </x:c>
      <x:c r="D351" s="1" t="str">
        <x:v>Japan</x:v>
      </x:c>
      <x:c r="E351" s="1" t="str">
        <x:v>2026-08-31</x:v>
      </x:c>
      <x:c r="F351" s="1" t="str">
        <x:v>2026-09-15</x:v>
      </x:c>
      <x:c r="G351" s="1" t="str">
        <x:v>2</x:v>
      </x:c>
      <x:c r="H351" s="1" t="str">
        <x:v>58.06</x:v>
      </x:c>
      <x:c r="I351" s="1" t="str">
        <x:v>11</x:v>
      </x:c>
      <x:c r="J351" s="1" t="str">
        <x:v>web</x:v>
      </x:c>
      <x:c r="K351" s="1"/>
      <x:c r="L351" s="1"/>
      <x:c r="M351" s="1"/>
      <x:c r="N351" s="1"/>
      <x:c r="O351" s="1"/>
    </x:row>
    <x:row r="352">
      <x:c r="A352" s="1" t="str">
        <x:v>C0351</x:v>
      </x:c>
      <x:c r="B352" s="1" t="str">
        <x:v>Diego</x:v>
      </x:c>
      <x:c r="C352" s="1" t="str">
        <x:v>customer0351@example.com</x:v>
      </x:c>
      <x:c r="D352" s="1" t="str">
        <x:v>Nigeria</x:v>
      </x:c>
      <x:c r="E352" s="1" t="str">
        <x:v>2026-03-16</x:v>
      </x:c>
      <x:c r="F352" s="1" t="str">
        <x:v>2026-08-08</x:v>
      </x:c>
      <x:c r="G352" s="1" t="str">
        <x:v>8</x:v>
      </x:c>
      <x:c r="H352" s="1" t="str">
        <x:v>409.56</x:v>
      </x:c>
      <x:c r="I352" s="1" t="str">
        <x:v>3</x:v>
      </x:c>
      <x:c r="J352" s="1" t="str">
        <x:v>web</x:v>
      </x:c>
      <x:c r="K352" s="1"/>
      <x:c r="L352" s="1"/>
      <x:c r="M352" s="1"/>
      <x:c r="N352" s="1"/>
      <x:c r="O352" s="1"/>
    </x:row>
    <x:row r="353">
      <x:c r="A353" s="1" t="str">
        <x:v>C0352</x:v>
      </x:c>
      <x:c r="B353" s="1" t="str">
        <x:v>Nia</x:v>
      </x:c>
      <x:c r="C353" s="1" t="str">
        <x:v>customer0352@example.com</x:v>
      </x:c>
      <x:c r="D353" s="1" t="str">
        <x:v>UK</x:v>
      </x:c>
      <x:c r="E353" s="1" t="str">
        <x:v>2026-09-17</x:v>
      </x:c>
      <x:c r="F353" s="1" t="str">
        <x:v>2026-09-27</x:v>
      </x:c>
      <x:c r="G353" s="1" t="str">
        <x:v>2</x:v>
      </x:c>
      <x:c r="H353" s="1" t="str">
        <x:v>141.68</x:v>
      </x:c>
      <x:c r="I353" s="1" t="str">
        <x:v>9</x:v>
      </x:c>
      <x:c r="J353" s="1" t="str">
        <x:v>web</x:v>
      </x:c>
      <x:c r="K353" s="1"/>
      <x:c r="L353" s="1"/>
      <x:c r="M353" s="1"/>
      <x:c r="N353" s="1"/>
      <x:c r="O353" s="1"/>
    </x:row>
    <x:row r="354">
      <x:c r="A354" s="1" t="str">
        <x:v>C0353</x:v>
      </x:c>
      <x:c r="B354" s="1" t="str">
        <x:v>Aarav</x:v>
      </x:c>
      <x:c r="C354" s="1" t="str">
        <x:v>customer0353@example.com</x:v>
      </x:c>
      <x:c r="D354" s="1" t="str">
        <x:v>Brazil</x:v>
      </x:c>
      <x:c r="E354" s="1" t="str">
        <x:v>2025-02-05</x:v>
      </x:c>
      <x:c r="F354" s="1" t="str">
        <x:v>2025-11-28</x:v>
      </x:c>
      <x:c r="G354" s="1" t="str">
        <x:v>1</x:v>
      </x:c>
      <x:c r="H354" s="1" t="str">
        <x:v>35.03</x:v>
      </x:c>
      <x:c r="I354" s="1" t="str">
        <x:v>7</x:v>
      </x:c>
      <x:c r="J354" s="1" t="str">
        <x:v>app</x:v>
      </x:c>
      <x:c r="K354" s="1"/>
      <x:c r="L354" s="1"/>
      <x:c r="M354" s="1"/>
      <x:c r="N354" s="1"/>
      <x:c r="O354" s="1"/>
    </x:row>
    <x:row r="355">
      <x:c r="A355" s="1" t="str">
        <x:v>C0354</x:v>
      </x:c>
      <x:c r="B355" s="1" t="str">
        <x:v>Noah</x:v>
      </x:c>
      <x:c r="C355" s="1" t="str">
        <x:v>customer0354@example.com</x:v>
      </x:c>
      <x:c r="D355" s="1" t="str">
        <x:v>Singapore</x:v>
      </x:c>
      <x:c r="E355" s="1" t="str">
        <x:v>2025-11-10</x:v>
      </x:c>
      <x:c r="F355" s="1" t="str">
        <x:v>2026-09-22</x:v>
      </x:c>
      <x:c r="G355" s="1" t="str">
        <x:v>12</x:v>
      </x:c>
      <x:c r="H355" s="1" t="str">
        <x:v>915.38</x:v>
      </x:c>
      <x:c r="I355" s="1" t="str">
        <x:v>2</x:v>
      </x:c>
      <x:c r="J355" s="1" t="str">
        <x:v>web</x:v>
      </x:c>
      <x:c r="K355" s="1"/>
      <x:c r="L355" s="1"/>
      <x:c r="M355" s="1"/>
      <x:c r="N355" s="1"/>
      <x:c r="O355" s="1"/>
    </x:row>
    <x:row r="356">
      <x:c r="A356" s="1" t="str">
        <x:v>C0355</x:v>
      </x:c>
      <x:c r="B356" s="1" t="str">
        <x:v>Leo</x:v>
      </x:c>
      <x:c r="C356" s="1" t="str">
        <x:v>customer0355@example.com</x:v>
      </x:c>
      <x:c r="D356" s="1" t="str">
        <x:v>India</x:v>
      </x:c>
      <x:c r="E356" s="1" t="str">
        <x:v>2024-07-13</x:v>
      </x:c>
      <x:c r="F356" s="1" t="str">
        <x:v>2026-02-03</x:v>
      </x:c>
      <x:c r="G356" s="1" t="str">
        <x:v>8</x:v>
      </x:c>
      <x:c r="H356" s="1" t="str">
        <x:v>582.93</x:v>
      </x:c>
      <x:c r="I356" s="1" t="str">
        <x:v>0</x:v>
      </x:c>
      <x:c r="J356" s="1" t="str">
        <x:v>web</x:v>
      </x:c>
      <x:c r="K356" s="1"/>
      <x:c r="L356" s="1"/>
      <x:c r="M356" s="1"/>
      <x:c r="N356" s="1"/>
      <x:c r="O356" s="1"/>
    </x:row>
    <x:row r="357">
      <x:c r="A357" s="1" t="str">
        <x:v>C0356</x:v>
      </x:c>
      <x:c r="B357" s="1" t="str">
        <x:v>Elena</x:v>
      </x:c>
      <x:c r="C357" s="1" t="str">
        <x:v>customer0356@example.com</x:v>
      </x:c>
      <x:c r="D357" s="1" t="str">
        <x:v>Nigeria</x:v>
      </x:c>
      <x:c r="E357" s="1" t="str">
        <x:v>2024-11-13</x:v>
      </x:c>
      <x:c r="F357" s="1" t="str">
        <x:v>2025-10-18</x:v>
      </x:c>
      <x:c r="G357" s="1" t="str">
        <x:v>1</x:v>
      </x:c>
      <x:c r="H357" s="1" t="str">
        <x:v>145.78</x:v>
      </x:c>
      <x:c r="I357" s="1" t="str">
        <x:v>4</x:v>
      </x:c>
      <x:c r="J357" s="1" t="str">
        <x:v>app</x:v>
      </x:c>
      <x:c r="K357" s="1"/>
      <x:c r="L357" s="1"/>
      <x:c r="M357" s="1"/>
      <x:c r="N357" s="1"/>
      <x:c r="O357" s="1"/>
    </x:row>
    <x:row r="358">
      <x:c r="A358" s="1" t="str">
        <x:v>C0357</x:v>
      </x:c>
      <x:c r="B358" s="1" t="str">
        <x:v>Ravi</x:v>
      </x:c>
      <x:c r="C358" s="1" t="str">
        <x:v>customer0357@example.com</x:v>
      </x:c>
      <x:c r="D358" s="1" t="str">
        <x:v>India</x:v>
      </x:c>
      <x:c r="E358" s="1" t="str">
        <x:v>2026-08-14</x:v>
      </x:c>
      <x:c r="F358" s="1" t="str">
        <x:v>2026-09-17</x:v>
      </x:c>
      <x:c r="G358" s="1" t="str">
        <x:v>2</x:v>
      </x:c>
      <x:c r="H358" s="1" t="str">
        <x:v>50.37</x:v>
      </x:c>
      <x:c r="I358" s="1" t="str">
        <x:v>5</x:v>
      </x:c>
      <x:c r="J358" s="1" t="str">
        <x:v>app</x:v>
      </x:c>
      <x:c r="K358" s="1"/>
      <x:c r="L358" s="1"/>
      <x:c r="M358" s="1"/>
      <x:c r="N358" s="1"/>
      <x:c r="O358" s="1"/>
    </x:row>
    <x:row r="359">
      <x:c r="A359" s="1" t="str">
        <x:v>C0358</x:v>
      </x:c>
      <x:c r="B359" s="1" t="str">
        <x:v>Kenji</x:v>
      </x:c>
      <x:c r="C359" s="1" t="str">
        <x:v>customer0358@example.com</x:v>
      </x:c>
      <x:c r="D359" s="1" t="str">
        <x:v>India</x:v>
      </x:c>
      <x:c r="E359" s="1" t="str">
        <x:v>2026-09-05</x:v>
      </x:c>
      <x:c r="F359" s="1" t="str">
        <x:v>2026-09-10</x:v>
      </x:c>
      <x:c r="G359" s="1" t="str">
        <x:v>2</x:v>
      </x:c>
      <x:c r="H359" s="1" t="str">
        <x:v>124.49</x:v>
      </x:c>
      <x:c r="I359" s="1" t="str">
        <x:v>0</x:v>
      </x:c>
      <x:c r="J359" s="1" t="str">
        <x:v>web</x:v>
      </x:c>
      <x:c r="K359" s="1"/>
      <x:c r="L359" s="1"/>
      <x:c r="M359" s="1"/>
      <x:c r="N359" s="1"/>
      <x:c r="O359" s="1"/>
    </x:row>
    <x:row r="360">
      <x:c r="A360" s="1" t="str">
        <x:v>C0359</x:v>
      </x:c>
      <x:c r="B360" s="1" t="str">
        <x:v>Ethan</x:v>
      </x:c>
      <x:c r="C360" s="1" t="str">
        <x:v>customer0359@example.com</x:v>
      </x:c>
      <x:c r="D360" s="1" t="str">
        <x:v>UK</x:v>
      </x:c>
      <x:c r="E360" s="1" t="str">
        <x:v>2024-04-10</x:v>
      </x:c>
      <x:c r="F360" s="1" t="str">
        <x:v>2026-01-23</x:v>
      </x:c>
      <x:c r="G360" s="1" t="str">
        <x:v>2</x:v>
      </x:c>
      <x:c r="H360" s="1" t="str">
        <x:v>47.5</x:v>
      </x:c>
      <x:c r="I360" s="1" t="str">
        <x:v>1</x:v>
      </x:c>
      <x:c r="J360" s="1" t="str">
        <x:v>store</x:v>
      </x:c>
      <x:c r="K360" s="1"/>
      <x:c r="L360" s="1"/>
      <x:c r="M360" s="1"/>
      <x:c r="N360" s="1"/>
      <x:c r="O360" s="1"/>
    </x:row>
    <x:row r="361">
      <x:c r="A361" s="1" t="str">
        <x:v>C0360</x:v>
      </x:c>
      <x:c r="B361" s="1" t="str">
        <x:v>Ravi</x:v>
      </x:c>
      <x:c r="C361" s="1" t="str">
        <x:v>customer0360@example.com</x:v>
      </x:c>
      <x:c r="D361" s="1" t="str">
        <x:v>USA</x:v>
      </x:c>
      <x:c r="E361" s="1" t="str">
        <x:v>2025-01-08</x:v>
      </x:c>
      <x:c r="F361" s="1" t="str">
        <x:v>2026-01-07</x:v>
      </x:c>
      <x:c r="G361" s="1" t="str">
        <x:v>2</x:v>
      </x:c>
      <x:c r="H361" s="1" t="str">
        <x:v>47.29</x:v>
      </x:c>
      <x:c r="I361" s="1" t="str">
        <x:v>5</x:v>
      </x:c>
      <x:c r="J361" s="1" t="str">
        <x:v>app</x:v>
      </x:c>
      <x:c r="K361" s="1"/>
      <x:c r="L361" s="1"/>
      <x:c r="M361" s="1"/>
      <x:c r="N361" s="1"/>
      <x:c r="O361" s="1"/>
    </x:row>
    <x:row r="362">
      <x:c r="A362" s="1" t="str">
        <x:v>C0361</x:v>
      </x:c>
      <x:c r="B362" s="1" t="str">
        <x:v>Sofia</x:v>
      </x:c>
      <x:c r="C362" s="1" t="str">
        <x:v>customer0361@example.com</x:v>
      </x:c>
      <x:c r="D362" s="1" t="str">
        <x:v>Nigeria</x:v>
      </x:c>
      <x:c r="E362" s="1" t="str">
        <x:v>2026-02-12</x:v>
      </x:c>
      <x:c r="F362" s="1" t="str">
        <x:v>2026-03-26</x:v>
      </x:c>
      <x:c r="G362" s="1" t="str">
        <x:v>7</x:v>
      </x:c>
      <x:c r="H362" s="1" t="str">
        <x:v>525.29</x:v>
      </x:c>
      <x:c r="I362" s="1" t="str">
        <x:v>12</x:v>
      </x:c>
      <x:c r="J362" s="1" t="str">
        <x:v>store</x:v>
      </x:c>
      <x:c r="K362" s="1"/>
      <x:c r="L362" s="1"/>
      <x:c r="M362" s="1"/>
      <x:c r="N362" s="1"/>
      <x:c r="O362" s="1"/>
    </x:row>
    <x:row r="363">
      <x:c r="A363" s="1" t="str">
        <x:v>C0362</x:v>
      </x:c>
      <x:c r="B363" s="1" t="str">
        <x:v>Hana</x:v>
      </x:c>
      <x:c r="C363" s="1" t="str">
        <x:v>customer0362@example.com</x:v>
      </x:c>
      <x:c r="D363" s="1" t="str">
        <x:v>Australia</x:v>
      </x:c>
      <x:c r="E363" s="1" t="str">
        <x:v>2024-07-11</x:v>
      </x:c>
      <x:c r="F363" s="1" t="str">
        <x:v>2025-11-29</x:v>
      </x:c>
      <x:c r="G363" s="1" t="str">
        <x:v>1</x:v>
      </x:c>
      <x:c r="H363" s="1" t="str">
        <x:v>180.36</x:v>
      </x:c>
      <x:c r="I363" s="1" t="str">
        <x:v>11</x:v>
      </x:c>
      <x:c r="J363" s="1" t="str">
        <x:v>app</x:v>
      </x:c>
      <x:c r="K363" s="1"/>
      <x:c r="L363" s="1"/>
      <x:c r="M363" s="1"/>
      <x:c r="N363" s="1"/>
      <x:c r="O363" s="1"/>
    </x:row>
    <x:row r="364">
      <x:c r="A364" s="1" t="str">
        <x:v>C0363</x:v>
      </x:c>
      <x:c r="B364" s="1" t="str">
        <x:v>Kenji</x:v>
      </x:c>
      <x:c r="C364" s="1" t="str">
        <x:v>customer0363@example.com</x:v>
      </x:c>
      <x:c r="D364" s="1" t="str">
        <x:v>Australia</x:v>
      </x:c>
      <x:c r="E364" s="1" t="str">
        <x:v>2025-11-27</x:v>
      </x:c>
      <x:c r="F364" s="1" t="str">
        <x:v>2026-05-13</x:v>
      </x:c>
      <x:c r="G364" s="1" t="str">
        <x:v>1</x:v>
      </x:c>
      <x:c r="H364" s="1" t="str">
        <x:v>135.4</x:v>
      </x:c>
      <x:c r="I364" s="1" t="str">
        <x:v>10</x:v>
      </x:c>
      <x:c r="J364" s="1" t="str">
        <x:v>web</x:v>
      </x:c>
      <x:c r="K364" s="1"/>
      <x:c r="L364" s="1"/>
      <x:c r="M364" s="1"/>
      <x:c r="N364" s="1"/>
      <x:c r="O364" s="1"/>
    </x:row>
    <x:row r="365">
      <x:c r="A365" s="1" t="str">
        <x:v>C0364</x:v>
      </x:c>
      <x:c r="B365" s="1" t="str">
        <x:v>Elena</x:v>
      </x:c>
      <x:c r="C365" s="1" t="str">
        <x:v>customer0364@example.com</x:v>
      </x:c>
      <x:c r="D365" s="1" t="str">
        <x:v>Brazil</x:v>
      </x:c>
      <x:c r="E365" s="1" t="str">
        <x:v>2026-02-18</x:v>
      </x:c>
      <x:c r="F365" s="1" t="str">
        <x:v>2026-09-29</x:v>
      </x:c>
      <x:c r="G365" s="1" t="str">
        <x:v>15</x:v>
      </x:c>
      <x:c r="H365" s="1" t="str">
        <x:v>1367.04</x:v>
      </x:c>
      <x:c r="I365" s="1" t="str">
        <x:v>0</x:v>
      </x:c>
      <x:c r="J365" s="1" t="str">
        <x:v>app</x:v>
      </x:c>
      <x:c r="K365" s="1"/>
      <x:c r="L365" s="1"/>
      <x:c r="M365" s="1"/>
      <x:c r="N365" s="1"/>
      <x:c r="O365" s="1"/>
    </x:row>
    <x:row r="366">
      <x:c r="A366" s="1" t="str">
        <x:v>C0365</x:v>
      </x:c>
      <x:c r="B366" s="1" t="str">
        <x:v>Maya</x:v>
      </x:c>
      <x:c r="C366" s="1" t="str">
        <x:v>customer0365@example.com</x:v>
      </x:c>
      <x:c r="D366" s="1" t="str">
        <x:v>Japan</x:v>
      </x:c>
      <x:c r="E366" s="1" t="str">
        <x:v>2024-01-11</x:v>
      </x:c>
      <x:c r="F366" s="1" t="str">
        <x:v>2025-11-18</x:v>
      </x:c>
      <x:c r="G366" s="1" t="str">
        <x:v>1</x:v>
      </x:c>
      <x:c r="H366" s="1" t="str">
        <x:v>64.57</x:v>
      </x:c>
      <x:c r="I366" s="1" t="str">
        <x:v>11</x:v>
      </x:c>
      <x:c r="J366" s="1" t="str">
        <x:v>web</x:v>
      </x:c>
      <x:c r="K366" s="1"/>
      <x:c r="L366" s="1"/>
      <x:c r="M366" s="1"/>
      <x:c r="N366" s="1"/>
      <x:c r="O366" s="1"/>
    </x:row>
    <x:row r="367">
      <x:c r="A367" s="1" t="str">
        <x:v>C0366</x:v>
      </x:c>
      <x:c r="B367" s="1" t="str">
        <x:v>Jonas</x:v>
      </x:c>
      <x:c r="C367" s="1" t="str">
        <x:v>customer0366@example.com</x:v>
      </x:c>
      <x:c r="D367" s="1" t="str">
        <x:v>UK</x:v>
      </x:c>
      <x:c r="E367" s="1" t="str">
        <x:v>2025-11-23</x:v>
      </x:c>
      <x:c r="F367" s="1" t="str">
        <x:v>2026-05-22</x:v>
      </x:c>
      <x:c r="G367" s="1" t="str">
        <x:v>2</x:v>
      </x:c>
      <x:c r="H367" s="1" t="str">
        <x:v>16.54</x:v>
      </x:c>
      <x:c r="I367" s="1" t="str">
        <x:v>6</x:v>
      </x:c>
      <x:c r="J367" s="1" t="str">
        <x:v>web</x:v>
      </x:c>
      <x:c r="K367" s="1"/>
      <x:c r="L367" s="1"/>
      <x:c r="M367" s="1"/>
      <x:c r="N367" s="1"/>
      <x:c r="O367" s="1"/>
    </x:row>
    <x:row r="368">
      <x:c r="A368" s="1" t="str">
        <x:v>C0367</x:v>
      </x:c>
      <x:c r="B368" s="1" t="str">
        <x:v>Lucas</x:v>
      </x:c>
      <x:c r="C368" s="1" t="str">
        <x:v>customer0367@example.com</x:v>
      </x:c>
      <x:c r="D368" s="1" t="str">
        <x:v>Australia</x:v>
      </x:c>
      <x:c r="E368" s="1" t="str">
        <x:v>2025-02-01</x:v>
      </x:c>
      <x:c r="F368" s="1" t="str">
        <x:v>2026-09-05</x:v>
      </x:c>
      <x:c r="G368" s="1" t="str">
        <x:v>17</x:v>
      </x:c>
      <x:c r="H368" s="1" t="str">
        <x:v>1680.42</x:v>
      </x:c>
      <x:c r="I368" s="1" t="str">
        <x:v>1</x:v>
      </x:c>
      <x:c r="J368" s="1" t="str">
        <x:v>store</x:v>
      </x:c>
      <x:c r="K368" s="1"/>
      <x:c r="L368" s="1"/>
      <x:c r="M368" s="1"/>
      <x:c r="N368" s="1"/>
      <x:c r="O368" s="1"/>
    </x:row>
    <x:row r="369">
      <x:c r="A369" s="1" t="str">
        <x:v>C0368</x:v>
      </x:c>
      <x:c r="B369" s="1" t="str">
        <x:v>Mei</x:v>
      </x:c>
      <x:c r="C369" s="1" t="str">
        <x:v>customer0368@example.com</x:v>
      </x:c>
      <x:c r="D369" s="1" t="str">
        <x:v>UK</x:v>
      </x:c>
      <x:c r="E369" s="1" t="str">
        <x:v>2024-10-23</x:v>
      </x:c>
      <x:c r="F369" s="1" t="str">
        <x:v>2026-07-25</x:v>
      </x:c>
      <x:c r="G369" s="1" t="str">
        <x:v>6</x:v>
      </x:c>
      <x:c r="H369" s="1" t="str">
        <x:v>879.91</x:v>
      </x:c>
      <x:c r="I369" s="1" t="str">
        <x:v>6</x:v>
      </x:c>
      <x:c r="J369" s="1" t="str">
        <x:v>store</x:v>
      </x:c>
      <x:c r="K369" s="1"/>
      <x:c r="L369" s="1"/>
      <x:c r="M369" s="1"/>
      <x:c r="N369" s="1"/>
      <x:c r="O369" s="1"/>
    </x:row>
    <x:row r="370">
      <x:c r="A370" s="1" t="str">
        <x:v>C0369</x:v>
      </x:c>
      <x:c r="B370" s="1" t="str">
        <x:v>Aisha</x:v>
      </x:c>
      <x:c r="C370" s="1" t="str">
        <x:v>customer0369@example.com</x:v>
      </x:c>
      <x:c r="D370" s="1" t="str">
        <x:v>Germany</x:v>
      </x:c>
      <x:c r="E370" s="1" t="str">
        <x:v>2026-08-15</x:v>
      </x:c>
      <x:c r="F370" s="1" t="str">
        <x:v>2026-09-05</x:v>
      </x:c>
      <x:c r="G370" s="1" t="str">
        <x:v>1</x:v>
      </x:c>
      <x:c r="H370" s="1" t="str">
        <x:v>135.64</x:v>
      </x:c>
      <x:c r="I370" s="1" t="str">
        <x:v>9</x:v>
      </x:c>
      <x:c r="J370" s="1" t="str">
        <x:v>store</x:v>
      </x:c>
      <x:c r="K370" s="1"/>
      <x:c r="L370" s="1"/>
      <x:c r="M370" s="1"/>
      <x:c r="N370" s="1"/>
      <x:c r="O370" s="1"/>
    </x:row>
    <x:row r="371">
      <x:c r="A371" s="1" t="str">
        <x:v>C0370</x:v>
      </x:c>
      <x:c r="B371" s="1" t="str">
        <x:v>Ines</x:v>
      </x:c>
      <x:c r="C371" s="1" t="str">
        <x:v>customer0370@example.com</x:v>
      </x:c>
      <x:c r="D371" s="1" t="str">
        <x:v>Brazil</x:v>
      </x:c>
      <x:c r="E371" s="1" t="str">
        <x:v>2025-11-06</x:v>
      </x:c>
      <x:c r="F371" s="1" t="str">
        <x:v>2026-03-26</x:v>
      </x:c>
      <x:c r="G371" s="1" t="str">
        <x:v>10</x:v>
      </x:c>
      <x:c r="H371" s="1" t="str">
        <x:v>1004.97</x:v>
      </x:c>
      <x:c r="I371" s="1" t="str">
        <x:v>8</x:v>
      </x:c>
      <x:c r="J371" s="1" t="str">
        <x:v>store</x:v>
      </x:c>
      <x:c r="K371" s="1"/>
      <x:c r="L371" s="1"/>
      <x:c r="M371" s="1"/>
      <x:c r="N371" s="1"/>
      <x:c r="O371" s="1"/>
    </x:row>
    <x:row r="372">
      <x:c r="A372" s="1" t="str">
        <x:v>C0371</x:v>
      </x:c>
      <x:c r="B372" s="1" t="str">
        <x:v>Arjun</x:v>
      </x:c>
      <x:c r="C372" s="1" t="str">
        <x:v>customer0371@example.com</x:v>
      </x:c>
      <x:c r="D372" s="1" t="str">
        <x:v>Singapore</x:v>
      </x:c>
      <x:c r="E372" s="1" t="str">
        <x:v>2025-06-23</x:v>
      </x:c>
      <x:c r="F372" s="1" t="str">
        <x:v>2026-09-24</x:v>
      </x:c>
      <x:c r="G372" s="1" t="str">
        <x:v>11</x:v>
      </x:c>
      <x:c r="H372" s="1" t="str">
        <x:v>1685.89</x:v>
      </x:c>
      <x:c r="I372" s="1" t="str">
        <x:v>2</x:v>
      </x:c>
      <x:c r="J372" s="1" t="str">
        <x:v>store</x:v>
      </x:c>
      <x:c r="K372" s="1"/>
      <x:c r="L372" s="1"/>
      <x:c r="M372" s="1"/>
      <x:c r="N372" s="1"/>
      <x:c r="O372" s="1"/>
    </x:row>
    <x:row r="373">
      <x:c r="A373" s="1" t="str">
        <x:v>C0372</x:v>
      </x:c>
      <x:c r="B373" s="1" t="str">
        <x:v>Diego</x:v>
      </x:c>
      <x:c r="C373" s="1" t="str">
        <x:v>customer0372@example.com</x:v>
      </x:c>
      <x:c r="D373" s="1" t="str">
        <x:v>Australia</x:v>
      </x:c>
      <x:c r="E373" s="1" t="str">
        <x:v>2026-08-29</x:v>
      </x:c>
      <x:c r="F373" s="1" t="str">
        <x:v>2026-09-13</x:v>
      </x:c>
      <x:c r="G373" s="1" t="str">
        <x:v>2</x:v>
      </x:c>
      <x:c r="H373" s="1" t="str">
        <x:v>77.6</x:v>
      </x:c>
      <x:c r="I373" s="1" t="str">
        <x:v>6</x:v>
      </x:c>
      <x:c r="J373" s="1" t="str">
        <x:v>web</x:v>
      </x:c>
      <x:c r="K373" s="1"/>
      <x:c r="L373" s="1"/>
      <x:c r="M373" s="1"/>
      <x:c r="N373" s="1"/>
      <x:c r="O373" s="1"/>
    </x:row>
    <x:row r="374">
      <x:c r="A374" s="1" t="str">
        <x:v>C0373</x:v>
      </x:c>
      <x:c r="B374" s="1" t="str">
        <x:v>Zara</x:v>
      </x:c>
      <x:c r="C374" s="1" t="str">
        <x:v>customer0373@example.com</x:v>
      </x:c>
      <x:c r="D374" s="1" t="str">
        <x:v>Germany</x:v>
      </x:c>
      <x:c r="E374" s="1" t="str">
        <x:v>2026-06-03</x:v>
      </x:c>
      <x:c r="F374" s="1" t="str">
        <x:v>2026-09-25</x:v>
      </x:c>
      <x:c r="G374" s="1" t="str">
        <x:v>11</x:v>
      </x:c>
      <x:c r="H374" s="1" t="str">
        <x:v>1476.98</x:v>
      </x:c>
      <x:c r="I374" s="1" t="str">
        <x:v>10</x:v>
      </x:c>
      <x:c r="J374" s="1" t="str">
        <x:v>app</x:v>
      </x:c>
      <x:c r="K374" s="1"/>
      <x:c r="L374" s="1"/>
      <x:c r="M374" s="1"/>
      <x:c r="N374" s="1"/>
      <x:c r="O374" s="1"/>
    </x:row>
    <x:row r="375">
      <x:c r="A375" s="1" t="str">
        <x:v>C0374</x:v>
      </x:c>
      <x:c r="B375" s="1" t="str">
        <x:v>Noah</x:v>
      </x:c>
      <x:c r="C375" s="1" t="str">
        <x:v>customer0374@example.com</x:v>
      </x:c>
      <x:c r="D375" s="1" t="str">
        <x:v>USA</x:v>
      </x:c>
      <x:c r="E375" s="1" t="str">
        <x:v>2025-01-30</x:v>
      </x:c>
      <x:c r="F375" s="1" t="str">
        <x:v>2026-08-20</x:v>
      </x:c>
      <x:c r="G375" s="1" t="str">
        <x:v>8</x:v>
      </x:c>
      <x:c r="H375" s="1" t="str">
        <x:v>542.49</x:v>
      </x:c>
      <x:c r="I375" s="1" t="str">
        <x:v>8</x:v>
      </x:c>
      <x:c r="J375" s="1" t="str">
        <x:v>store</x:v>
      </x:c>
      <x:c r="K375" s="1"/>
      <x:c r="L375" s="1"/>
      <x:c r="M375" s="1"/>
      <x:c r="N375" s="1"/>
      <x:c r="O375" s="1"/>
    </x:row>
    <x:row r="376">
      <x:c r="A376" s="1" t="str">
        <x:v>C0375</x:v>
      </x:c>
      <x:c r="B376" s="1" t="str">
        <x:v>Yara</x:v>
      </x:c>
      <x:c r="C376" s="1" t="str">
        <x:v>customer0375@example.com</x:v>
      </x:c>
      <x:c r="D376" s="1" t="str">
        <x:v>Australia</x:v>
      </x:c>
      <x:c r="E376" s="1" t="str">
        <x:v>2026-09-03</x:v>
      </x:c>
      <x:c r="F376" s="1" t="str">
        <x:v>2026-09-07</x:v>
      </x:c>
      <x:c r="G376" s="1" t="str">
        <x:v>1</x:v>
      </x:c>
      <x:c r="H376" s="1" t="str">
        <x:v>156.25</x:v>
      </x:c>
      <x:c r="I376" s="1" t="str">
        <x:v>2</x:v>
      </x:c>
      <x:c r="J376" s="1" t="str">
        <x:v>store</x:v>
      </x:c>
      <x:c r="K376" s="1"/>
      <x:c r="L376" s="1"/>
      <x:c r="M376" s="1"/>
      <x:c r="N376" s="1"/>
      <x:c r="O376" s="1"/>
    </x:row>
    <x:row r="377">
      <x:c r="A377" s="1" t="str">
        <x:v>C0376</x:v>
      </x:c>
      <x:c r="B377" s="1" t="str">
        <x:v>Lina</x:v>
      </x:c>
      <x:c r="C377" s="1" t="str">
        <x:v>customer0376@example.com</x:v>
      </x:c>
      <x:c r="D377" s="1" t="str">
        <x:v>UK</x:v>
      </x:c>
      <x:c r="E377" s="1" t="str">
        <x:v>2025-04-24</x:v>
      </x:c>
      <x:c r="F377" s="1" t="str">
        <x:v>2026-05-30</x:v>
      </x:c>
      <x:c r="G377" s="1" t="str">
        <x:v>11</x:v>
      </x:c>
      <x:c r="H377" s="1" t="str">
        <x:v>367.41</x:v>
      </x:c>
      <x:c r="I377" s="1" t="str">
        <x:v>3</x:v>
      </x:c>
      <x:c r="J377" s="1" t="str">
        <x:v>store</x:v>
      </x:c>
      <x:c r="K377" s="1"/>
      <x:c r="L377" s="1"/>
      <x:c r="M377" s="1"/>
      <x:c r="N377" s="1"/>
      <x:c r="O377" s="1"/>
    </x:row>
    <x:row r="378">
      <x:c r="A378" s="1" t="str">
        <x:v>C0377</x:v>
      </x:c>
      <x:c r="B378" s="1" t="str">
        <x:v>Maya</x:v>
      </x:c>
      <x:c r="C378" s="1" t="str">
        <x:v>customer0377@example.com</x:v>
      </x:c>
      <x:c r="D378" s="1" t="str">
        <x:v>UAE</x:v>
      </x:c>
      <x:c r="E378" s="1" t="str">
        <x:v>2024-09-10</x:v>
      </x:c>
      <x:c r="F378" s="1" t="str">
        <x:v>2026-06-05</x:v>
      </x:c>
      <x:c r="G378" s="1" t="str">
        <x:v>5</x:v>
      </x:c>
      <x:c r="H378" s="1" t="str">
        <x:v>679.37</x:v>
      </x:c>
      <x:c r="I378" s="1" t="str">
        <x:v>3</x:v>
      </x:c>
      <x:c r="J378" s="1" t="str">
        <x:v>app</x:v>
      </x:c>
      <x:c r="K378" s="1"/>
      <x:c r="L378" s="1"/>
      <x:c r="M378" s="1"/>
      <x:c r="N378" s="1"/>
      <x:c r="O378" s="1"/>
    </x:row>
    <x:row r="379">
      <x:c r="A379" s="1" t="str">
        <x:v>C0378</x:v>
      </x:c>
      <x:c r="B379" s="1" t="str">
        <x:v>Ines</x:v>
      </x:c>
      <x:c r="C379" s="1" t="str">
        <x:v>customer0378@example.com</x:v>
      </x:c>
      <x:c r="D379" s="1" t="str">
        <x:v>Singapore</x:v>
      </x:c>
      <x:c r="E379" s="1" t="str">
        <x:v>2025-03-12</x:v>
      </x:c>
      <x:c r="F379" s="1" t="str">
        <x:v>2026-06-25</x:v>
      </x:c>
      <x:c r="G379" s="1" t="str">
        <x:v>12</x:v>
      </x:c>
      <x:c r="H379" s="1" t="str">
        <x:v>1348.97</x:v>
      </x:c>
      <x:c r="I379" s="1" t="str">
        <x:v>11</x:v>
      </x:c>
      <x:c r="J379" s="1" t="str">
        <x:v>app</x:v>
      </x:c>
      <x:c r="K379" s="1"/>
      <x:c r="L379" s="1"/>
      <x:c r="M379" s="1"/>
      <x:c r="N379" s="1"/>
      <x:c r="O379" s="1"/>
    </x:row>
    <x:row r="380">
      <x:c r="A380" s="1" t="str">
        <x:v>C0379</x:v>
      </x:c>
      <x:c r="B380" s="1" t="str">
        <x:v>Diego</x:v>
      </x:c>
      <x:c r="C380" s="1" t="str">
        <x:v>customer0379@example.com</x:v>
      </x:c>
      <x:c r="D380" s="1" t="str">
        <x:v>Singapore</x:v>
      </x:c>
      <x:c r="E380" s="1" t="str">
        <x:v>2025-11-12</x:v>
      </x:c>
      <x:c r="F380" s="1" t="str">
        <x:v>2026-06-06</x:v>
      </x:c>
      <x:c r="G380" s="1" t="str">
        <x:v>12</x:v>
      </x:c>
      <x:c r="H380" s="1" t="str">
        <x:v>1386.91</x:v>
      </x:c>
      <x:c r="I380" s="1" t="str">
        <x:v>11</x:v>
      </x:c>
      <x:c r="J380" s="1" t="str">
        <x:v>web</x:v>
      </x:c>
      <x:c r="K380" s="1"/>
      <x:c r="L380" s="1"/>
      <x:c r="M380" s="1"/>
      <x:c r="N380" s="1"/>
      <x:c r="O380" s="1"/>
    </x:row>
    <x:row r="381">
      <x:c r="A381" s="1" t="str">
        <x:v>C0380</x:v>
      </x:c>
      <x:c r="B381" s="1" t="str">
        <x:v>Aarav</x:v>
      </x:c>
      <x:c r="C381" s="1" t="str">
        <x:v>customer0380@example.com</x:v>
      </x:c>
      <x:c r="D381" s="1" t="str">
        <x:v>Germany</x:v>
      </x:c>
      <x:c r="E381" s="1" t="str">
        <x:v>2024-09-12</x:v>
      </x:c>
      <x:c r="F381" s="1" t="str">
        <x:v>2026-08-09</x:v>
      </x:c>
      <x:c r="G381" s="1" t="str">
        <x:v>9</x:v>
      </x:c>
      <x:c r="H381" s="1" t="str">
        <x:v>734.53</x:v>
      </x:c>
      <x:c r="I381" s="1" t="str">
        <x:v>1</x:v>
      </x:c>
      <x:c r="J381" s="1" t="str">
        <x:v>app</x:v>
      </x:c>
      <x:c r="K381" s="1"/>
      <x:c r="L381" s="1"/>
      <x:c r="M381" s="1"/>
      <x:c r="N381" s="1"/>
      <x:c r="O381" s="1"/>
    </x:row>
    <x:row r="382">
      <x:c r="A382" s="1" t="str">
        <x:v>C0381</x:v>
      </x:c>
      <x:c r="B382" s="1" t="str">
        <x:v>Samuel</x:v>
      </x:c>
      <x:c r="C382" s="1" t="str">
        <x:v>customer0381@example.com</x:v>
      </x:c>
      <x:c r="D382" s="1" t="str">
        <x:v>Nigeria</x:v>
      </x:c>
      <x:c r="E382" s="1" t="str">
        <x:v>2026-01-01</x:v>
      </x:c>
      <x:c r="F382" s="1" t="str">
        <x:v>2026-02-14</x:v>
      </x:c>
      <x:c r="G382" s="1" t="str">
        <x:v>8</x:v>
      </x:c>
      <x:c r="H382" s="1" t="str">
        <x:v>1080.05</x:v>
      </x:c>
      <x:c r="I382" s="1" t="str">
        <x:v>5</x:v>
      </x:c>
      <x:c r="J382" s="1" t="str">
        <x:v>app</x:v>
      </x:c>
      <x:c r="K382" s="1"/>
      <x:c r="L382" s="1"/>
      <x:c r="M382" s="1"/>
      <x:c r="N382" s="1"/>
      <x:c r="O382" s="1"/>
    </x:row>
    <x:row r="383">
      <x:c r="A383" s="1" t="str">
        <x:v>C0382</x:v>
      </x:c>
      <x:c r="B383" s="1" t="str">
        <x:v>Leila</x:v>
      </x:c>
      <x:c r="C383" s="1" t="str">
        <x:v>customer0382@example.com</x:v>
      </x:c>
      <x:c r="D383" s="1" t="str">
        <x:v>USA</x:v>
      </x:c>
      <x:c r="E383" s="1" t="str">
        <x:v>2026-07-08</x:v>
      </x:c>
      <x:c r="F383" s="1" t="str">
        <x:v>2026-08-11</x:v>
      </x:c>
      <x:c r="G383" s="1" t="str">
        <x:v>9</x:v>
      </x:c>
      <x:c r="H383" s="1" t="str">
        <x:v>622.14</x:v>
      </x:c>
      <x:c r="I383" s="1" t="str">
        <x:v>4</x:v>
      </x:c>
      <x:c r="J383" s="1" t="str">
        <x:v>web</x:v>
      </x:c>
      <x:c r="K383" s="1"/>
      <x:c r="L383" s="1"/>
      <x:c r="M383" s="1"/>
      <x:c r="N383" s="1"/>
      <x:c r="O383" s="1"/>
    </x:row>
    <x:row r="384">
      <x:c r="A384" s="1" t="str">
        <x:v>C0383</x:v>
      </x:c>
      <x:c r="B384" s="1" t="str">
        <x:v>Noah</x:v>
      </x:c>
      <x:c r="C384" s="1" t="str">
        <x:v>customer0383@example.com</x:v>
      </x:c>
      <x:c r="D384" s="1" t="str">
        <x:v>Singapore</x:v>
      </x:c>
      <x:c r="E384" s="1" t="str">
        <x:v>2024-12-08</x:v>
      </x:c>
      <x:c r="F384" s="1" t="str">
        <x:v>2026-07-26</x:v>
      </x:c>
      <x:c r="G384" s="1" t="str">
        <x:v>3</x:v>
      </x:c>
      <x:c r="H384" s="1" t="str">
        <x:v>786.71</x:v>
      </x:c>
      <x:c r="I384" s="1" t="str">
        <x:v>12</x:v>
      </x:c>
      <x:c r="J384" s="1" t="str">
        <x:v>app</x:v>
      </x:c>
      <x:c r="K384" s="1"/>
      <x:c r="L384" s="1"/>
      <x:c r="M384" s="1"/>
      <x:c r="N384" s="1"/>
      <x:c r="O384" s="1"/>
    </x:row>
    <x:row r="385">
      <x:c r="A385" s="1" t="str">
        <x:v>C0384</x:v>
      </x:c>
      <x:c r="B385" s="1" t="str">
        <x:v>Leila</x:v>
      </x:c>
      <x:c r="C385" s="1" t="str">
        <x:v>customer0384@example.com</x:v>
      </x:c>
      <x:c r="D385" s="1" t="str">
        <x:v>Germany</x:v>
      </x:c>
      <x:c r="E385" s="1" t="str">
        <x:v>2024-11-20</x:v>
      </x:c>
      <x:c r="F385" s="1" t="str">
        <x:v>2026-06-10</x:v>
      </x:c>
      <x:c r="G385" s="1" t="str">
        <x:v>7</x:v>
      </x:c>
      <x:c r="H385" s="1" t="str">
        <x:v>463.06</x:v>
      </x:c>
      <x:c r="I385" s="1" t="str">
        <x:v>10</x:v>
      </x:c>
      <x:c r="J385" s="1" t="str">
        <x:v>store</x:v>
      </x:c>
      <x:c r="K385" s="1"/>
      <x:c r="L385" s="1"/>
      <x:c r="M385" s="1"/>
      <x:c r="N385" s="1"/>
      <x:c r="O385" s="1"/>
    </x:row>
    <x:row r="386">
      <x:c r="A386" s="1" t="str">
        <x:v>C0385</x:v>
      </x:c>
      <x:c r="B386" s="1" t="str">
        <x:v>Arjun</x:v>
      </x:c>
      <x:c r="C386" s="1" t="str">
        <x:v>customer0385@example.com</x:v>
      </x:c>
      <x:c r="D386" s="1" t="str">
        <x:v>Germany</x:v>
      </x:c>
      <x:c r="E386" s="1" t="str">
        <x:v>2024-11-18</x:v>
      </x:c>
      <x:c r="F386" s="1" t="str">
        <x:v>2026-05-23</x:v>
      </x:c>
      <x:c r="G386" s="1" t="str">
        <x:v>12</x:v>
      </x:c>
      <x:c r="H386" s="1" t="str">
        <x:v>1256.71</x:v>
      </x:c>
      <x:c r="I386" s="1" t="str">
        <x:v>7</x:v>
      </x:c>
      <x:c r="J386" s="1" t="str">
        <x:v>app</x:v>
      </x:c>
      <x:c r="K386" s="1"/>
      <x:c r="L386" s="1"/>
      <x:c r="M386" s="1"/>
      <x:c r="N386" s="1"/>
      <x:c r="O386" s="1"/>
    </x:row>
    <x:row r="387">
      <x:c r="A387" s="1" t="str">
        <x:v>C0386</x:v>
      </x:c>
      <x:c r="B387" s="1" t="str">
        <x:v>Yara</x:v>
      </x:c>
      <x:c r="C387" s="1" t="str">
        <x:v>customer0386@example.com</x:v>
      </x:c>
      <x:c r="D387" s="1" t="str">
        <x:v>India</x:v>
      </x:c>
      <x:c r="E387" s="1" t="str">
        <x:v>2026-08-25</x:v>
      </x:c>
      <x:c r="F387" s="1" t="str">
        <x:v>2026-09-26</x:v>
      </x:c>
      <x:c r="G387" s="1" t="str">
        <x:v>15</x:v>
      </x:c>
      <x:c r="H387" s="1" t="str">
        <x:v>1402.84</x:v>
      </x:c>
      <x:c r="I387" s="1" t="str">
        <x:v>1</x:v>
      </x:c>
      <x:c r="J387" s="1" t="str">
        <x:v>app</x:v>
      </x:c>
      <x:c r="K387" s="1"/>
      <x:c r="L387" s="1"/>
      <x:c r="M387" s="1"/>
      <x:c r="N387" s="1"/>
      <x:c r="O387" s="1"/>
    </x:row>
    <x:row r="388">
      <x:c r="A388" s="1" t="str">
        <x:v>C0387</x:v>
      </x:c>
      <x:c r="B388" s="1" t="str">
        <x:v>Arjun</x:v>
      </x:c>
      <x:c r="C388" s="1" t="str">
        <x:v>customer0387@example.com</x:v>
      </x:c>
      <x:c r="D388" s="1" t="str">
        <x:v>Australia</x:v>
      </x:c>
      <x:c r="E388" s="1" t="str">
        <x:v>2026-08-31</x:v>
      </x:c>
      <x:c r="F388" s="1" t="str">
        <x:v>2026-09-10</x:v>
      </x:c>
      <x:c r="G388" s="1" t="str">
        <x:v>2</x:v>
      </x:c>
      <x:c r="H388" s="1" t="str">
        <x:v>154.87</x:v>
      </x:c>
      <x:c r="I388" s="1" t="str">
        <x:v>6</x:v>
      </x:c>
      <x:c r="J388" s="1" t="str">
        <x:v>app</x:v>
      </x:c>
      <x:c r="K388" s="1"/>
      <x:c r="L388" s="1"/>
      <x:c r="M388" s="1"/>
      <x:c r="N388" s="1"/>
      <x:c r="O388" s="1"/>
    </x:row>
    <x:row r="389">
      <x:c r="A389" s="1" t="str">
        <x:v>C0388</x:v>
      </x:c>
      <x:c r="B389" s="1" t="str">
        <x:v>Ines</x:v>
      </x:c>
      <x:c r="C389" s="1" t="str">
        <x:v>customer0388@example.com</x:v>
      </x:c>
      <x:c r="D389" s="1" t="str">
        <x:v>UK</x:v>
      </x:c>
      <x:c r="E389" s="1" t="str">
        <x:v>2025-10-07</x:v>
      </x:c>
      <x:c r="F389" s="1" t="str">
        <x:v>2026-05-16</x:v>
      </x:c>
      <x:c r="G389" s="1" t="str">
        <x:v>2</x:v>
      </x:c>
      <x:c r="H389" s="1" t="str">
        <x:v>72.62</x:v>
      </x:c>
      <x:c r="I389" s="1" t="str">
        <x:v>9</x:v>
      </x:c>
      <x:c r="J389" s="1" t="str">
        <x:v>store</x:v>
      </x:c>
      <x:c r="K389" s="1"/>
      <x:c r="L389" s="1"/>
      <x:c r="M389" s="1"/>
      <x:c r="N389" s="1"/>
      <x:c r="O389" s="1"/>
    </x:row>
    <x:row r="390">
      <x:c r="A390" s="1" t="str">
        <x:v>C0389</x:v>
      </x:c>
      <x:c r="B390" s="1" t="str">
        <x:v>Diego</x:v>
      </x:c>
      <x:c r="C390" s="1" t="str">
        <x:v>customer0389@example.com</x:v>
      </x:c>
      <x:c r="D390" s="1" t="str">
        <x:v>Australia</x:v>
      </x:c>
      <x:c r="E390" s="1" t="str">
        <x:v>2025-10-21</x:v>
      </x:c>
      <x:c r="F390" s="1" t="str">
        <x:v>2026-09-25</x:v>
      </x:c>
      <x:c r="G390" s="1" t="str">
        <x:v>13</x:v>
      </x:c>
      <x:c r="H390" s="1" t="str">
        <x:v>1763.59</x:v>
      </x:c>
      <x:c r="I390" s="1" t="str">
        <x:v>6</x:v>
      </x:c>
      <x:c r="J390" s="1" t="str">
        <x:v>web</x:v>
      </x:c>
      <x:c r="K390" s="1"/>
      <x:c r="L390" s="1"/>
      <x:c r="M390" s="1"/>
      <x:c r="N390" s="1"/>
      <x:c r="O390" s="1"/>
    </x:row>
    <x:row r="391">
      <x:c r="A391" s="1" t="str">
        <x:v>C0390</x:v>
      </x:c>
      <x:c r="B391" s="1" t="str">
        <x:v>Aarav</x:v>
      </x:c>
      <x:c r="C391" s="1" t="str">
        <x:v>customer0390@example.com</x:v>
      </x:c>
      <x:c r="D391" s="1" t="str">
        <x:v>USA</x:v>
      </x:c>
      <x:c r="E391" s="1" t="str">
        <x:v>2025-12-21</x:v>
      </x:c>
      <x:c r="F391" s="1" t="str">
        <x:v>2026-08-10</x:v>
      </x:c>
      <x:c r="G391" s="1" t="str">
        <x:v>7</x:v>
      </x:c>
      <x:c r="H391" s="1" t="str">
        <x:v>538.41</x:v>
      </x:c>
      <x:c r="I391" s="1" t="str">
        <x:v>7</x:v>
      </x:c>
      <x:c r="J391" s="1" t="str">
        <x:v>store</x:v>
      </x:c>
      <x:c r="K391" s="1"/>
      <x:c r="L391" s="1"/>
      <x:c r="M391" s="1"/>
      <x:c r="N391" s="1"/>
      <x:c r="O391" s="1"/>
    </x:row>
    <x:row r="392">
      <x:c r="A392" s="1" t="str">
        <x:v>C0391</x:v>
      </x:c>
      <x:c r="B392" s="1" t="str">
        <x:v>Mateo</x:v>
      </x:c>
      <x:c r="C392" s="1" t="str">
        <x:v>customer0391@example.com</x:v>
      </x:c>
      <x:c r="D392" s="1" t="str">
        <x:v>Germany</x:v>
      </x:c>
      <x:c r="E392" s="1" t="str">
        <x:v>2025-12-21</x:v>
      </x:c>
      <x:c r="F392" s="1" t="str">
        <x:v>2026-09-26</x:v>
      </x:c>
      <x:c r="G392" s="1" t="str">
        <x:v>19</x:v>
      </x:c>
      <x:c r="H392" s="1" t="str">
        <x:v>1673.56</x:v>
      </x:c>
      <x:c r="I392" s="1" t="str">
        <x:v>1</x:v>
      </x:c>
      <x:c r="J392" s="1" t="str">
        <x:v>store</x:v>
      </x:c>
      <x:c r="K392" s="1"/>
      <x:c r="L392" s="1"/>
      <x:c r="M392" s="1"/>
      <x:c r="N392" s="1"/>
      <x:c r="O392" s="1"/>
    </x:row>
    <x:row r="393">
      <x:c r="A393" s="1" t="str">
        <x:v>C0392</x:v>
      </x:c>
      <x:c r="B393" s="1" t="str">
        <x:v>Leila</x:v>
      </x:c>
      <x:c r="C393" s="1" t="str">
        <x:v>customer0392@example.com</x:v>
      </x:c>
      <x:c r="D393" s="1" t="str">
        <x:v>Japan</x:v>
      </x:c>
      <x:c r="E393" s="1" t="str">
        <x:v>2025-11-19</x:v>
      </x:c>
      <x:c r="F393" s="1" t="str">
        <x:v>2025-12-23</x:v>
      </x:c>
      <x:c r="G393" s="1" t="str">
        <x:v>1</x:v>
      </x:c>
      <x:c r="H393" s="1" t="str">
        <x:v>188.63</x:v>
      </x:c>
      <x:c r="I393" s="1" t="str">
        <x:v>12</x:v>
      </x:c>
      <x:c r="J393" s="1" t="str">
        <x:v>app</x:v>
      </x:c>
      <x:c r="K393" s="1"/>
      <x:c r="L393" s="1"/>
      <x:c r="M393" s="1"/>
      <x:c r="N393" s="1"/>
      <x:c r="O393" s="1"/>
    </x:row>
    <x:row r="394">
      <x:c r="A394" s="1" t="str">
        <x:v>C0393</x:v>
      </x:c>
      <x:c r="B394" s="1" t="str">
        <x:v>Yara</x:v>
      </x:c>
      <x:c r="C394" s="1" t="str">
        <x:v>customer0393@example.com</x:v>
      </x:c>
      <x:c r="D394" s="1" t="str">
        <x:v>USA</x:v>
      </x:c>
      <x:c r="E394" s="1" t="str">
        <x:v>2025-02-02</x:v>
      </x:c>
      <x:c r="F394" s="1" t="str">
        <x:v>2025-11-17</x:v>
      </x:c>
      <x:c r="G394" s="1" t="str">
        <x:v>1</x:v>
      </x:c>
      <x:c r="H394" s="1" t="str">
        <x:v>78.51</x:v>
      </x:c>
      <x:c r="I394" s="1" t="str">
        <x:v>12</x:v>
      </x:c>
      <x:c r="J394" s="1" t="str">
        <x:v>app</x:v>
      </x:c>
      <x:c r="K394" s="1"/>
      <x:c r="L394" s="1"/>
      <x:c r="M394" s="1"/>
      <x:c r="N394" s="1"/>
      <x:c r="O394" s="1"/>
    </x:row>
    <x:row r="395">
      <x:c r="A395" s="1" t="str">
        <x:v>C0394</x:v>
      </x:c>
      <x:c r="B395" s="1" t="str">
        <x:v>Mei</x:v>
      </x:c>
      <x:c r="C395" s="1" t="str">
        <x:v>customer0394@example.com</x:v>
      </x:c>
      <x:c r="D395" s="1" t="str">
        <x:v>USA</x:v>
      </x:c>
      <x:c r="E395" s="1" t="str">
        <x:v>2026-08-20</x:v>
      </x:c>
      <x:c r="F395" s="1" t="str">
        <x:v>2026-09-21</x:v>
      </x:c>
      <x:c r="G395" s="1" t="str">
        <x:v>2</x:v>
      </x:c>
      <x:c r="H395" s="1" t="str">
        <x:v>138.33</x:v>
      </x:c>
      <x:c r="I395" s="1" t="str">
        <x:v>5</x:v>
      </x:c>
      <x:c r="J395" s="1" t="str">
        <x:v>store</x:v>
      </x:c>
      <x:c r="K395" s="1"/>
      <x:c r="L395" s="1"/>
      <x:c r="M395" s="1"/>
      <x:c r="N395" s="1"/>
      <x:c r="O395" s="1"/>
    </x:row>
    <x:row r="396">
      <x:c r="A396" s="1" t="str">
        <x:v>C0395</x:v>
      </x:c>
      <x:c r="B396" s="1" t="str">
        <x:v>Jonas</x:v>
      </x:c>
      <x:c r="C396" s="1" t="str">
        <x:v>customer0395@example.com</x:v>
      </x:c>
      <x:c r="D396" s="1" t="str">
        <x:v>Australia</x:v>
      </x:c>
      <x:c r="E396" s="1" t="str">
        <x:v>2026-08-31</x:v>
      </x:c>
      <x:c r="F396" s="1" t="str">
        <x:v>2026-09-20</x:v>
      </x:c>
      <x:c r="G396" s="1" t="str">
        <x:v>1</x:v>
      </x:c>
      <x:c r="H396" s="1" t="str">
        <x:v>132.68</x:v>
      </x:c>
      <x:c r="I396" s="1" t="str">
        <x:v>8</x:v>
      </x:c>
      <x:c r="J396" s="1" t="str">
        <x:v>web</x:v>
      </x:c>
      <x:c r="K396" s="1"/>
      <x:c r="L396" s="1"/>
      <x:c r="M396" s="1"/>
      <x:c r="N396" s="1"/>
      <x:c r="O396" s="1"/>
    </x:row>
    <x:row r="397">
      <x:c r="A397" s="1" t="str">
        <x:v>C0396</x:v>
      </x:c>
      <x:c r="B397" s="1" t="str">
        <x:v>Aarav</x:v>
      </x:c>
      <x:c r="C397" s="1" t="str">
        <x:v>customer0396@example.com</x:v>
      </x:c>
      <x:c r="D397" s="1" t="str">
        <x:v>Australia</x:v>
      </x:c>
      <x:c r="E397" s="1" t="str">
        <x:v>2025-07-28</x:v>
      </x:c>
      <x:c r="F397" s="1" t="str">
        <x:v>2026-02-23</x:v>
      </x:c>
      <x:c r="G397" s="1" t="str">
        <x:v>2</x:v>
      </x:c>
      <x:c r="H397" s="1" t="str">
        <x:v>41.39</x:v>
      </x:c>
      <x:c r="I397" s="1" t="str">
        <x:v>6</x:v>
      </x:c>
      <x:c r="J397" s="1" t="str">
        <x:v>web</x:v>
      </x:c>
      <x:c r="K397" s="1"/>
      <x:c r="L397" s="1"/>
      <x:c r="M397" s="1"/>
      <x:c r="N397" s="1"/>
      <x:c r="O397" s="1"/>
    </x:row>
    <x:row r="398">
      <x:c r="A398" s="1" t="str">
        <x:v>C0397</x:v>
      </x:c>
      <x:c r="B398" s="1" t="str">
        <x:v>Ines</x:v>
      </x:c>
      <x:c r="C398" s="1" t="str">
        <x:v>customer0397@example.com</x:v>
      </x:c>
      <x:c r="D398" s="1" t="str">
        <x:v>Germany</x:v>
      </x:c>
      <x:c r="E398" s="1" t="str">
        <x:v>2025-11-16</x:v>
      </x:c>
      <x:c r="F398" s="1" t="str">
        <x:v>2026-04-12</x:v>
      </x:c>
      <x:c r="G398" s="1" t="str">
        <x:v>5</x:v>
      </x:c>
      <x:c r="H398" s="1" t="str">
        <x:v>924.81</x:v>
      </x:c>
      <x:c r="I398" s="1" t="str">
        <x:v>4</x:v>
      </x:c>
      <x:c r="J398" s="1" t="str">
        <x:v>store</x:v>
      </x:c>
      <x:c r="K398" s="1"/>
      <x:c r="L398" s="1"/>
      <x:c r="M398" s="1"/>
      <x:c r="N398" s="1"/>
      <x:c r="O398" s="1"/>
    </x:row>
    <x:row r="399">
      <x:c r="A399" s="1" t="str">
        <x:v>C0398</x:v>
      </x:c>
      <x:c r="B399" s="1" t="str">
        <x:v>Diego</x:v>
      </x:c>
      <x:c r="C399" s="1" t="str">
        <x:v>customer0398@example.com</x:v>
      </x:c>
      <x:c r="D399" s="1" t="str">
        <x:v>Singapore</x:v>
      </x:c>
      <x:c r="E399" s="1" t="str">
        <x:v>2026-08-28</x:v>
      </x:c>
      <x:c r="F399" s="1" t="str">
        <x:v>2026-09-09</x:v>
      </x:c>
      <x:c r="G399" s="1" t="str">
        <x:v>2</x:v>
      </x:c>
      <x:c r="H399" s="1" t="str">
        <x:v>31.76</x:v>
      </x:c>
      <x:c r="I399" s="1" t="str">
        <x:v>9</x:v>
      </x:c>
      <x:c r="J399" s="1" t="str">
        <x:v>app</x:v>
      </x:c>
      <x:c r="K399" s="1"/>
      <x:c r="L399" s="1"/>
      <x:c r="M399" s="1"/>
      <x:c r="N399" s="1"/>
      <x:c r="O399" s="1"/>
    </x:row>
    <x:row r="400">
      <x:c r="A400" s="1" t="str">
        <x:v>C0399</x:v>
      </x:c>
      <x:c r="B400" s="1" t="str">
        <x:v>Elena</x:v>
      </x:c>
      <x:c r="C400" s="1" t="str">
        <x:v>customer0399@example.com</x:v>
      </x:c>
      <x:c r="D400" s="1" t="str">
        <x:v>Singapore</x:v>
      </x:c>
      <x:c r="E400" s="1" t="str">
        <x:v>2025-05-26</x:v>
      </x:c>
      <x:c r="F400" s="1" t="str">
        <x:v>2026-08-07</x:v>
      </x:c>
      <x:c r="G400" s="1" t="str">
        <x:v>6</x:v>
      </x:c>
      <x:c r="H400" s="1" t="str">
        <x:v>449.88</x:v>
      </x:c>
      <x:c r="I400" s="1" t="str">
        <x:v>7</x:v>
      </x:c>
      <x:c r="J400" s="1" t="str">
        <x:v>web</x:v>
      </x:c>
      <x:c r="K400" s="1"/>
      <x:c r="L400" s="1"/>
      <x:c r="M400" s="1"/>
      <x:c r="N400" s="1"/>
      <x:c r="O400" s="1"/>
    </x:row>
    <x:row r="401">
      <x:c r="A401" s="1" t="str">
        <x:v>C0400</x:v>
      </x:c>
      <x:c r="B401" s="1" t="str">
        <x:v>Felix</x:v>
      </x:c>
      <x:c r="C401" s="1" t="str">
        <x:v>customer0400@example.com</x:v>
      </x:c>
      <x:c r="D401" s="1" t="str">
        <x:v>Germany</x:v>
      </x:c>
      <x:c r="E401" s="1" t="str">
        <x:v>2025-08-18</x:v>
      </x:c>
      <x:c r="F401" s="1" t="str">
        <x:v>2026-02-02</x:v>
      </x:c>
      <x:c r="G401" s="1" t="str">
        <x:v>2</x:v>
      </x:c>
      <x:c r="H401" s="1" t="str">
        <x:v>110.63</x:v>
      </x:c>
      <x:c r="I401" s="1" t="str">
        <x:v>3</x:v>
      </x:c>
      <x:c r="J401" s="1" t="str">
        <x:v>store</x:v>
      </x:c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6" hidden="0" customWidth="1"/>
    <x:col min="5" max="5" width="10.380000114440918" hidden="0" customWidth="1"/>
    <x:col min="6" max="6" width="13" hidden="0" customWidth="1"/>
    <x:col min="7" max="7" width="10" hidden="0" customWidth="1"/>
    <x:col min="8" max="8" width="15.130000114440918" hidden="0" customWidth="1"/>
    <x:col min="9" max="9" width="14.130000114440918" hidden="0" customWidth="1"/>
    <x:col min="10" max="10" width="11.630000114440918" hidden="0" customWidth="1"/>
    <x:col min="11" max="11" width="11.630000114440918" hidden="0" customWidth="1"/>
    <x:col min="12" max="12" width="1.75" hidden="0" customWidth="1"/>
    <x:col min="13" max="13" width="1.6299999952316284" hidden="0" customWidth="1"/>
    <x:col min="14" max="14" width="2" hidden="0" customWidth="1"/>
    <x:col min="15" max="15" width="18" hidden="0" customWidth="1"/>
  </x:cols>
  <x:sheetData>
    <x:row r="1">
      <x:c r="A1" s="4" t="str">
        <x:v>customer_id</x:v>
      </x:c>
      <x:c r="B1" s="4" t="str">
        <x:v>first_name</x:v>
      </x:c>
      <x:c r="C1" s="4" t="str">
        <x:v>email</x:v>
      </x:c>
      <x:c r="D1" s="4" t="str">
        <x:v>country</x:v>
      </x:c>
      <x:c r="E1" s="4" t="str">
        <x:v>signup_date</x:v>
      </x:c>
      <x:c r="F1" s="4" t="str">
        <x:v>last_order_date</x:v>
      </x:c>
      <x:c r="G1" s="4" t="str">
        <x:v>orders_12m</x:v>
      </x:c>
      <x:c r="H1" s="4" t="str">
        <x:v>revenue_12m_usd</x:v>
      </x:c>
      <x:c r="I1" s="4" t="str">
        <x:v>email_clicks_90d</x:v>
      </x:c>
      <x:c r="J1" s="4" t="str">
        <x:v>main_channel</x:v>
      </x:c>
      <x:c r="K1" s="4" t="str">
        <x:v>Recency days</x:v>
      </x:c>
      <x:c r="L1" s="4" t="str">
        <x:v>R</x:v>
      </x:c>
      <x:c r="M1" s="4" t="str">
        <x:v>F</x:v>
      </x:c>
      <x:c r="N1" s="4" t="str">
        <x:v>M</x:v>
      </x:c>
      <x:c r="O1" s="4" t="str">
        <x:v>Segment</x:v>
      </x:c>
    </x:row>
    <x:row r="2">
      <x:c r="A2" s="1" t="str">
        <x:v>C0001</x:v>
      </x:c>
      <x:c r="B2" s="1" t="str">
        <x:v>Samuel</x:v>
      </x:c>
      <x:c r="C2" s="1" t="str">
        <x:v>customer0001@example.com</x:v>
      </x:c>
      <x:c r="D2" s="1" t="str">
        <x:v>Japan</x:v>
      </x:c>
      <x:c r="E2" s="5" t="d">
        <x:v>2026-06-20T00:00:00.000Z</x:v>
      </x:c>
      <x:c r="F2" s="5" t="d">
        <x:v>2026-09-02T00:00:00.000Z</x:v>
      </x:c>
      <x:c r="G2" s="1" t="n">
        <x:v>6</x:v>
      </x:c>
      <x:c r="H2" s="6" t="n">
        <x:v>655.65</x:v>
      </x:c>
      <x:c r="I2" s="1" t="n">
        <x:v>1</x:v>
      </x:c>
      <x:c r="J2" s="1" t="str">
        <x:v>web</x:v>
      </x:c>
      <x:c r="K2" s="7" t="n">
        <x:f>DATE(2026,10,1)-F2</x:f>
        <x:v>29</x:v>
      </x:c>
      <x:c r="L2" s="7" t="n">
        <x:f>IF(K2&lt;=30,3,IF(K2&lt;=90,2,1))</x:f>
        <x:v>3</x:v>
      </x:c>
      <x:c r="M2" s="7" t="n">
        <x:f>IF(G2&gt;=8,3,IF(G2&gt;=3,2,1))</x:f>
        <x:v>2</x:v>
      </x:c>
      <x:c r="N2" s="7" t="n">
        <x:f>IF(H2&gt;=600,3,IF(H2&gt;=200,2,1))</x:f>
        <x:v>3</x:v>
      </x:c>
      <x:c r="O2" s="1" t="str">
        <x:f>IF(AND(L2=3,M2=3),"Champions",IF(AND(L2=1,M2&gt;=2),"At risk",IF(AND(L2=3,M2=1),"New",IF(AND(L2=1,M2=1),"Hibernating",IF(AND(L2=2,M2=1),"Promising","Loyal")))))</x:f>
        <x:v>Loyal</x:v>
      </x:c>
    </x:row>
    <x:row r="3">
      <x:c r="A3" s="1" t="str">
        <x:v>C0002</x:v>
      </x:c>
      <x:c r="B3" s="1" t="str">
        <x:v>Hana</x:v>
      </x:c>
      <x:c r="C3" s="1" t="str">
        <x:v>customer0002@example.com</x:v>
      </x:c>
      <x:c r="D3" s="1" t="str">
        <x:v>Singapore</x:v>
      </x:c>
      <x:c r="E3" s="5" t="d">
        <x:v>2026-08-05T00:00:00.000Z</x:v>
      </x:c>
      <x:c r="F3" s="5" t="d">
        <x:v>2026-09-01T00:00:00.000Z</x:v>
      </x:c>
      <x:c r="G3" s="1" t="n">
        <x:v>1</x:v>
      </x:c>
      <x:c r="H3" s="6" t="n">
        <x:v>26</x:v>
      </x:c>
      <x:c r="I3" s="1" t="n">
        <x:v>3</x:v>
      </x:c>
      <x:c r="J3" s="1" t="str">
        <x:v>app</x:v>
      </x:c>
      <x:c r="K3" s="7" t="n">
        <x:f>DATE(2026,10,1)-F3</x:f>
        <x:v>30</x:v>
      </x:c>
      <x:c r="L3" s="7" t="n">
        <x:f>IF(K3&lt;=30,3,IF(K3&lt;=90,2,1))</x:f>
        <x:v>3</x:v>
      </x:c>
      <x:c r="M3" s="7" t="n">
        <x:f>IF(G3&gt;=8,3,IF(G3&gt;=3,2,1))</x:f>
        <x:v>1</x:v>
      </x:c>
      <x:c r="N3" s="7" t="n">
        <x:f>IF(H3&gt;=600,3,IF(H3&gt;=200,2,1))</x:f>
        <x:v>1</x:v>
      </x:c>
      <x:c r="O3" s="1" t="str">
        <x:f>IF(AND(L3=3,M3=3),"Champions",IF(AND(L3=1,M3&gt;=2),"At risk",IF(AND(L3=3,M3=1),"New",IF(AND(L3=1,M3=1),"Hibernating",IF(AND(L3=2,M3=1),"Promising","Loyal")))))</x:f>
        <x:v>New</x:v>
      </x:c>
    </x:row>
    <x:row r="4">
      <x:c r="A4" s="1" t="str">
        <x:v>C0003</x:v>
      </x:c>
      <x:c r="B4" s="1" t="str">
        <x:v>Felix</x:v>
      </x:c>
      <x:c r="C4" s="1" t="str">
        <x:v>customer0003@example.com</x:v>
      </x:c>
      <x:c r="D4" s="1" t="str">
        <x:v>Nigeria</x:v>
      </x:c>
      <x:c r="E4" s="5" t="d">
        <x:v>2025-10-28T00:00:00.000Z</x:v>
      </x:c>
      <x:c r="F4" s="5" t="d">
        <x:v>2026-06-13T00:00:00.000Z</x:v>
      </x:c>
      <x:c r="G4" s="1" t="n">
        <x:v>12</x:v>
      </x:c>
      <x:c r="H4" s="6" t="n">
        <x:v>392.37</x:v>
      </x:c>
      <x:c r="I4" s="1" t="n">
        <x:v>0</x:v>
      </x:c>
      <x:c r="J4" s="1" t="str">
        <x:v>store</x:v>
      </x:c>
      <x:c r="K4" s="7" t="n">
        <x:f>DATE(2026,10,1)-F4</x:f>
        <x:v>110</x:v>
      </x:c>
      <x:c r="L4" s="7" t="n">
        <x:f>IF(K4&lt;=30,3,IF(K4&lt;=90,2,1))</x:f>
        <x:v>1</x:v>
      </x:c>
      <x:c r="M4" s="7" t="n">
        <x:f>IF(G4&gt;=8,3,IF(G4&gt;=3,2,1))</x:f>
        <x:v>3</x:v>
      </x:c>
      <x:c r="N4" s="7" t="n">
        <x:f>IF(H4&gt;=600,3,IF(H4&gt;=200,2,1))</x:f>
        <x:v>2</x:v>
      </x:c>
      <x:c r="O4" s="1" t="str">
        <x:f>IF(AND(L4=3,M4=3),"Champions",IF(AND(L4=1,M4&gt;=2),"At risk",IF(AND(L4=3,M4=1),"New",IF(AND(L4=1,M4=1),"Hibernating",IF(AND(L4=2,M4=1),"Promising","Loyal")))))</x:f>
        <x:v>At risk</x:v>
      </x:c>
    </x:row>
    <x:row r="5">
      <x:c r="A5" s="1" t="str">
        <x:v>C0004</x:v>
      </x:c>
      <x:c r="B5" s="1" t="str">
        <x:v>Ines</x:v>
      </x:c>
      <x:c r="C5" s="1" t="str">
        <x:v>customer0004@example.com</x:v>
      </x:c>
      <x:c r="D5" s="1" t="str">
        <x:v>UAE</x:v>
      </x:c>
      <x:c r="E5" s="5" t="d">
        <x:v>2026-09-21T00:00:00.000Z</x:v>
      </x:c>
      <x:c r="F5" s="5" t="d">
        <x:v>2026-09-29T00:00:00.000Z</x:v>
      </x:c>
      <x:c r="G5" s="1" t="n">
        <x:v>1</x:v>
      </x:c>
      <x:c r="H5" s="6" t="n">
        <x:v>27.45</x:v>
      </x:c>
      <x:c r="I5" s="1" t="n">
        <x:v>2</x:v>
      </x:c>
      <x:c r="J5" s="1" t="str">
        <x:v>store</x:v>
      </x:c>
      <x:c r="K5" s="7" t="n">
        <x:f>DATE(2026,10,1)-F5</x:f>
        <x:v>2</x:v>
      </x:c>
      <x:c r="L5" s="7" t="n">
        <x:f>IF(K5&lt;=30,3,IF(K5&lt;=90,2,1))</x:f>
        <x:v>3</x:v>
      </x:c>
      <x:c r="M5" s="7" t="n">
        <x:f>IF(G5&gt;=8,3,IF(G5&gt;=3,2,1))</x:f>
        <x:v>1</x:v>
      </x:c>
      <x:c r="N5" s="7" t="n">
        <x:f>IF(H5&gt;=600,3,IF(H5&gt;=200,2,1))</x:f>
        <x:v>1</x:v>
      </x:c>
      <x:c r="O5" s="1" t="str">
        <x:f>IF(AND(L5=3,M5=3),"Champions",IF(AND(L5=1,M5&gt;=2),"At risk",IF(AND(L5=3,M5=1),"New",IF(AND(L5=1,M5=1),"Hibernating",IF(AND(L5=2,M5=1),"Promising","Loyal")))))</x:f>
        <x:v>New</x:v>
      </x:c>
    </x:row>
    <x:row r="6">
      <x:c r="A6" s="1" t="str">
        <x:v>C0005</x:v>
      </x:c>
      <x:c r="B6" s="1" t="str">
        <x:v>Sofia</x:v>
      </x:c>
      <x:c r="C6" s="1" t="str">
        <x:v>customer0005@example.com</x:v>
      </x:c>
      <x:c r="D6" s="1" t="str">
        <x:v>Nigeria</x:v>
      </x:c>
      <x:c r="E6" s="5" t="d">
        <x:v>2026-03-20T00:00:00.000Z</x:v>
      </x:c>
      <x:c r="F6" s="5" t="d">
        <x:v>2026-09-21T00:00:00.000Z</x:v>
      </x:c>
      <x:c r="G6" s="1" t="n">
        <x:v>16</x:v>
      </x:c>
      <x:c r="H6" s="6" t="n">
        <x:v>1905.8</x:v>
      </x:c>
      <x:c r="I6" s="1" t="n">
        <x:v>9</x:v>
      </x:c>
      <x:c r="J6" s="1" t="str">
        <x:v>store</x:v>
      </x:c>
      <x:c r="K6" s="7" t="n">
        <x:f>DATE(2026,10,1)-F6</x:f>
        <x:v>10</x:v>
      </x:c>
      <x:c r="L6" s="7" t="n">
        <x:f>IF(K6&lt;=30,3,IF(K6&lt;=90,2,1))</x:f>
        <x:v>3</x:v>
      </x:c>
      <x:c r="M6" s="7" t="n">
        <x:f>IF(G6&gt;=8,3,IF(G6&gt;=3,2,1))</x:f>
        <x:v>3</x:v>
      </x:c>
      <x:c r="N6" s="7" t="n">
        <x:f>IF(H6&gt;=600,3,IF(H6&gt;=200,2,1))</x:f>
        <x:v>3</x:v>
      </x:c>
      <x:c r="O6" s="1" t="str">
        <x:f>IF(AND(L6=3,M6=3),"Champions",IF(AND(L6=1,M6&gt;=2),"At risk",IF(AND(L6=3,M6=1),"New",IF(AND(L6=1,M6=1),"Hibernating",IF(AND(L6=2,M6=1),"Promising","Loyal")))))</x:f>
        <x:v>Champions</x:v>
      </x:c>
    </x:row>
    <x:row r="7">
      <x:c r="A7" s="1" t="str">
        <x:v>C0006</x:v>
      </x:c>
      <x:c r="B7" s="1" t="str">
        <x:v>Maya</x:v>
      </x:c>
      <x:c r="C7" s="1" t="str">
        <x:v>customer0006@example.com</x:v>
      </x:c>
      <x:c r="D7" s="1" t="str">
        <x:v>Nigeria</x:v>
      </x:c>
      <x:c r="E7" s="5" t="d">
        <x:v>2025-02-09T00:00:00.000Z</x:v>
      </x:c>
      <x:c r="F7" s="5" t="d">
        <x:v>2026-09-09T00:00:00.000Z</x:v>
      </x:c>
      <x:c r="G7" s="1" t="n">
        <x:v>7</x:v>
      </x:c>
      <x:c r="H7" s="6" t="n">
        <x:v>698.48</x:v>
      </x:c>
      <x:c r="I7" s="1" t="n">
        <x:v>3</x:v>
      </x:c>
      <x:c r="J7" s="1" t="str">
        <x:v>web</x:v>
      </x:c>
      <x:c r="K7" s="7" t="n">
        <x:f>DATE(2026,10,1)-F7</x:f>
        <x:v>22</x:v>
      </x:c>
      <x:c r="L7" s="7" t="n">
        <x:f>IF(K7&lt;=30,3,IF(K7&lt;=90,2,1))</x:f>
        <x:v>3</x:v>
      </x:c>
      <x:c r="M7" s="7" t="n">
        <x:f>IF(G7&gt;=8,3,IF(G7&gt;=3,2,1))</x:f>
        <x:v>2</x:v>
      </x:c>
      <x:c r="N7" s="7" t="n">
        <x:f>IF(H7&gt;=600,3,IF(H7&gt;=200,2,1))</x:f>
        <x:v>3</x:v>
      </x:c>
      <x:c r="O7" s="1" t="str">
        <x:f>IF(AND(L7=3,M7=3),"Champions",IF(AND(L7=1,M7&gt;=2),"At risk",IF(AND(L7=3,M7=1),"New",IF(AND(L7=1,M7=1),"Hibernating",IF(AND(L7=2,M7=1),"Promising","Loyal")))))</x:f>
        <x:v>Loyal</x:v>
      </x:c>
    </x:row>
    <x:row r="8">
      <x:c r="A8" s="1" t="str">
        <x:v>C0007</x:v>
      </x:c>
      <x:c r="B8" s="1" t="str">
        <x:v>Chloe</x:v>
      </x:c>
      <x:c r="C8" s="1" t="str">
        <x:v>customer0007@example.com</x:v>
      </x:c>
      <x:c r="D8" s="1" t="str">
        <x:v>Germany</x:v>
      </x:c>
      <x:c r="E8" s="5" t="d">
        <x:v>2026-08-19T00:00:00.000Z</x:v>
      </x:c>
      <x:c r="F8" s="5" t="d">
        <x:v>2026-09-17T00:00:00.000Z</x:v>
      </x:c>
      <x:c r="G8" s="1" t="n">
        <x:v>2</x:v>
      </x:c>
      <x:c r="H8" s="6" t="n">
        <x:v>94.5</x:v>
      </x:c>
      <x:c r="I8" s="1" t="n">
        <x:v>3</x:v>
      </x:c>
      <x:c r="J8" s="1" t="str">
        <x:v>app</x:v>
      </x:c>
      <x:c r="K8" s="7" t="n">
        <x:f>DATE(2026,10,1)-F8</x:f>
        <x:v>14</x:v>
      </x:c>
      <x:c r="L8" s="7" t="n">
        <x:f>IF(K8&lt;=30,3,IF(K8&lt;=90,2,1))</x:f>
        <x:v>3</x:v>
      </x:c>
      <x:c r="M8" s="7" t="n">
        <x:f>IF(G8&gt;=8,3,IF(G8&gt;=3,2,1))</x:f>
        <x:v>1</x:v>
      </x:c>
      <x:c r="N8" s="7" t="n">
        <x:f>IF(H8&gt;=600,3,IF(H8&gt;=200,2,1))</x:f>
        <x:v>1</x:v>
      </x:c>
      <x:c r="O8" s="1" t="str">
        <x:f>IF(AND(L8=3,M8=3),"Champions",IF(AND(L8=1,M8&gt;=2),"At risk",IF(AND(L8=3,M8=1),"New",IF(AND(L8=1,M8=1),"Hibernating",IF(AND(L8=2,M8=1),"Promising","Loyal")))))</x:f>
        <x:v>New</x:v>
      </x:c>
    </x:row>
    <x:row r="9">
      <x:c r="A9" s="1" t="str">
        <x:v>C0008</x:v>
      </x:c>
      <x:c r="B9" s="1" t="str">
        <x:v>Priya</x:v>
      </x:c>
      <x:c r="C9" s="1" t="str">
        <x:v>customer0008@example.com</x:v>
      </x:c>
      <x:c r="D9" s="1" t="str">
        <x:v>Brazil</x:v>
      </x:c>
      <x:c r="E9" s="5" t="d">
        <x:v>2026-08-21T00:00:00.000Z</x:v>
      </x:c>
      <x:c r="F9" s="5" t="d">
        <x:v>2026-09-23T00:00:00.000Z</x:v>
      </x:c>
      <x:c r="G9" s="1" t="n">
        <x:v>1</x:v>
      </x:c>
      <x:c r="H9" s="6" t="n">
        <x:v>111.91</x:v>
      </x:c>
      <x:c r="I9" s="1" t="n">
        <x:v>11</x:v>
      </x:c>
      <x:c r="J9" s="1" t="str">
        <x:v>web</x:v>
      </x:c>
      <x:c r="K9" s="7" t="n">
        <x:f>DATE(2026,10,1)-F9</x:f>
        <x:v>8</x:v>
      </x:c>
      <x:c r="L9" s="7" t="n">
        <x:f>IF(K9&lt;=30,3,IF(K9&lt;=90,2,1))</x:f>
        <x:v>3</x:v>
      </x:c>
      <x:c r="M9" s="7" t="n">
        <x:f>IF(G9&gt;=8,3,IF(G9&gt;=3,2,1))</x:f>
        <x:v>1</x:v>
      </x:c>
      <x:c r="N9" s="7" t="n">
        <x:f>IF(H9&gt;=600,3,IF(H9&gt;=200,2,1))</x:f>
        <x:v>1</x:v>
      </x:c>
      <x:c r="O9" s="1" t="str">
        <x:f>IF(AND(L9=3,M9=3),"Champions",IF(AND(L9=1,M9&gt;=2),"At risk",IF(AND(L9=3,M9=1),"New",IF(AND(L9=1,M9=1),"Hibernating",IF(AND(L9=2,M9=1),"Promising","Loyal")))))</x:f>
        <x:v>New</x:v>
      </x:c>
    </x:row>
    <x:row r="10">
      <x:c r="A10" s="1" t="str">
        <x:v>C0009</x:v>
      </x:c>
      <x:c r="B10" s="1" t="str">
        <x:v>Kai</x:v>
      </x:c>
      <x:c r="C10" s="1" t="str">
        <x:v>customer0009@example.com</x:v>
      </x:c>
      <x:c r="D10" s="1" t="str">
        <x:v>Brazil</x:v>
      </x:c>
      <x:c r="E10" s="5" t="d">
        <x:v>2026-03-28T00:00:00.000Z</x:v>
      </x:c>
      <x:c r="F10" s="5" t="d">
        <x:v>2026-09-12T00:00:00.000Z</x:v>
      </x:c>
      <x:c r="G10" s="1" t="n">
        <x:v>3</x:v>
      </x:c>
      <x:c r="H10" s="6" t="n">
        <x:v>558.35</x:v>
      </x:c>
      <x:c r="I10" s="1" t="n">
        <x:v>2</x:v>
      </x:c>
      <x:c r="J10" s="1" t="str">
        <x:v>web</x:v>
      </x:c>
      <x:c r="K10" s="7" t="n">
        <x:f>DATE(2026,10,1)-F10</x:f>
        <x:v>19</x:v>
      </x:c>
      <x:c r="L10" s="7" t="n">
        <x:f>IF(K10&lt;=30,3,IF(K10&lt;=90,2,1))</x:f>
        <x:v>3</x:v>
      </x:c>
      <x:c r="M10" s="7" t="n">
        <x:f>IF(G10&gt;=8,3,IF(G10&gt;=3,2,1))</x:f>
        <x:v>2</x:v>
      </x:c>
      <x:c r="N10" s="7" t="n">
        <x:f>IF(H10&gt;=600,3,IF(H10&gt;=200,2,1))</x:f>
        <x:v>2</x:v>
      </x:c>
      <x:c r="O10" s="1" t="str">
        <x:f>IF(AND(L10=3,M10=3),"Champions",IF(AND(L10=1,M10&gt;=2),"At risk",IF(AND(L10=3,M10=1),"New",IF(AND(L10=1,M10=1),"Hibernating",IF(AND(L10=2,M10=1),"Promising","Loyal")))))</x:f>
        <x:v>Loyal</x:v>
      </x:c>
    </x:row>
    <x:row r="11">
      <x:c r="A11" s="1" t="str">
        <x:v>C0010</x:v>
      </x:c>
      <x:c r="B11" s="1" t="str">
        <x:v>Ravi</x:v>
      </x:c>
      <x:c r="C11" s="1" t="str">
        <x:v>customer0010@example.com</x:v>
      </x:c>
      <x:c r="D11" s="1" t="str">
        <x:v>Brazil</x:v>
      </x:c>
      <x:c r="E11" s="5" t="d">
        <x:v>2025-07-23T00:00:00.000Z</x:v>
      </x:c>
      <x:c r="F11" s="5" t="d">
        <x:v>2026-06-09T00:00:00.000Z</x:v>
      </x:c>
      <x:c r="G11" s="1" t="n">
        <x:v>11</x:v>
      </x:c>
      <x:c r="H11" s="6" t="n">
        <x:v>908.98</x:v>
      </x:c>
      <x:c r="I11" s="1" t="n">
        <x:v>9</x:v>
      </x:c>
      <x:c r="J11" s="1" t="str">
        <x:v>web</x:v>
      </x:c>
      <x:c r="K11" s="7" t="n">
        <x:f>DATE(2026,10,1)-F11</x:f>
        <x:v>114</x:v>
      </x:c>
      <x:c r="L11" s="7" t="n">
        <x:f>IF(K11&lt;=30,3,IF(K11&lt;=90,2,1))</x:f>
        <x:v>1</x:v>
      </x:c>
      <x:c r="M11" s="7" t="n">
        <x:f>IF(G11&gt;=8,3,IF(G11&gt;=3,2,1))</x:f>
        <x:v>3</x:v>
      </x:c>
      <x:c r="N11" s="7" t="n">
        <x:f>IF(H11&gt;=600,3,IF(H11&gt;=200,2,1))</x:f>
        <x:v>3</x:v>
      </x:c>
      <x:c r="O11" s="1" t="str">
        <x:f>IF(AND(L11=3,M11=3),"Champions",IF(AND(L11=1,M11&gt;=2),"At risk",IF(AND(L11=3,M11=1),"New",IF(AND(L11=1,M11=1),"Hibernating",IF(AND(L11=2,M11=1),"Promising","Loyal")))))</x:f>
        <x:v>At risk</x:v>
      </x:c>
    </x:row>
    <x:row r="12">
      <x:c r="A12" s="1" t="str">
        <x:v>C0011</x:v>
      </x:c>
      <x:c r="B12" s="1" t="str">
        <x:v>Priya</x:v>
      </x:c>
      <x:c r="C12" s="1" t="str">
        <x:v>customer0011@example.com</x:v>
      </x:c>
      <x:c r="D12" s="1" t="str">
        <x:v>Singapore</x:v>
      </x:c>
      <x:c r="E12" s="5" t="d">
        <x:v>2026-08-30T00:00:00.000Z</x:v>
      </x:c>
      <x:c r="F12" s="5" t="d">
        <x:v>2026-09-16T00:00:00.000Z</x:v>
      </x:c>
      <x:c r="G12" s="1" t="n">
        <x:v>1</x:v>
      </x:c>
      <x:c r="H12" s="6" t="n">
        <x:v>154.39</x:v>
      </x:c>
      <x:c r="I12" s="1" t="n">
        <x:v>0</x:v>
      </x:c>
      <x:c r="J12" s="1" t="str">
        <x:v>store</x:v>
      </x:c>
      <x:c r="K12" s="7" t="n">
        <x:f>DATE(2026,10,1)-F12</x:f>
        <x:v>15</x:v>
      </x:c>
      <x:c r="L12" s="7" t="n">
        <x:f>IF(K12&lt;=30,3,IF(K12&lt;=90,2,1))</x:f>
        <x:v>3</x:v>
      </x:c>
      <x:c r="M12" s="7" t="n">
        <x:f>IF(G12&gt;=8,3,IF(G12&gt;=3,2,1))</x:f>
        <x:v>1</x:v>
      </x:c>
      <x:c r="N12" s="7" t="n">
        <x:f>IF(H12&gt;=600,3,IF(H12&gt;=200,2,1))</x:f>
        <x:v>1</x:v>
      </x:c>
      <x:c r="O12" s="1" t="str">
        <x:f>IF(AND(L12=3,M12=3),"Champions",IF(AND(L12=1,M12&gt;=2),"At risk",IF(AND(L12=3,M12=1),"New",IF(AND(L12=1,M12=1),"Hibernating",IF(AND(L12=2,M12=1),"Promising","Loyal")))))</x:f>
        <x:v>New</x:v>
      </x:c>
    </x:row>
    <x:row r="13">
      <x:c r="A13" s="1" t="str">
        <x:v>C0012</x:v>
      </x:c>
      <x:c r="B13" s="1" t="str">
        <x:v>Jonas</x:v>
      </x:c>
      <x:c r="C13" s="1" t="str">
        <x:v>customer0012@example.com</x:v>
      </x:c>
      <x:c r="D13" s="1" t="str">
        <x:v>Brazil</x:v>
      </x:c>
      <x:c r="E13" s="5" t="d">
        <x:v>2026-08-17T00:00:00.000Z</x:v>
      </x:c>
      <x:c r="F13" s="5" t="d">
        <x:v>2026-09-10T00:00:00.000Z</x:v>
      </x:c>
      <x:c r="G13" s="1" t="n">
        <x:v>2</x:v>
      </x:c>
      <x:c r="H13" s="6" t="n">
        <x:v>65.54</x:v>
      </x:c>
      <x:c r="I13" s="1" t="n">
        <x:v>0</x:v>
      </x:c>
      <x:c r="J13" s="1" t="str">
        <x:v>web</x:v>
      </x:c>
      <x:c r="K13" s="7" t="n">
        <x:f>DATE(2026,10,1)-F13</x:f>
        <x:v>21</x:v>
      </x:c>
      <x:c r="L13" s="7" t="n">
        <x:f>IF(K13&lt;=30,3,IF(K13&lt;=90,2,1))</x:f>
        <x:v>3</x:v>
      </x:c>
      <x:c r="M13" s="7" t="n">
        <x:f>IF(G13&gt;=8,3,IF(G13&gt;=3,2,1))</x:f>
        <x:v>1</x:v>
      </x:c>
      <x:c r="N13" s="7" t="n">
        <x:f>IF(H13&gt;=600,3,IF(H13&gt;=200,2,1))</x:f>
        <x:v>1</x:v>
      </x:c>
      <x:c r="O13" s="1" t="str">
        <x:f>IF(AND(L13=3,M13=3),"Champions",IF(AND(L13=1,M13&gt;=2),"At risk",IF(AND(L13=3,M13=1),"New",IF(AND(L13=1,M13=1),"Hibernating",IF(AND(L13=2,M13=1),"Promising","Loyal")))))</x:f>
        <x:v>New</x:v>
      </x:c>
    </x:row>
    <x:row r="14">
      <x:c r="A14" s="1" t="str">
        <x:v>C0013</x:v>
      </x:c>
      <x:c r="B14" s="1" t="str">
        <x:v>Kenji</x:v>
      </x:c>
      <x:c r="C14" s="1" t="str">
        <x:v>customer0013@example.com</x:v>
      </x:c>
      <x:c r="D14" s="1" t="str">
        <x:v>USA</x:v>
      </x:c>
      <x:c r="E14" s="5" t="d">
        <x:v>2025-11-17T00:00:00.000Z</x:v>
      </x:c>
      <x:c r="F14" s="5" t="d">
        <x:v>2026-09-07T00:00:00.000Z</x:v>
      </x:c>
      <x:c r="G14" s="1" t="n">
        <x:v>6</x:v>
      </x:c>
      <x:c r="H14" s="6" t="n">
        <x:v>241.27</x:v>
      </x:c>
      <x:c r="I14" s="1" t="n">
        <x:v>6</x:v>
      </x:c>
      <x:c r="J14" s="1" t="str">
        <x:v>web</x:v>
      </x:c>
      <x:c r="K14" s="7" t="n">
        <x:f>DATE(2026,10,1)-F14</x:f>
        <x:v>24</x:v>
      </x:c>
      <x:c r="L14" s="7" t="n">
        <x:f>IF(K14&lt;=30,3,IF(K14&lt;=90,2,1))</x:f>
        <x:v>3</x:v>
      </x:c>
      <x:c r="M14" s="7" t="n">
        <x:f>IF(G14&gt;=8,3,IF(G14&gt;=3,2,1))</x:f>
        <x:v>2</x:v>
      </x:c>
      <x:c r="N14" s="7" t="n">
        <x:f>IF(H14&gt;=600,3,IF(H14&gt;=200,2,1))</x:f>
        <x:v>2</x:v>
      </x:c>
      <x:c r="O14" s="1" t="str">
        <x:f>IF(AND(L14=3,M14=3),"Champions",IF(AND(L14=1,M14&gt;=2),"At risk",IF(AND(L14=3,M14=1),"New",IF(AND(L14=1,M14=1),"Hibernating",IF(AND(L14=2,M14=1),"Promising","Loyal")))))</x:f>
        <x:v>Loyal</x:v>
      </x:c>
    </x:row>
    <x:row r="15">
      <x:c r="A15" s="1" t="str">
        <x:v>C0014</x:v>
      </x:c>
      <x:c r="B15" s="1" t="str">
        <x:v>Lina</x:v>
      </x:c>
      <x:c r="C15" s="1" t="str">
        <x:v>customer0014@example.com</x:v>
      </x:c>
      <x:c r="D15" s="1" t="str">
        <x:v>Germany</x:v>
      </x:c>
      <x:c r="E15" s="5" t="d">
        <x:v>2024-08-27T00:00:00.000Z</x:v>
      </x:c>
      <x:c r="F15" s="5" t="d">
        <x:v>2025-10-12T00:00:00.000Z</x:v>
      </x:c>
      <x:c r="G15" s="1" t="n">
        <x:v>1</x:v>
      </x:c>
      <x:c r="H15" s="6" t="n">
        <x:v>44.11</x:v>
      </x:c>
      <x:c r="I15" s="1" t="n">
        <x:v>2</x:v>
      </x:c>
      <x:c r="J15" s="1" t="str">
        <x:v>web</x:v>
      </x:c>
      <x:c r="K15" s="7" t="n">
        <x:f>DATE(2026,10,1)-F15</x:f>
        <x:v>354</x:v>
      </x:c>
      <x:c r="L15" s="7" t="n">
        <x:f>IF(K15&lt;=30,3,IF(K15&lt;=90,2,1))</x:f>
        <x:v>1</x:v>
      </x:c>
      <x:c r="M15" s="7" t="n">
        <x:f>IF(G15&gt;=8,3,IF(G15&gt;=3,2,1))</x:f>
        <x:v>1</x:v>
      </x:c>
      <x:c r="N15" s="7" t="n">
        <x:f>IF(H15&gt;=600,3,IF(H15&gt;=200,2,1))</x:f>
        <x:v>1</x:v>
      </x:c>
      <x:c r="O15" s="1" t="str">
        <x:f>IF(AND(L15=3,M15=3),"Champions",IF(AND(L15=1,M15&gt;=2),"At risk",IF(AND(L15=3,M15=1),"New",IF(AND(L15=1,M15=1),"Hibernating",IF(AND(L15=2,M15=1),"Promising","Loyal")))))</x:f>
        <x:v>Hibernating</x:v>
      </x:c>
    </x:row>
    <x:row r="16">
      <x:c r="A16" s="1" t="str">
        <x:v>C0015</x:v>
      </x:c>
      <x:c r="B16" s="1" t="str">
        <x:v>Jonas</x:v>
      </x:c>
      <x:c r="C16" s="1" t="str">
        <x:v>customer0015@example.com</x:v>
      </x:c>
      <x:c r="D16" s="1" t="str">
        <x:v>UAE</x:v>
      </x:c>
      <x:c r="E16" s="5" t="d">
        <x:v>2024-03-04T00:00:00.000Z</x:v>
      </x:c>
      <x:c r="F16" s="5" t="d">
        <x:v>2026-02-01T00:00:00.000Z</x:v>
      </x:c>
      <x:c r="G16" s="1" t="n">
        <x:v>2</x:v>
      </x:c>
      <x:c r="H16" s="6" t="n">
        <x:v>187.63</x:v>
      </x:c>
      <x:c r="I16" s="1" t="n">
        <x:v>3</x:v>
      </x:c>
      <x:c r="J16" s="1" t="str">
        <x:v>app</x:v>
      </x:c>
      <x:c r="K16" s="7" t="n">
        <x:f>DATE(2026,10,1)-F16</x:f>
        <x:v>242</x:v>
      </x:c>
      <x:c r="L16" s="7" t="n">
        <x:f>IF(K16&lt;=30,3,IF(K16&lt;=90,2,1))</x:f>
        <x:v>1</x:v>
      </x:c>
      <x:c r="M16" s="7" t="n">
        <x:f>IF(G16&gt;=8,3,IF(G16&gt;=3,2,1))</x:f>
        <x:v>1</x:v>
      </x:c>
      <x:c r="N16" s="7" t="n">
        <x:f>IF(H16&gt;=600,3,IF(H16&gt;=200,2,1))</x:f>
        <x:v>1</x:v>
      </x:c>
      <x:c r="O16" s="1" t="str">
        <x:f>IF(AND(L16=3,M16=3),"Champions",IF(AND(L16=1,M16&gt;=2),"At risk",IF(AND(L16=3,M16=1),"New",IF(AND(L16=1,M16=1),"Hibernating",IF(AND(L16=2,M16=1),"Promising","Loyal")))))</x:f>
        <x:v>Hibernating</x:v>
      </x:c>
    </x:row>
    <x:row r="17">
      <x:c r="A17" s="1" t="str">
        <x:v>C0016</x:v>
      </x:c>
      <x:c r="B17" s="1" t="str">
        <x:v>Priya</x:v>
      </x:c>
      <x:c r="C17" s="1" t="str">
        <x:v>customer0016@example.com</x:v>
      </x:c>
      <x:c r="D17" s="1" t="str">
        <x:v>Nigeria</x:v>
      </x:c>
      <x:c r="E17" s="5" t="d">
        <x:v>2026-09-14T00:00:00.000Z</x:v>
      </x:c>
      <x:c r="F17" s="5" t="d">
        <x:v>2026-09-26T00:00:00.000Z</x:v>
      </x:c>
      <x:c r="G17" s="1" t="n">
        <x:v>11</x:v>
      </x:c>
      <x:c r="H17" s="6" t="n">
        <x:v>1653.63</x:v>
      </x:c>
      <x:c r="I17" s="1" t="n">
        <x:v>2</x:v>
      </x:c>
      <x:c r="J17" s="1" t="str">
        <x:v>web</x:v>
      </x:c>
      <x:c r="K17" s="7" t="n">
        <x:f>DATE(2026,10,1)-F17</x:f>
        <x:v>5</x:v>
      </x:c>
      <x:c r="L17" s="7" t="n">
        <x:f>IF(K17&lt;=30,3,IF(K17&lt;=90,2,1))</x:f>
        <x:v>3</x:v>
      </x:c>
      <x:c r="M17" s="7" t="n">
        <x:f>IF(G17&gt;=8,3,IF(G17&gt;=3,2,1))</x:f>
        <x:v>3</x:v>
      </x:c>
      <x:c r="N17" s="7" t="n">
        <x:f>IF(H17&gt;=600,3,IF(H17&gt;=200,2,1))</x:f>
        <x:v>3</x:v>
      </x:c>
      <x:c r="O17" s="1" t="str">
        <x:f>IF(AND(L17=3,M17=3),"Champions",IF(AND(L17=1,M17&gt;=2),"At risk",IF(AND(L17=3,M17=1),"New",IF(AND(L17=1,M17=1),"Hibernating",IF(AND(L17=2,M17=1),"Promising","Loyal")))))</x:f>
        <x:v>Champions</x:v>
      </x:c>
    </x:row>
    <x:row r="18">
      <x:c r="A18" s="1" t="str">
        <x:v>C0017</x:v>
      </x:c>
      <x:c r="B18" s="1" t="str">
        <x:v>Diego</x:v>
      </x:c>
      <x:c r="C18" s="1" t="str">
        <x:v>customer0017@example.com</x:v>
      </x:c>
      <x:c r="D18" s="1" t="str">
        <x:v>Brazil</x:v>
      </x:c>
      <x:c r="E18" s="5" t="d">
        <x:v>2024-12-18T00:00:00.000Z</x:v>
      </x:c>
      <x:c r="F18" s="5" t="d">
        <x:v>2026-09-03T00:00:00.000Z</x:v>
      </x:c>
      <x:c r="G18" s="1" t="n">
        <x:v>6</x:v>
      </x:c>
      <x:c r="H18" s="6" t="n">
        <x:v>574.21</x:v>
      </x:c>
      <x:c r="I18" s="1" t="n">
        <x:v>2</x:v>
      </x:c>
      <x:c r="J18" s="1" t="str">
        <x:v>store</x:v>
      </x:c>
      <x:c r="K18" s="7" t="n">
        <x:f>DATE(2026,10,1)-F18</x:f>
        <x:v>28</x:v>
      </x:c>
      <x:c r="L18" s="7" t="n">
        <x:f>IF(K18&lt;=30,3,IF(K18&lt;=90,2,1))</x:f>
        <x:v>3</x:v>
      </x:c>
      <x:c r="M18" s="7" t="n">
        <x:f>IF(G18&gt;=8,3,IF(G18&gt;=3,2,1))</x:f>
        <x:v>2</x:v>
      </x:c>
      <x:c r="N18" s="7" t="n">
        <x:f>IF(H18&gt;=600,3,IF(H18&gt;=200,2,1))</x:f>
        <x:v>2</x:v>
      </x:c>
      <x:c r="O18" s="1" t="str">
        <x:f>IF(AND(L18=3,M18=3),"Champions",IF(AND(L18=1,M18&gt;=2),"At risk",IF(AND(L18=3,M18=1),"New",IF(AND(L18=1,M18=1),"Hibernating",IF(AND(L18=2,M18=1),"Promising","Loyal")))))</x:f>
        <x:v>Loyal</x:v>
      </x:c>
    </x:row>
    <x:row r="19">
      <x:c r="A19" s="1" t="str">
        <x:v>C0018</x:v>
      </x:c>
      <x:c r="B19" s="1" t="str">
        <x:v>Yara</x:v>
      </x:c>
      <x:c r="C19" s="1" t="str">
        <x:v>customer0018@example.com</x:v>
      </x:c>
      <x:c r="D19" s="1" t="str">
        <x:v>Japan</x:v>
      </x:c>
      <x:c r="E19" s="5" t="d">
        <x:v>2024-06-30T00:00:00.000Z</x:v>
      </x:c>
      <x:c r="F19" s="5" t="d">
        <x:v>2026-05-27T00:00:00.000Z</x:v>
      </x:c>
      <x:c r="G19" s="1" t="n">
        <x:v>2</x:v>
      </x:c>
      <x:c r="H19" s="6" t="n">
        <x:v>172.42</x:v>
      </x:c>
      <x:c r="I19" s="1" t="n">
        <x:v>6</x:v>
      </x:c>
      <x:c r="J19" s="1" t="str">
        <x:v>web</x:v>
      </x:c>
      <x:c r="K19" s="7" t="n">
        <x:f>DATE(2026,10,1)-F19</x:f>
        <x:v>127</x:v>
      </x:c>
      <x:c r="L19" s="7" t="n">
        <x:f>IF(K19&lt;=30,3,IF(K19&lt;=90,2,1))</x:f>
        <x:v>1</x:v>
      </x:c>
      <x:c r="M19" s="7" t="n">
        <x:f>IF(G19&gt;=8,3,IF(G19&gt;=3,2,1))</x:f>
        <x:v>1</x:v>
      </x:c>
      <x:c r="N19" s="7" t="n">
        <x:f>IF(H19&gt;=600,3,IF(H19&gt;=200,2,1))</x:f>
        <x:v>1</x:v>
      </x:c>
      <x:c r="O19" s="1" t="str">
        <x:f>IF(AND(L19=3,M19=3),"Champions",IF(AND(L19=1,M19&gt;=2),"At risk",IF(AND(L19=3,M19=1),"New",IF(AND(L19=1,M19=1),"Hibernating",IF(AND(L19=2,M19=1),"Promising","Loyal")))))</x:f>
        <x:v>Hibernating</x:v>
      </x:c>
    </x:row>
    <x:row r="20">
      <x:c r="A20" s="1" t="str">
        <x:v>C0019</x:v>
      </x:c>
      <x:c r="B20" s="1" t="str">
        <x:v>Lucas</x:v>
      </x:c>
      <x:c r="C20" s="1" t="str">
        <x:v>customer0019@example.com</x:v>
      </x:c>
      <x:c r="D20" s="1" t="str">
        <x:v>Singapore</x:v>
      </x:c>
      <x:c r="E20" s="5" t="d">
        <x:v>2026-03-31T00:00:00.000Z</x:v>
      </x:c>
      <x:c r="F20" s="5" t="d">
        <x:v>2026-06-02T00:00:00.000Z</x:v>
      </x:c>
      <x:c r="G20" s="1" t="n">
        <x:v>10</x:v>
      </x:c>
      <x:c r="H20" s="6" t="n">
        <x:v>979.43</x:v>
      </x:c>
      <x:c r="I20" s="1" t="n">
        <x:v>3</x:v>
      </x:c>
      <x:c r="J20" s="1" t="str">
        <x:v>web</x:v>
      </x:c>
      <x:c r="K20" s="7" t="n">
        <x:f>DATE(2026,10,1)-F20</x:f>
        <x:v>121</x:v>
      </x:c>
      <x:c r="L20" s="7" t="n">
        <x:f>IF(K20&lt;=30,3,IF(K20&lt;=90,2,1))</x:f>
        <x:v>1</x:v>
      </x:c>
      <x:c r="M20" s="7" t="n">
        <x:f>IF(G20&gt;=8,3,IF(G20&gt;=3,2,1))</x:f>
        <x:v>3</x:v>
      </x:c>
      <x:c r="N20" s="7" t="n">
        <x:f>IF(H20&gt;=600,3,IF(H20&gt;=200,2,1))</x:f>
        <x:v>3</x:v>
      </x:c>
      <x:c r="O20" s="1" t="str">
        <x:f>IF(AND(L20=3,M20=3),"Champions",IF(AND(L20=1,M20&gt;=2),"At risk",IF(AND(L20=3,M20=1),"New",IF(AND(L20=1,M20=1),"Hibernating",IF(AND(L20=2,M20=1),"Promising","Loyal")))))</x:f>
        <x:v>At risk</x:v>
      </x:c>
    </x:row>
    <x:row r="21">
      <x:c r="A21" s="1" t="str">
        <x:v>C0020</x:v>
      </x:c>
      <x:c r="B21" s="1" t="str">
        <x:v>Diego</x:v>
      </x:c>
      <x:c r="C21" s="1" t="str">
        <x:v>customer0020@example.com</x:v>
      </x:c>
      <x:c r="D21" s="1" t="str">
        <x:v>UK</x:v>
      </x:c>
      <x:c r="E21" s="5" t="d">
        <x:v>2026-08-09T00:00:00.000Z</x:v>
      </x:c>
      <x:c r="F21" s="5" t="d">
        <x:v>2026-08-09T00:00:00.000Z</x:v>
      </x:c>
      <x:c r="G21" s="1" t="n">
        <x:v>7</x:v>
      </x:c>
      <x:c r="H21" s="6" t="n">
        <x:v>236.8</x:v>
      </x:c>
      <x:c r="I21" s="1" t="n">
        <x:v>8</x:v>
      </x:c>
      <x:c r="J21" s="1" t="str">
        <x:v>app</x:v>
      </x:c>
      <x:c r="K21" s="7" t="n">
        <x:f>DATE(2026,10,1)-F21</x:f>
        <x:v>53</x:v>
      </x:c>
      <x:c r="L21" s="7" t="n">
        <x:f>IF(K21&lt;=30,3,IF(K21&lt;=90,2,1))</x:f>
        <x:v>2</x:v>
      </x:c>
      <x:c r="M21" s="7" t="n">
        <x:f>IF(G21&gt;=8,3,IF(G21&gt;=3,2,1))</x:f>
        <x:v>2</x:v>
      </x:c>
      <x:c r="N21" s="7" t="n">
        <x:f>IF(H21&gt;=600,3,IF(H21&gt;=200,2,1))</x:f>
        <x:v>2</x:v>
      </x:c>
      <x:c r="O21" s="1" t="str">
        <x:f>IF(AND(L21=3,M21=3),"Champions",IF(AND(L21=1,M21&gt;=2),"At risk",IF(AND(L21=3,M21=1),"New",IF(AND(L21=1,M21=1),"Hibernating",IF(AND(L21=2,M21=1),"Promising","Loyal")))))</x:f>
        <x:v>Loyal</x:v>
      </x:c>
    </x:row>
    <x:row r="22">
      <x:c r="A22" s="1" t="str">
        <x:v>C0021</x:v>
      </x:c>
      <x:c r="B22" s="1" t="str">
        <x:v>Mateo</x:v>
      </x:c>
      <x:c r="C22" s="1" t="str">
        <x:v>customer0021@example.com</x:v>
      </x:c>
      <x:c r="D22" s="1" t="str">
        <x:v>UK</x:v>
      </x:c>
      <x:c r="E22" s="5" t="d">
        <x:v>2024-09-20T00:00:00.000Z</x:v>
      </x:c>
      <x:c r="F22" s="5" t="d">
        <x:v>2026-06-10T00:00:00.000Z</x:v>
      </x:c>
      <x:c r="G22" s="1" t="n">
        <x:v>1</x:v>
      </x:c>
      <x:c r="H22" s="6" t="n">
        <x:v>168.01</x:v>
      </x:c>
      <x:c r="I22" s="1" t="n">
        <x:v>10</x:v>
      </x:c>
      <x:c r="J22" s="1" t="str">
        <x:v>web</x:v>
      </x:c>
      <x:c r="K22" s="7" t="n">
        <x:f>DATE(2026,10,1)-F22</x:f>
        <x:v>113</x:v>
      </x:c>
      <x:c r="L22" s="7" t="n">
        <x:f>IF(K22&lt;=30,3,IF(K22&lt;=90,2,1))</x:f>
        <x:v>1</x:v>
      </x:c>
      <x:c r="M22" s="7" t="n">
        <x:f>IF(G22&gt;=8,3,IF(G22&gt;=3,2,1))</x:f>
        <x:v>1</x:v>
      </x:c>
      <x:c r="N22" s="7" t="n">
        <x:f>IF(H22&gt;=600,3,IF(H22&gt;=200,2,1))</x:f>
        <x:v>1</x:v>
      </x:c>
      <x:c r="O22" s="1" t="str">
        <x:f>IF(AND(L22=3,M22=3),"Champions",IF(AND(L22=1,M22&gt;=2),"At risk",IF(AND(L22=3,M22=1),"New",IF(AND(L22=1,M22=1),"Hibernating",IF(AND(L22=2,M22=1),"Promising","Loyal")))))</x:f>
        <x:v>Hibernating</x:v>
      </x:c>
    </x:row>
    <x:row r="23">
      <x:c r="A23" s="1" t="str">
        <x:v>C0022</x:v>
      </x:c>
      <x:c r="B23" s="1" t="str">
        <x:v>Noah</x:v>
      </x:c>
      <x:c r="C23" s="1" t="str">
        <x:v>customer0022@example.com</x:v>
      </x:c>
      <x:c r="D23" s="1" t="str">
        <x:v>Australia</x:v>
      </x:c>
      <x:c r="E23" s="5" t="d">
        <x:v>2024-08-07T00:00:00.000Z</x:v>
      </x:c>
      <x:c r="F23" s="5" t="d">
        <x:v>2025-12-19T00:00:00.000Z</x:v>
      </x:c>
      <x:c r="G23" s="1" t="n">
        <x:v>2</x:v>
      </x:c>
      <x:c r="H23" s="6" t="n">
        <x:v>36.5</x:v>
      </x:c>
      <x:c r="I23" s="1" t="n">
        <x:v>7</x:v>
      </x:c>
      <x:c r="J23" s="1" t="str">
        <x:v>web</x:v>
      </x:c>
      <x:c r="K23" s="7" t="n">
        <x:f>DATE(2026,10,1)-F23</x:f>
        <x:v>286</x:v>
      </x:c>
      <x:c r="L23" s="7" t="n">
        <x:f>IF(K23&lt;=30,3,IF(K23&lt;=90,2,1))</x:f>
        <x:v>1</x:v>
      </x:c>
      <x:c r="M23" s="7" t="n">
        <x:f>IF(G23&gt;=8,3,IF(G23&gt;=3,2,1))</x:f>
        <x:v>1</x:v>
      </x:c>
      <x:c r="N23" s="7" t="n">
        <x:f>IF(H23&gt;=600,3,IF(H23&gt;=200,2,1))</x:f>
        <x:v>1</x:v>
      </x:c>
      <x:c r="O23" s="1" t="str">
        <x:f>IF(AND(L23=3,M23=3),"Champions",IF(AND(L23=1,M23&gt;=2),"At risk",IF(AND(L23=3,M23=1),"New",IF(AND(L23=1,M23=1),"Hibernating",IF(AND(L23=2,M23=1),"Promising","Loyal")))))</x:f>
        <x:v>Hibernating</x:v>
      </x:c>
    </x:row>
    <x:row r="24">
      <x:c r="A24" s="1" t="str">
        <x:v>C0023</x:v>
      </x:c>
      <x:c r="B24" s="1" t="str">
        <x:v>Priya</x:v>
      </x:c>
      <x:c r="C24" s="1" t="str">
        <x:v>customer0023@example.com</x:v>
      </x:c>
      <x:c r="D24" s="1" t="str">
        <x:v>UK</x:v>
      </x:c>
      <x:c r="E24" s="5" t="d">
        <x:v>2025-12-30T00:00:00.000Z</x:v>
      </x:c>
      <x:c r="F24" s="5" t="d">
        <x:v>2026-09-27T00:00:00.000Z</x:v>
      </x:c>
      <x:c r="G24" s="1" t="n">
        <x:v>19</x:v>
      </x:c>
      <x:c r="H24" s="6" t="n">
        <x:v>1148.22</x:v>
      </x:c>
      <x:c r="I24" s="1" t="n">
        <x:v>8</x:v>
      </x:c>
      <x:c r="J24" s="1" t="str">
        <x:v>app</x:v>
      </x:c>
      <x:c r="K24" s="7" t="n">
        <x:f>DATE(2026,10,1)-F24</x:f>
        <x:v>4</x:v>
      </x:c>
      <x:c r="L24" s="7" t="n">
        <x:f>IF(K24&lt;=30,3,IF(K24&lt;=90,2,1))</x:f>
        <x:v>3</x:v>
      </x:c>
      <x:c r="M24" s="7" t="n">
        <x:f>IF(G24&gt;=8,3,IF(G24&gt;=3,2,1))</x:f>
        <x:v>3</x:v>
      </x:c>
      <x:c r="N24" s="7" t="n">
        <x:f>IF(H24&gt;=600,3,IF(H24&gt;=200,2,1))</x:f>
        <x:v>3</x:v>
      </x:c>
      <x:c r="O24" s="1" t="str">
        <x:f>IF(AND(L24=3,M24=3),"Champions",IF(AND(L24=1,M24&gt;=2),"At risk",IF(AND(L24=3,M24=1),"New",IF(AND(L24=1,M24=1),"Hibernating",IF(AND(L24=2,M24=1),"Promising","Loyal")))))</x:f>
        <x:v>Champions</x:v>
      </x:c>
    </x:row>
    <x:row r="25">
      <x:c r="A25" s="1" t="str">
        <x:v>C0024</x:v>
      </x:c>
      <x:c r="B25" s="1" t="str">
        <x:v>Leila</x:v>
      </x:c>
      <x:c r="C25" s="1" t="str">
        <x:v>customer0024@example.com</x:v>
      </x:c>
      <x:c r="D25" s="1" t="str">
        <x:v>India</x:v>
      </x:c>
      <x:c r="E25" s="5" t="d">
        <x:v>2025-01-06T00:00:00.000Z</x:v>
      </x:c>
      <x:c r="F25" s="5" t="d">
        <x:v>2026-07-16T00:00:00.000Z</x:v>
      </x:c>
      <x:c r="G25" s="1" t="n">
        <x:v>5</x:v>
      </x:c>
      <x:c r="H25" s="6" t="n">
        <x:v>302.62</x:v>
      </x:c>
      <x:c r="I25" s="1" t="n">
        <x:v>12</x:v>
      </x:c>
      <x:c r="J25" s="1" t="str">
        <x:v>store</x:v>
      </x:c>
      <x:c r="K25" s="7" t="n">
        <x:f>DATE(2026,10,1)-F25</x:f>
        <x:v>77</x:v>
      </x:c>
      <x:c r="L25" s="7" t="n">
        <x:f>IF(K25&lt;=30,3,IF(K25&lt;=90,2,1))</x:f>
        <x:v>2</x:v>
      </x:c>
      <x:c r="M25" s="7" t="n">
        <x:f>IF(G25&gt;=8,3,IF(G25&gt;=3,2,1))</x:f>
        <x:v>2</x:v>
      </x:c>
      <x:c r="N25" s="7" t="n">
        <x:f>IF(H25&gt;=600,3,IF(H25&gt;=200,2,1))</x:f>
        <x:v>2</x:v>
      </x:c>
      <x:c r="O25" s="1" t="str">
        <x:f>IF(AND(L25=3,M25=3),"Champions",IF(AND(L25=1,M25&gt;=2),"At risk",IF(AND(L25=3,M25=1),"New",IF(AND(L25=1,M25=1),"Hibernating",IF(AND(L25=2,M25=1),"Promising","Loyal")))))</x:f>
        <x:v>Loyal</x:v>
      </x:c>
    </x:row>
    <x:row r="26">
      <x:c r="A26" s="1" t="str">
        <x:v>C0025</x:v>
      </x:c>
      <x:c r="B26" s="1" t="str">
        <x:v>Chloe</x:v>
      </x:c>
      <x:c r="C26" s="1" t="str">
        <x:v>customer0025@example.com</x:v>
      </x:c>
      <x:c r="D26" s="1" t="str">
        <x:v>UK</x:v>
      </x:c>
      <x:c r="E26" s="5" t="d">
        <x:v>2025-03-29T00:00:00.000Z</x:v>
      </x:c>
      <x:c r="F26" s="5" t="d">
        <x:v>2026-09-10T00:00:00.000Z</x:v>
      </x:c>
      <x:c r="G26" s="1" t="n">
        <x:v>8</x:v>
      </x:c>
      <x:c r="H26" s="6" t="n">
        <x:v>791.81</x:v>
      </x:c>
      <x:c r="I26" s="1" t="n">
        <x:v>5</x:v>
      </x:c>
      <x:c r="J26" s="1" t="str">
        <x:v>app</x:v>
      </x:c>
      <x:c r="K26" s="7" t="n">
        <x:f>DATE(2026,10,1)-F26</x:f>
        <x:v>21</x:v>
      </x:c>
      <x:c r="L26" s="7" t="n">
        <x:f>IF(K26&lt;=30,3,IF(K26&lt;=90,2,1))</x:f>
        <x:v>3</x:v>
      </x:c>
      <x:c r="M26" s="7" t="n">
        <x:f>IF(G26&gt;=8,3,IF(G26&gt;=3,2,1))</x:f>
        <x:v>3</x:v>
      </x:c>
      <x:c r="N26" s="7" t="n">
        <x:f>IF(H26&gt;=600,3,IF(H26&gt;=200,2,1))</x:f>
        <x:v>3</x:v>
      </x:c>
      <x:c r="O26" s="1" t="str">
        <x:f>IF(AND(L26=3,M26=3),"Champions",IF(AND(L26=1,M26&gt;=2),"At risk",IF(AND(L26=3,M26=1),"New",IF(AND(L26=1,M26=1),"Hibernating",IF(AND(L26=2,M26=1),"Promising","Loyal")))))</x:f>
        <x:v>Champions</x:v>
      </x:c>
    </x:row>
    <x:row r="27">
      <x:c r="A27" s="1" t="str">
        <x:v>C0026</x:v>
      </x:c>
      <x:c r="B27" s="1" t="str">
        <x:v>Yara</x:v>
      </x:c>
      <x:c r="C27" s="1" t="str">
        <x:v>customer0026@example.com</x:v>
      </x:c>
      <x:c r="D27" s="1" t="str">
        <x:v>USA</x:v>
      </x:c>
      <x:c r="E27" s="5" t="d">
        <x:v>2024-06-03T00:00:00.000Z</x:v>
      </x:c>
      <x:c r="F27" s="5" t="d">
        <x:v>2026-02-20T00:00:00.000Z</x:v>
      </x:c>
      <x:c r="G27" s="1" t="n">
        <x:v>8</x:v>
      </x:c>
      <x:c r="H27" s="6" t="n">
        <x:v>981.91</x:v>
      </x:c>
      <x:c r="I27" s="1" t="n">
        <x:v>12</x:v>
      </x:c>
      <x:c r="J27" s="1" t="str">
        <x:v>app</x:v>
      </x:c>
      <x:c r="K27" s="7" t="n">
        <x:f>DATE(2026,10,1)-F27</x:f>
        <x:v>223</x:v>
      </x:c>
      <x:c r="L27" s="7" t="n">
        <x:f>IF(K27&lt;=30,3,IF(K27&lt;=90,2,1))</x:f>
        <x:v>1</x:v>
      </x:c>
      <x:c r="M27" s="7" t="n">
        <x:f>IF(G27&gt;=8,3,IF(G27&gt;=3,2,1))</x:f>
        <x:v>3</x:v>
      </x:c>
      <x:c r="N27" s="7" t="n">
        <x:f>IF(H27&gt;=600,3,IF(H27&gt;=200,2,1))</x:f>
        <x:v>3</x:v>
      </x:c>
      <x:c r="O27" s="1" t="str">
        <x:f>IF(AND(L27=3,M27=3),"Champions",IF(AND(L27=1,M27&gt;=2),"At risk",IF(AND(L27=3,M27=1),"New",IF(AND(L27=1,M27=1),"Hibernating",IF(AND(L27=2,M27=1),"Promising","Loyal")))))</x:f>
        <x:v>At risk</x:v>
      </x:c>
    </x:row>
    <x:row r="28">
      <x:c r="A28" s="1" t="str">
        <x:v>C0027</x:v>
      </x:c>
      <x:c r="B28" s="1" t="str">
        <x:v>Elena</x:v>
      </x:c>
      <x:c r="C28" s="1" t="str">
        <x:v>customer0027@example.com</x:v>
      </x:c>
      <x:c r="D28" s="1" t="str">
        <x:v>India</x:v>
      </x:c>
      <x:c r="E28" s="5" t="d">
        <x:v>2025-02-28T00:00:00.000Z</x:v>
      </x:c>
      <x:c r="F28" s="5" t="d">
        <x:v>2026-02-27T00:00:00.000Z</x:v>
      </x:c>
      <x:c r="G28" s="1" t="n">
        <x:v>1</x:v>
      </x:c>
      <x:c r="H28" s="6" t="n">
        <x:v>105.59</x:v>
      </x:c>
      <x:c r="I28" s="1" t="n">
        <x:v>0</x:v>
      </x:c>
      <x:c r="J28" s="1" t="str">
        <x:v>web</x:v>
      </x:c>
      <x:c r="K28" s="7" t="n">
        <x:f>DATE(2026,10,1)-F28</x:f>
        <x:v>216</x:v>
      </x:c>
      <x:c r="L28" s="7" t="n">
        <x:f>IF(K28&lt;=30,3,IF(K28&lt;=90,2,1))</x:f>
        <x:v>1</x:v>
      </x:c>
      <x:c r="M28" s="7" t="n">
        <x:f>IF(G28&gt;=8,3,IF(G28&gt;=3,2,1))</x:f>
        <x:v>1</x:v>
      </x:c>
      <x:c r="N28" s="7" t="n">
        <x:f>IF(H28&gt;=600,3,IF(H28&gt;=200,2,1))</x:f>
        <x:v>1</x:v>
      </x:c>
      <x:c r="O28" s="1" t="str">
        <x:f>IF(AND(L28=3,M28=3),"Champions",IF(AND(L28=1,M28&gt;=2),"At risk",IF(AND(L28=3,M28=1),"New",IF(AND(L28=1,M28=1),"Hibernating",IF(AND(L28=2,M28=1),"Promising","Loyal")))))</x:f>
        <x:v>Hibernating</x:v>
      </x:c>
    </x:row>
    <x:row r="29">
      <x:c r="A29" s="1" t="str">
        <x:v>C0028</x:v>
      </x:c>
      <x:c r="B29" s="1" t="str">
        <x:v>Yara</x:v>
      </x:c>
      <x:c r="C29" s="1" t="str">
        <x:v>customer0028@example.com</x:v>
      </x:c>
      <x:c r="D29" s="1" t="str">
        <x:v>Brazil</x:v>
      </x:c>
      <x:c r="E29" s="5" t="d">
        <x:v>2025-02-07T00:00:00.000Z</x:v>
      </x:c>
      <x:c r="F29" s="5" t="d">
        <x:v>2026-05-10T00:00:00.000Z</x:v>
      </x:c>
      <x:c r="G29" s="1" t="n">
        <x:v>12</x:v>
      </x:c>
      <x:c r="H29" s="6" t="n">
        <x:v>1349.99</x:v>
      </x:c>
      <x:c r="I29" s="1" t="n">
        <x:v>5</x:v>
      </x:c>
      <x:c r="J29" s="1" t="str">
        <x:v>app</x:v>
      </x:c>
      <x:c r="K29" s="7" t="n">
        <x:f>DATE(2026,10,1)-F29</x:f>
        <x:v>144</x:v>
      </x:c>
      <x:c r="L29" s="7" t="n">
        <x:f>IF(K29&lt;=30,3,IF(K29&lt;=90,2,1))</x:f>
        <x:v>1</x:v>
      </x:c>
      <x:c r="M29" s="7" t="n">
        <x:f>IF(G29&gt;=8,3,IF(G29&gt;=3,2,1))</x:f>
        <x:v>3</x:v>
      </x:c>
      <x:c r="N29" s="7" t="n">
        <x:f>IF(H29&gt;=600,3,IF(H29&gt;=200,2,1))</x:f>
        <x:v>3</x:v>
      </x:c>
      <x:c r="O29" s="1" t="str">
        <x:f>IF(AND(L29=3,M29=3),"Champions",IF(AND(L29=1,M29&gt;=2),"At risk",IF(AND(L29=3,M29=1),"New",IF(AND(L29=1,M29=1),"Hibernating",IF(AND(L29=2,M29=1),"Promising","Loyal")))))</x:f>
        <x:v>At risk</x:v>
      </x:c>
    </x:row>
    <x:row r="30">
      <x:c r="A30" s="1" t="str">
        <x:v>C0029</x:v>
      </x:c>
      <x:c r="B30" s="1" t="str">
        <x:v>Priya</x:v>
      </x:c>
      <x:c r="C30" s="1" t="str">
        <x:v>customer0029@example.com</x:v>
      </x:c>
      <x:c r="D30" s="1" t="str">
        <x:v>Nigeria</x:v>
      </x:c>
      <x:c r="E30" s="5" t="d">
        <x:v>2026-01-26T00:00:00.000Z</x:v>
      </x:c>
      <x:c r="F30" s="5" t="d">
        <x:v>2026-08-23T00:00:00.000Z</x:v>
      </x:c>
      <x:c r="G30" s="1" t="n">
        <x:v>6</x:v>
      </x:c>
      <x:c r="H30" s="6" t="n">
        <x:v>337.69</x:v>
      </x:c>
      <x:c r="I30" s="1" t="n">
        <x:v>9</x:v>
      </x:c>
      <x:c r="J30" s="1" t="str">
        <x:v>app</x:v>
      </x:c>
      <x:c r="K30" s="7" t="n">
        <x:f>DATE(2026,10,1)-F30</x:f>
        <x:v>39</x:v>
      </x:c>
      <x:c r="L30" s="7" t="n">
        <x:f>IF(K30&lt;=30,3,IF(K30&lt;=90,2,1))</x:f>
        <x:v>2</x:v>
      </x:c>
      <x:c r="M30" s="7" t="n">
        <x:f>IF(G30&gt;=8,3,IF(G30&gt;=3,2,1))</x:f>
        <x:v>2</x:v>
      </x:c>
      <x:c r="N30" s="7" t="n">
        <x:f>IF(H30&gt;=600,3,IF(H30&gt;=200,2,1))</x:f>
        <x:v>2</x:v>
      </x:c>
      <x:c r="O30" s="1" t="str">
        <x:f>IF(AND(L30=3,M30=3),"Champions",IF(AND(L30=1,M30&gt;=2),"At risk",IF(AND(L30=3,M30=1),"New",IF(AND(L30=1,M30=1),"Hibernating",IF(AND(L30=2,M30=1),"Promising","Loyal")))))</x:f>
        <x:v>Loyal</x:v>
      </x:c>
    </x:row>
    <x:row r="31">
      <x:c r="A31" s="1" t="str">
        <x:v>C0030</x:v>
      </x:c>
      <x:c r="B31" s="1" t="str">
        <x:v>Leila</x:v>
      </x:c>
      <x:c r="C31" s="1" t="str">
        <x:v>customer0030@example.com</x:v>
      </x:c>
      <x:c r="D31" s="1" t="str">
        <x:v>UAE</x:v>
      </x:c>
      <x:c r="E31" s="5" t="d">
        <x:v>2025-11-30T00:00:00.000Z</x:v>
      </x:c>
      <x:c r="F31" s="5" t="d">
        <x:v>2026-04-01T00:00:00.000Z</x:v>
      </x:c>
      <x:c r="G31" s="1" t="n">
        <x:v>4</x:v>
      </x:c>
      <x:c r="H31" s="6" t="n">
        <x:v>1209.85</x:v>
      </x:c>
      <x:c r="I31" s="1" t="n">
        <x:v>12</x:v>
      </x:c>
      <x:c r="J31" s="1" t="str">
        <x:v>store</x:v>
      </x:c>
      <x:c r="K31" s="7" t="n">
        <x:f>DATE(2026,10,1)-F31</x:f>
        <x:v>183</x:v>
      </x:c>
      <x:c r="L31" s="7" t="n">
        <x:f>IF(K31&lt;=30,3,IF(K31&lt;=90,2,1))</x:f>
        <x:v>1</x:v>
      </x:c>
      <x:c r="M31" s="7" t="n">
        <x:f>IF(G31&gt;=8,3,IF(G31&gt;=3,2,1))</x:f>
        <x:v>2</x:v>
      </x:c>
      <x:c r="N31" s="7" t="n">
        <x:f>IF(H31&gt;=600,3,IF(H31&gt;=200,2,1))</x:f>
        <x:v>3</x:v>
      </x:c>
      <x:c r="O31" s="1" t="str">
        <x:f>IF(AND(L31=3,M31=3),"Champions",IF(AND(L31=1,M31&gt;=2),"At risk",IF(AND(L31=3,M31=1),"New",IF(AND(L31=1,M31=1),"Hibernating",IF(AND(L31=2,M31=1),"Promising","Loyal")))))</x:f>
        <x:v>At risk</x:v>
      </x:c>
    </x:row>
    <x:row r="32">
      <x:c r="A32" s="1" t="str">
        <x:v>C0031</x:v>
      </x:c>
      <x:c r="B32" s="1" t="str">
        <x:v>Ravi</x:v>
      </x:c>
      <x:c r="C32" s="1" t="str">
        <x:v>customer0031@example.com</x:v>
      </x:c>
      <x:c r="D32" s="1" t="str">
        <x:v>Singapore</x:v>
      </x:c>
      <x:c r="E32" s="5" t="d">
        <x:v>2024-01-10T00:00:00.000Z</x:v>
      </x:c>
      <x:c r="F32" s="5" t="d">
        <x:v>2025-10-22T00:00:00.000Z</x:v>
      </x:c>
      <x:c r="G32" s="1" t="n">
        <x:v>1</x:v>
      </x:c>
      <x:c r="H32" s="6" t="n">
        <x:v>90.94</x:v>
      </x:c>
      <x:c r="I32" s="1" t="n">
        <x:v>12</x:v>
      </x:c>
      <x:c r="J32" s="1" t="str">
        <x:v>store</x:v>
      </x:c>
      <x:c r="K32" s="7" t="n">
        <x:f>DATE(2026,10,1)-F32</x:f>
        <x:v>344</x:v>
      </x:c>
      <x:c r="L32" s="7" t="n">
        <x:f>IF(K32&lt;=30,3,IF(K32&lt;=90,2,1))</x:f>
        <x:v>1</x:v>
      </x:c>
      <x:c r="M32" s="7" t="n">
        <x:f>IF(G32&gt;=8,3,IF(G32&gt;=3,2,1))</x:f>
        <x:v>1</x:v>
      </x:c>
      <x:c r="N32" s="7" t="n">
        <x:f>IF(H32&gt;=600,3,IF(H32&gt;=200,2,1))</x:f>
        <x:v>1</x:v>
      </x:c>
      <x:c r="O32" s="1" t="str">
        <x:f>IF(AND(L32=3,M32=3),"Champions",IF(AND(L32=1,M32&gt;=2),"At risk",IF(AND(L32=3,M32=1),"New",IF(AND(L32=1,M32=1),"Hibernating",IF(AND(L32=2,M32=1),"Promising","Loyal")))))</x:f>
        <x:v>Hibernating</x:v>
      </x:c>
    </x:row>
    <x:row r="33">
      <x:c r="A33" s="1" t="str">
        <x:v>C0032</x:v>
      </x:c>
      <x:c r="B33" s="1" t="str">
        <x:v>Kenji</x:v>
      </x:c>
      <x:c r="C33" s="1" t="str">
        <x:v>customer0032@example.com</x:v>
      </x:c>
      <x:c r="D33" s="1" t="str">
        <x:v>India</x:v>
      </x:c>
      <x:c r="E33" s="5" t="d">
        <x:v>2025-09-25T00:00:00.000Z</x:v>
      </x:c>
      <x:c r="F33" s="5" t="d">
        <x:v>2026-03-18T00:00:00.000Z</x:v>
      </x:c>
      <x:c r="G33" s="1" t="n">
        <x:v>4</x:v>
      </x:c>
      <x:c r="H33" s="6" t="n">
        <x:v>1083.52</x:v>
      </x:c>
      <x:c r="I33" s="1" t="n">
        <x:v>2</x:v>
      </x:c>
      <x:c r="J33" s="1" t="str">
        <x:v>store</x:v>
      </x:c>
      <x:c r="K33" s="7" t="n">
        <x:f>DATE(2026,10,1)-F33</x:f>
        <x:v>197</x:v>
      </x:c>
      <x:c r="L33" s="7" t="n">
        <x:f>IF(K33&lt;=30,3,IF(K33&lt;=90,2,1))</x:f>
        <x:v>1</x:v>
      </x:c>
      <x:c r="M33" s="7" t="n">
        <x:f>IF(G33&gt;=8,3,IF(G33&gt;=3,2,1))</x:f>
        <x:v>2</x:v>
      </x:c>
      <x:c r="N33" s="7" t="n">
        <x:f>IF(H33&gt;=600,3,IF(H33&gt;=200,2,1))</x:f>
        <x:v>3</x:v>
      </x:c>
      <x:c r="O33" s="1" t="str">
        <x:f>IF(AND(L33=3,M33=3),"Champions",IF(AND(L33=1,M33&gt;=2),"At risk",IF(AND(L33=3,M33=1),"New",IF(AND(L33=1,M33=1),"Hibernating",IF(AND(L33=2,M33=1),"Promising","Loyal")))))</x:f>
        <x:v>At risk</x:v>
      </x:c>
    </x:row>
    <x:row r="34">
      <x:c r="A34" s="1" t="str">
        <x:v>C0033</x:v>
      </x:c>
      <x:c r="B34" s="1" t="str">
        <x:v>Kenji</x:v>
      </x:c>
      <x:c r="C34" s="1" t="str">
        <x:v>customer0033@example.com</x:v>
      </x:c>
      <x:c r="D34" s="1" t="str">
        <x:v>Japan</x:v>
      </x:c>
      <x:c r="E34" s="5" t="d">
        <x:v>2025-04-17T00:00:00.000Z</x:v>
      </x:c>
      <x:c r="F34" s="5" t="d">
        <x:v>2026-04-10T00:00:00.000Z</x:v>
      </x:c>
      <x:c r="G34" s="1" t="n">
        <x:v>2</x:v>
      </x:c>
      <x:c r="H34" s="6" t="n">
        <x:v>130.02</x:v>
      </x:c>
      <x:c r="I34" s="1" t="n">
        <x:v>8</x:v>
      </x:c>
      <x:c r="J34" s="1" t="str">
        <x:v>app</x:v>
      </x:c>
      <x:c r="K34" s="7" t="n">
        <x:f>DATE(2026,10,1)-F34</x:f>
        <x:v>174</x:v>
      </x:c>
      <x:c r="L34" s="7" t="n">
        <x:f>IF(K34&lt;=30,3,IF(K34&lt;=90,2,1))</x:f>
        <x:v>1</x:v>
      </x:c>
      <x:c r="M34" s="7" t="n">
        <x:f>IF(G34&gt;=8,3,IF(G34&gt;=3,2,1))</x:f>
        <x:v>1</x:v>
      </x:c>
      <x:c r="N34" s="7" t="n">
        <x:f>IF(H34&gt;=600,3,IF(H34&gt;=200,2,1))</x:f>
        <x:v>1</x:v>
      </x:c>
      <x:c r="O34" s="1" t="str">
        <x:f>IF(AND(L34=3,M34=3),"Champions",IF(AND(L34=1,M34&gt;=2),"At risk",IF(AND(L34=3,M34=1),"New",IF(AND(L34=1,M34=1),"Hibernating",IF(AND(L34=2,M34=1),"Promising","Loyal")))))</x:f>
        <x:v>Hibernating</x:v>
      </x:c>
    </x:row>
    <x:row r="35">
      <x:c r="A35" s="1" t="str">
        <x:v>C0034</x:v>
      </x:c>
      <x:c r="B35" s="1" t="str">
        <x:v>Elena</x:v>
      </x:c>
      <x:c r="C35" s="1" t="str">
        <x:v>customer0034@example.com</x:v>
      </x:c>
      <x:c r="D35" s="1" t="str">
        <x:v>UK</x:v>
      </x:c>
      <x:c r="E35" s="5" t="d">
        <x:v>2025-03-15T00:00:00.000Z</x:v>
      </x:c>
      <x:c r="F35" s="5" t="d">
        <x:v>2026-09-05T00:00:00.000Z</x:v>
      </x:c>
      <x:c r="G35" s="1" t="n">
        <x:v>19</x:v>
      </x:c>
      <x:c r="H35" s="6" t="n">
        <x:v>1639.48</x:v>
      </x:c>
      <x:c r="I35" s="1" t="n">
        <x:v>6</x:v>
      </x:c>
      <x:c r="J35" s="1" t="str">
        <x:v>app</x:v>
      </x:c>
      <x:c r="K35" s="7" t="n">
        <x:f>DATE(2026,10,1)-F35</x:f>
        <x:v>26</x:v>
      </x:c>
      <x:c r="L35" s="7" t="n">
        <x:f>IF(K35&lt;=30,3,IF(K35&lt;=90,2,1))</x:f>
        <x:v>3</x:v>
      </x:c>
      <x:c r="M35" s="7" t="n">
        <x:f>IF(G35&gt;=8,3,IF(G35&gt;=3,2,1))</x:f>
        <x:v>3</x:v>
      </x:c>
      <x:c r="N35" s="7" t="n">
        <x:f>IF(H35&gt;=600,3,IF(H35&gt;=200,2,1))</x:f>
        <x:v>3</x:v>
      </x:c>
      <x:c r="O35" s="1" t="str">
        <x:f>IF(AND(L35=3,M35=3),"Champions",IF(AND(L35=1,M35&gt;=2),"At risk",IF(AND(L35=3,M35=1),"New",IF(AND(L35=1,M35=1),"Hibernating",IF(AND(L35=2,M35=1),"Promising","Loyal")))))</x:f>
        <x:v>Champions</x:v>
      </x:c>
    </x:row>
    <x:row r="36">
      <x:c r="A36" s="1" t="str">
        <x:v>C0035</x:v>
      </x:c>
      <x:c r="B36" s="1" t="str">
        <x:v>Ethan</x:v>
      </x:c>
      <x:c r="C36" s="1" t="str">
        <x:v>customer0035@example.com</x:v>
      </x:c>
      <x:c r="D36" s="1" t="str">
        <x:v>USA</x:v>
      </x:c>
      <x:c r="E36" s="5" t="d">
        <x:v>2025-05-12T00:00:00.000Z</x:v>
      </x:c>
      <x:c r="F36" s="5" t="d">
        <x:v>2026-03-07T00:00:00.000Z</x:v>
      </x:c>
      <x:c r="G36" s="1" t="n">
        <x:v>1</x:v>
      </x:c>
      <x:c r="H36" s="6" t="n">
        <x:v>59.07</x:v>
      </x:c>
      <x:c r="I36" s="1" t="n">
        <x:v>12</x:v>
      </x:c>
      <x:c r="J36" s="1" t="str">
        <x:v>store</x:v>
      </x:c>
      <x:c r="K36" s="7" t="n">
        <x:f>DATE(2026,10,1)-F36</x:f>
        <x:v>208</x:v>
      </x:c>
      <x:c r="L36" s="7" t="n">
        <x:f>IF(K36&lt;=30,3,IF(K36&lt;=90,2,1))</x:f>
        <x:v>1</x:v>
      </x:c>
      <x:c r="M36" s="7" t="n">
        <x:f>IF(G36&gt;=8,3,IF(G36&gt;=3,2,1))</x:f>
        <x:v>1</x:v>
      </x:c>
      <x:c r="N36" s="7" t="n">
        <x:f>IF(H36&gt;=600,3,IF(H36&gt;=200,2,1))</x:f>
        <x:v>1</x:v>
      </x:c>
      <x:c r="O36" s="1" t="str">
        <x:f>IF(AND(L36=3,M36=3),"Champions",IF(AND(L36=1,M36&gt;=2),"At risk",IF(AND(L36=3,M36=1),"New",IF(AND(L36=1,M36=1),"Hibernating",IF(AND(L36=2,M36=1),"Promising","Loyal")))))</x:f>
        <x:v>Hibernating</x:v>
      </x:c>
    </x:row>
    <x:row r="37">
      <x:c r="A37" s="1" t="str">
        <x:v>C0036</x:v>
      </x:c>
      <x:c r="B37" s="1" t="str">
        <x:v>Leila</x:v>
      </x:c>
      <x:c r="C37" s="1" t="str">
        <x:v>customer0036@example.com</x:v>
      </x:c>
      <x:c r="D37" s="1" t="str">
        <x:v>Brazil</x:v>
      </x:c>
      <x:c r="E37" s="5" t="d">
        <x:v>2026-05-13T00:00:00.000Z</x:v>
      </x:c>
      <x:c r="F37" s="5" t="d">
        <x:v>2026-07-14T00:00:00.000Z</x:v>
      </x:c>
      <x:c r="G37" s="1" t="n">
        <x:v>6</x:v>
      </x:c>
      <x:c r="H37" s="6" t="n">
        <x:v>783.94</x:v>
      </x:c>
      <x:c r="I37" s="1" t="n">
        <x:v>7</x:v>
      </x:c>
      <x:c r="J37" s="1" t="str">
        <x:v>store</x:v>
      </x:c>
      <x:c r="K37" s="7" t="n">
        <x:f>DATE(2026,10,1)-F37</x:f>
        <x:v>79</x:v>
      </x:c>
      <x:c r="L37" s="7" t="n">
        <x:f>IF(K37&lt;=30,3,IF(K37&lt;=90,2,1))</x:f>
        <x:v>2</x:v>
      </x:c>
      <x:c r="M37" s="7" t="n">
        <x:f>IF(G37&gt;=8,3,IF(G37&gt;=3,2,1))</x:f>
        <x:v>2</x:v>
      </x:c>
      <x:c r="N37" s="7" t="n">
        <x:f>IF(H37&gt;=600,3,IF(H37&gt;=200,2,1))</x:f>
        <x:v>3</x:v>
      </x:c>
      <x:c r="O37" s="1" t="str">
        <x:f>IF(AND(L37=3,M37=3),"Champions",IF(AND(L37=1,M37&gt;=2),"At risk",IF(AND(L37=3,M37=1),"New",IF(AND(L37=1,M37=1),"Hibernating",IF(AND(L37=2,M37=1),"Promising","Loyal")))))</x:f>
        <x:v>Loyal</x:v>
      </x:c>
    </x:row>
    <x:row r="38">
      <x:c r="A38" s="1" t="str">
        <x:v>C0037</x:v>
      </x:c>
      <x:c r="B38" s="1" t="str">
        <x:v>Kenji</x:v>
      </x:c>
      <x:c r="C38" s="1" t="str">
        <x:v>customer0037@example.com</x:v>
      </x:c>
      <x:c r="D38" s="1" t="str">
        <x:v>Japan</x:v>
      </x:c>
      <x:c r="E38" s="5" t="d">
        <x:v>2026-08-01T00:00:00.000Z</x:v>
      </x:c>
      <x:c r="F38" s="5" t="d">
        <x:v>2026-09-02T00:00:00.000Z</x:v>
      </x:c>
      <x:c r="G38" s="1" t="n">
        <x:v>2</x:v>
      </x:c>
      <x:c r="H38" s="6" t="n">
        <x:v>152.34</x:v>
      </x:c>
      <x:c r="I38" s="1" t="n">
        <x:v>2</x:v>
      </x:c>
      <x:c r="J38" s="1" t="str">
        <x:v>store</x:v>
      </x:c>
      <x:c r="K38" s="7" t="n">
        <x:f>DATE(2026,10,1)-F38</x:f>
        <x:v>29</x:v>
      </x:c>
      <x:c r="L38" s="7" t="n">
        <x:f>IF(K38&lt;=30,3,IF(K38&lt;=90,2,1))</x:f>
        <x:v>3</x:v>
      </x:c>
      <x:c r="M38" s="7" t="n">
        <x:f>IF(G38&gt;=8,3,IF(G38&gt;=3,2,1))</x:f>
        <x:v>1</x:v>
      </x:c>
      <x:c r="N38" s="7" t="n">
        <x:f>IF(H38&gt;=600,3,IF(H38&gt;=200,2,1))</x:f>
        <x:v>1</x:v>
      </x:c>
      <x:c r="O38" s="1" t="str">
        <x:f>IF(AND(L38=3,M38=3),"Champions",IF(AND(L38=1,M38&gt;=2),"At risk",IF(AND(L38=3,M38=1),"New",IF(AND(L38=1,M38=1),"Hibernating",IF(AND(L38=2,M38=1),"Promising","Loyal")))))</x:f>
        <x:v>New</x:v>
      </x:c>
    </x:row>
    <x:row r="39">
      <x:c r="A39" s="1" t="str">
        <x:v>C0038</x:v>
      </x:c>
      <x:c r="B39" s="1" t="str">
        <x:v>Amara</x:v>
      </x:c>
      <x:c r="C39" s="1" t="str">
        <x:v>customer0038@example.com</x:v>
      </x:c>
      <x:c r="D39" s="1" t="str">
        <x:v>UK</x:v>
      </x:c>
      <x:c r="E39" s="5" t="d">
        <x:v>2025-10-06T00:00:00.000Z</x:v>
      </x:c>
      <x:c r="F39" s="5" t="d">
        <x:v>2026-03-08T00:00:00.000Z</x:v>
      </x:c>
      <x:c r="G39" s="1" t="n">
        <x:v>5</x:v>
      </x:c>
      <x:c r="H39" s="6" t="n">
        <x:v>949.84</x:v>
      </x:c>
      <x:c r="I39" s="1" t="n">
        <x:v>7</x:v>
      </x:c>
      <x:c r="J39" s="1" t="str">
        <x:v>store</x:v>
      </x:c>
      <x:c r="K39" s="7" t="n">
        <x:f>DATE(2026,10,1)-F39</x:f>
        <x:v>207</x:v>
      </x:c>
      <x:c r="L39" s="7" t="n">
        <x:f>IF(K39&lt;=30,3,IF(K39&lt;=90,2,1))</x:f>
        <x:v>1</x:v>
      </x:c>
      <x:c r="M39" s="7" t="n">
        <x:f>IF(G39&gt;=8,3,IF(G39&gt;=3,2,1))</x:f>
        <x:v>2</x:v>
      </x:c>
      <x:c r="N39" s="7" t="n">
        <x:f>IF(H39&gt;=600,3,IF(H39&gt;=200,2,1))</x:f>
        <x:v>3</x:v>
      </x:c>
      <x:c r="O39" s="1" t="str">
        <x:f>IF(AND(L39=3,M39=3),"Champions",IF(AND(L39=1,M39&gt;=2),"At risk",IF(AND(L39=3,M39=1),"New",IF(AND(L39=1,M39=1),"Hibernating",IF(AND(L39=2,M39=1),"Promising","Loyal")))))</x:f>
        <x:v>At risk</x:v>
      </x:c>
    </x:row>
    <x:row r="40">
      <x:c r="A40" s="1" t="str">
        <x:v>C0039</x:v>
      </x:c>
      <x:c r="B40" s="1" t="str">
        <x:v>Ethan</x:v>
      </x:c>
      <x:c r="C40" s="1" t="str">
        <x:v>customer0039@example.com</x:v>
      </x:c>
      <x:c r="D40" s="1" t="str">
        <x:v>Japan</x:v>
      </x:c>
      <x:c r="E40" s="5" t="d">
        <x:v>2026-08-11T00:00:00.000Z</x:v>
      </x:c>
      <x:c r="F40" s="5" t="d">
        <x:v>2026-09-13T00:00:00.000Z</x:v>
      </x:c>
      <x:c r="G40" s="1" t="n">
        <x:v>1</x:v>
      </x:c>
      <x:c r="H40" s="6" t="n">
        <x:v>72.16</x:v>
      </x:c>
      <x:c r="I40" s="1" t="n">
        <x:v>7</x:v>
      </x:c>
      <x:c r="J40" s="1" t="str">
        <x:v>app</x:v>
      </x:c>
      <x:c r="K40" s="7" t="n">
        <x:f>DATE(2026,10,1)-F40</x:f>
        <x:v>18</x:v>
      </x:c>
      <x:c r="L40" s="7" t="n">
        <x:f>IF(K40&lt;=30,3,IF(K40&lt;=90,2,1))</x:f>
        <x:v>3</x:v>
      </x:c>
      <x:c r="M40" s="7" t="n">
        <x:f>IF(G40&gt;=8,3,IF(G40&gt;=3,2,1))</x:f>
        <x:v>1</x:v>
      </x:c>
      <x:c r="N40" s="7" t="n">
        <x:f>IF(H40&gt;=600,3,IF(H40&gt;=200,2,1))</x:f>
        <x:v>1</x:v>
      </x:c>
      <x:c r="O40" s="1" t="str">
        <x:f>IF(AND(L40=3,M40=3),"Champions",IF(AND(L40=1,M40&gt;=2),"At risk",IF(AND(L40=3,M40=1),"New",IF(AND(L40=1,M40=1),"Hibernating",IF(AND(L40=2,M40=1),"Promising","Loyal")))))</x:f>
        <x:v>New</x:v>
      </x:c>
    </x:row>
    <x:row r="41">
      <x:c r="A41" s="1" t="str">
        <x:v>C0040</x:v>
      </x:c>
      <x:c r="B41" s="1" t="str">
        <x:v>Kai</x:v>
      </x:c>
      <x:c r="C41" s="1" t="str">
        <x:v>customer0040@example.com</x:v>
      </x:c>
      <x:c r="D41" s="1" t="str">
        <x:v>Singapore</x:v>
      </x:c>
      <x:c r="E41" s="5" t="d">
        <x:v>2026-04-12T00:00:00.000Z</x:v>
      </x:c>
      <x:c r="F41" s="5" t="d">
        <x:v>2026-05-25T00:00:00.000Z</x:v>
      </x:c>
      <x:c r="G41" s="1" t="n">
        <x:v>1</x:v>
      </x:c>
      <x:c r="H41" s="6" t="n">
        <x:v>48.48</x:v>
      </x:c>
      <x:c r="I41" s="1" t="n">
        <x:v>8</x:v>
      </x:c>
      <x:c r="J41" s="1" t="str">
        <x:v>web</x:v>
      </x:c>
      <x:c r="K41" s="7" t="n">
        <x:f>DATE(2026,10,1)-F41</x:f>
        <x:v>129</x:v>
      </x:c>
      <x:c r="L41" s="7" t="n">
        <x:f>IF(K41&lt;=30,3,IF(K41&lt;=90,2,1))</x:f>
        <x:v>1</x:v>
      </x:c>
      <x:c r="M41" s="7" t="n">
        <x:f>IF(G41&gt;=8,3,IF(G41&gt;=3,2,1))</x:f>
        <x:v>1</x:v>
      </x:c>
      <x:c r="N41" s="7" t="n">
        <x:f>IF(H41&gt;=600,3,IF(H41&gt;=200,2,1))</x:f>
        <x:v>1</x:v>
      </x:c>
      <x:c r="O41" s="1" t="str">
        <x:f>IF(AND(L41=3,M41=3),"Champions",IF(AND(L41=1,M41&gt;=2),"At risk",IF(AND(L41=3,M41=1),"New",IF(AND(L41=1,M41=1),"Hibernating",IF(AND(L41=2,M41=1),"Promising","Loyal")))))</x:f>
        <x:v>Hibernating</x:v>
      </x:c>
    </x:row>
    <x:row r="42">
      <x:c r="A42" s="1" t="str">
        <x:v>C0041</x:v>
      </x:c>
      <x:c r="B42" s="1" t="str">
        <x:v>Aisha</x:v>
      </x:c>
      <x:c r="C42" s="1" t="str">
        <x:v>customer0041@example.com</x:v>
      </x:c>
      <x:c r="D42" s="1" t="str">
        <x:v>Japan</x:v>
      </x:c>
      <x:c r="E42" s="5" t="d">
        <x:v>2025-01-11T00:00:00.000Z</x:v>
      </x:c>
      <x:c r="F42" s="5" t="d">
        <x:v>2026-06-12T00:00:00.000Z</x:v>
      </x:c>
      <x:c r="G42" s="1" t="n">
        <x:v>10</x:v>
      </x:c>
      <x:c r="H42" s="6" t="n">
        <x:v>624.46</x:v>
      </x:c>
      <x:c r="I42" s="1" t="n">
        <x:v>3</x:v>
      </x:c>
      <x:c r="J42" s="1" t="str">
        <x:v>store</x:v>
      </x:c>
      <x:c r="K42" s="7" t="n">
        <x:f>DATE(2026,10,1)-F42</x:f>
        <x:v>111</x:v>
      </x:c>
      <x:c r="L42" s="7" t="n">
        <x:f>IF(K42&lt;=30,3,IF(K42&lt;=90,2,1))</x:f>
        <x:v>1</x:v>
      </x:c>
      <x:c r="M42" s="7" t="n">
        <x:f>IF(G42&gt;=8,3,IF(G42&gt;=3,2,1))</x:f>
        <x:v>3</x:v>
      </x:c>
      <x:c r="N42" s="7" t="n">
        <x:f>IF(H42&gt;=600,3,IF(H42&gt;=200,2,1))</x:f>
        <x:v>3</x:v>
      </x:c>
      <x:c r="O42" s="1" t="str">
        <x:f>IF(AND(L42=3,M42=3),"Champions",IF(AND(L42=1,M42&gt;=2),"At risk",IF(AND(L42=3,M42=1),"New",IF(AND(L42=1,M42=1),"Hibernating",IF(AND(L42=2,M42=1),"Promising","Loyal")))))</x:f>
        <x:v>At risk</x:v>
      </x:c>
    </x:row>
    <x:row r="43">
      <x:c r="A43" s="1" t="str">
        <x:v>C0042</x:v>
      </x:c>
      <x:c r="B43" s="1" t="str">
        <x:v>Zara</x:v>
      </x:c>
      <x:c r="C43" s="1" t="str">
        <x:v>customer0042@example.com</x:v>
      </x:c>
      <x:c r="D43" s="1" t="str">
        <x:v>Japan</x:v>
      </x:c>
      <x:c r="E43" s="5" t="d">
        <x:v>2025-02-14T00:00:00.000Z</x:v>
      </x:c>
      <x:c r="F43" s="5" t="d">
        <x:v>2026-07-18T00:00:00.000Z</x:v>
      </x:c>
      <x:c r="G43" s="1" t="n">
        <x:v>7</x:v>
      </x:c>
      <x:c r="H43" s="6" t="n">
        <x:v>765.15</x:v>
      </x:c>
      <x:c r="I43" s="1" t="n">
        <x:v>4</x:v>
      </x:c>
      <x:c r="J43" s="1" t="str">
        <x:v>store</x:v>
      </x:c>
      <x:c r="K43" s="7" t="n">
        <x:f>DATE(2026,10,1)-F43</x:f>
        <x:v>75</x:v>
      </x:c>
      <x:c r="L43" s="7" t="n">
        <x:f>IF(K43&lt;=30,3,IF(K43&lt;=90,2,1))</x:f>
        <x:v>2</x:v>
      </x:c>
      <x:c r="M43" s="7" t="n">
        <x:f>IF(G43&gt;=8,3,IF(G43&gt;=3,2,1))</x:f>
        <x:v>2</x:v>
      </x:c>
      <x:c r="N43" s="7" t="n">
        <x:f>IF(H43&gt;=600,3,IF(H43&gt;=200,2,1))</x:f>
        <x:v>3</x:v>
      </x:c>
      <x:c r="O43" s="1" t="str">
        <x:f>IF(AND(L43=3,M43=3),"Champions",IF(AND(L43=1,M43&gt;=2),"At risk",IF(AND(L43=3,M43=1),"New",IF(AND(L43=1,M43=1),"Hibernating",IF(AND(L43=2,M43=1),"Promising","Loyal")))))</x:f>
        <x:v>Loyal</x:v>
      </x:c>
    </x:row>
    <x:row r="44">
      <x:c r="A44" s="1" t="str">
        <x:v>C0043</x:v>
      </x:c>
      <x:c r="B44" s="1" t="str">
        <x:v>Mateo</x:v>
      </x:c>
      <x:c r="C44" s="1" t="str">
        <x:v>customer0043@example.com</x:v>
      </x:c>
      <x:c r="D44" s="1" t="str">
        <x:v>Australia</x:v>
      </x:c>
      <x:c r="E44" s="5" t="d">
        <x:v>2025-11-08T00:00:00.000Z</x:v>
      </x:c>
      <x:c r="F44" s="5" t="d">
        <x:v>2026-03-12T00:00:00.000Z</x:v>
      </x:c>
      <x:c r="G44" s="1" t="n">
        <x:v>2</x:v>
      </x:c>
      <x:c r="H44" s="6" t="n">
        <x:v>39</x:v>
      </x:c>
      <x:c r="I44" s="1" t="n">
        <x:v>5</x:v>
      </x:c>
      <x:c r="J44" s="1" t="str">
        <x:v>app</x:v>
      </x:c>
      <x:c r="K44" s="7" t="n">
        <x:f>DATE(2026,10,1)-F44</x:f>
        <x:v>203</x:v>
      </x:c>
      <x:c r="L44" s="7" t="n">
        <x:f>IF(K44&lt;=30,3,IF(K44&lt;=90,2,1))</x:f>
        <x:v>1</x:v>
      </x:c>
      <x:c r="M44" s="7" t="n">
        <x:f>IF(G44&gt;=8,3,IF(G44&gt;=3,2,1))</x:f>
        <x:v>1</x:v>
      </x:c>
      <x:c r="N44" s="7" t="n">
        <x:f>IF(H44&gt;=600,3,IF(H44&gt;=200,2,1))</x:f>
        <x:v>1</x:v>
      </x:c>
      <x:c r="O44" s="1" t="str">
        <x:f>IF(AND(L44=3,M44=3),"Champions",IF(AND(L44=1,M44&gt;=2),"At risk",IF(AND(L44=3,M44=1),"New",IF(AND(L44=1,M44=1),"Hibernating",IF(AND(L44=2,M44=1),"Promising","Loyal")))))</x:f>
        <x:v>Hibernating</x:v>
      </x:c>
    </x:row>
    <x:row r="45">
      <x:c r="A45" s="1" t="str">
        <x:v>C0044</x:v>
      </x:c>
      <x:c r="B45" s="1" t="str">
        <x:v>Yara</x:v>
      </x:c>
      <x:c r="C45" s="1" t="str">
        <x:v>customer0044@example.com</x:v>
      </x:c>
      <x:c r="D45" s="1" t="str">
        <x:v>Singapore</x:v>
      </x:c>
      <x:c r="E45" s="5" t="d">
        <x:v>2026-08-29T00:00:00.000Z</x:v>
      </x:c>
      <x:c r="F45" s="5" t="d">
        <x:v>2026-09-17T00:00:00.000Z</x:v>
      </x:c>
      <x:c r="G45" s="1" t="n">
        <x:v>1</x:v>
      </x:c>
      <x:c r="H45" s="6" t="n">
        <x:v>54.03</x:v>
      </x:c>
      <x:c r="I45" s="1" t="n">
        <x:v>12</x:v>
      </x:c>
      <x:c r="J45" s="1" t="str">
        <x:v>app</x:v>
      </x:c>
      <x:c r="K45" s="7" t="n">
        <x:f>DATE(2026,10,1)-F45</x:f>
        <x:v>14</x:v>
      </x:c>
      <x:c r="L45" s="7" t="n">
        <x:f>IF(K45&lt;=30,3,IF(K45&lt;=90,2,1))</x:f>
        <x:v>3</x:v>
      </x:c>
      <x:c r="M45" s="7" t="n">
        <x:f>IF(G45&gt;=8,3,IF(G45&gt;=3,2,1))</x:f>
        <x:v>1</x:v>
      </x:c>
      <x:c r="N45" s="7" t="n">
        <x:f>IF(H45&gt;=600,3,IF(H45&gt;=200,2,1))</x:f>
        <x:v>1</x:v>
      </x:c>
      <x:c r="O45" s="1" t="str">
        <x:f>IF(AND(L45=3,M45=3),"Champions",IF(AND(L45=1,M45&gt;=2),"At risk",IF(AND(L45=3,M45=1),"New",IF(AND(L45=1,M45=1),"Hibernating",IF(AND(L45=2,M45=1),"Promising","Loyal")))))</x:f>
        <x:v>New</x:v>
      </x:c>
    </x:row>
    <x:row r="46">
      <x:c r="A46" s="1" t="str">
        <x:v>C0045</x:v>
      </x:c>
      <x:c r="B46" s="1" t="str">
        <x:v>Noah</x:v>
      </x:c>
      <x:c r="C46" s="1" t="str">
        <x:v>customer0045@example.com</x:v>
      </x:c>
      <x:c r="D46" s="1" t="str">
        <x:v>USA</x:v>
      </x:c>
      <x:c r="E46" s="5" t="d">
        <x:v>2025-07-31T00:00:00.000Z</x:v>
      </x:c>
      <x:c r="F46" s="5" t="d">
        <x:v>2025-12-18T00:00:00.000Z</x:v>
      </x:c>
      <x:c r="G46" s="1" t="n">
        <x:v>1</x:v>
      </x:c>
      <x:c r="H46" s="6" t="n">
        <x:v>59.29</x:v>
      </x:c>
      <x:c r="I46" s="1" t="n">
        <x:v>11</x:v>
      </x:c>
      <x:c r="J46" s="1" t="str">
        <x:v>app</x:v>
      </x:c>
      <x:c r="K46" s="7" t="n">
        <x:f>DATE(2026,10,1)-F46</x:f>
        <x:v>287</x:v>
      </x:c>
      <x:c r="L46" s="7" t="n">
        <x:f>IF(K46&lt;=30,3,IF(K46&lt;=90,2,1))</x:f>
        <x:v>1</x:v>
      </x:c>
      <x:c r="M46" s="7" t="n">
        <x:f>IF(G46&gt;=8,3,IF(G46&gt;=3,2,1))</x:f>
        <x:v>1</x:v>
      </x:c>
      <x:c r="N46" s="7" t="n">
        <x:f>IF(H46&gt;=600,3,IF(H46&gt;=200,2,1))</x:f>
        <x:v>1</x:v>
      </x:c>
      <x:c r="O46" s="1" t="str">
        <x:f>IF(AND(L46=3,M46=3),"Champions",IF(AND(L46=1,M46&gt;=2),"At risk",IF(AND(L46=3,M46=1),"New",IF(AND(L46=1,M46=1),"Hibernating",IF(AND(L46=2,M46=1),"Promising","Loyal")))))</x:f>
        <x:v>Hibernating</x:v>
      </x:c>
    </x:row>
    <x:row r="47">
      <x:c r="A47" s="1" t="str">
        <x:v>C0046</x:v>
      </x:c>
      <x:c r="B47" s="1" t="str">
        <x:v>Amara</x:v>
      </x:c>
      <x:c r="C47" s="1" t="str">
        <x:v>customer0046@example.com</x:v>
      </x:c>
      <x:c r="D47" s="1" t="str">
        <x:v>UAE</x:v>
      </x:c>
      <x:c r="E47" s="5" t="d">
        <x:v>2025-07-10T00:00:00.000Z</x:v>
      </x:c>
      <x:c r="F47" s="5" t="d">
        <x:v>2026-02-24T00:00:00.000Z</x:v>
      </x:c>
      <x:c r="G47" s="1" t="n">
        <x:v>5</x:v>
      </x:c>
      <x:c r="H47" s="6" t="n">
        <x:v>1388.35</x:v>
      </x:c>
      <x:c r="I47" s="1" t="n">
        <x:v>8</x:v>
      </x:c>
      <x:c r="J47" s="1" t="str">
        <x:v>web</x:v>
      </x:c>
      <x:c r="K47" s="7" t="n">
        <x:f>DATE(2026,10,1)-F47</x:f>
        <x:v>219</x:v>
      </x:c>
      <x:c r="L47" s="7" t="n">
        <x:f>IF(K47&lt;=30,3,IF(K47&lt;=90,2,1))</x:f>
        <x:v>1</x:v>
      </x:c>
      <x:c r="M47" s="7" t="n">
        <x:f>IF(G47&gt;=8,3,IF(G47&gt;=3,2,1))</x:f>
        <x:v>2</x:v>
      </x:c>
      <x:c r="N47" s="7" t="n">
        <x:f>IF(H47&gt;=600,3,IF(H47&gt;=200,2,1))</x:f>
        <x:v>3</x:v>
      </x:c>
      <x:c r="O47" s="1" t="str">
        <x:f>IF(AND(L47=3,M47=3),"Champions",IF(AND(L47=1,M47&gt;=2),"At risk",IF(AND(L47=3,M47=1),"New",IF(AND(L47=1,M47=1),"Hibernating",IF(AND(L47=2,M47=1),"Promising","Loyal")))))</x:f>
        <x:v>At risk</x:v>
      </x:c>
    </x:row>
    <x:row r="48">
      <x:c r="A48" s="1" t="str">
        <x:v>C0047</x:v>
      </x:c>
      <x:c r="B48" s="1" t="str">
        <x:v>Aarav</x:v>
      </x:c>
      <x:c r="C48" s="1" t="str">
        <x:v>customer0047@example.com</x:v>
      </x:c>
      <x:c r="D48" s="1" t="str">
        <x:v>Brazil</x:v>
      </x:c>
      <x:c r="E48" s="5" t="d">
        <x:v>2025-08-18T00:00:00.000Z</x:v>
      </x:c>
      <x:c r="F48" s="5" t="d">
        <x:v>2026-08-27T00:00:00.000Z</x:v>
      </x:c>
      <x:c r="G48" s="1" t="n">
        <x:v>5</x:v>
      </x:c>
      <x:c r="H48" s="6" t="n">
        <x:v>422.97</x:v>
      </x:c>
      <x:c r="I48" s="1" t="n">
        <x:v>8</x:v>
      </x:c>
      <x:c r="J48" s="1" t="str">
        <x:v>web</x:v>
      </x:c>
      <x:c r="K48" s="7" t="n">
        <x:f>DATE(2026,10,1)-F48</x:f>
        <x:v>35</x:v>
      </x:c>
      <x:c r="L48" s="7" t="n">
        <x:f>IF(K48&lt;=30,3,IF(K48&lt;=90,2,1))</x:f>
        <x:v>2</x:v>
      </x:c>
      <x:c r="M48" s="7" t="n">
        <x:f>IF(G48&gt;=8,3,IF(G48&gt;=3,2,1))</x:f>
        <x:v>2</x:v>
      </x:c>
      <x:c r="N48" s="7" t="n">
        <x:f>IF(H48&gt;=600,3,IF(H48&gt;=200,2,1))</x:f>
        <x:v>2</x:v>
      </x:c>
      <x:c r="O48" s="1" t="str">
        <x:f>IF(AND(L48=3,M48=3),"Champions",IF(AND(L48=1,M48&gt;=2),"At risk",IF(AND(L48=3,M48=1),"New",IF(AND(L48=1,M48=1),"Hibernating",IF(AND(L48=2,M48=1),"Promising","Loyal")))))</x:f>
        <x:v>Loyal</x:v>
      </x:c>
    </x:row>
    <x:row r="49">
      <x:c r="A49" s="1" t="str">
        <x:v>C0048</x:v>
      </x:c>
      <x:c r="B49" s="1" t="str">
        <x:v>Ines</x:v>
      </x:c>
      <x:c r="C49" s="1" t="str">
        <x:v>customer0048@example.com</x:v>
      </x:c>
      <x:c r="D49" s="1" t="str">
        <x:v>Japan</x:v>
      </x:c>
      <x:c r="E49" s="5" t="d">
        <x:v>2024-09-24T00:00:00.000Z</x:v>
      </x:c>
      <x:c r="F49" s="5" t="d">
        <x:v>2026-06-24T00:00:00.000Z</x:v>
      </x:c>
      <x:c r="G49" s="1" t="n">
        <x:v>9</x:v>
      </x:c>
      <x:c r="H49" s="6" t="n">
        <x:v>631.22</x:v>
      </x:c>
      <x:c r="I49" s="1" t="n">
        <x:v>1</x:v>
      </x:c>
      <x:c r="J49" s="1" t="str">
        <x:v>app</x:v>
      </x:c>
      <x:c r="K49" s="7" t="n">
        <x:f>DATE(2026,10,1)-F49</x:f>
        <x:v>99</x:v>
      </x:c>
      <x:c r="L49" s="7" t="n">
        <x:f>IF(K49&lt;=30,3,IF(K49&lt;=90,2,1))</x:f>
        <x:v>1</x:v>
      </x:c>
      <x:c r="M49" s="7" t="n">
        <x:f>IF(G49&gt;=8,3,IF(G49&gt;=3,2,1))</x:f>
        <x:v>3</x:v>
      </x:c>
      <x:c r="N49" s="7" t="n">
        <x:f>IF(H49&gt;=600,3,IF(H49&gt;=200,2,1))</x:f>
        <x:v>3</x:v>
      </x:c>
      <x:c r="O49" s="1" t="str">
        <x:f>IF(AND(L49=3,M49=3),"Champions",IF(AND(L49=1,M49&gt;=2),"At risk",IF(AND(L49=3,M49=1),"New",IF(AND(L49=1,M49=1),"Hibernating",IF(AND(L49=2,M49=1),"Promising","Loyal")))))</x:f>
        <x:v>At risk</x:v>
      </x:c>
    </x:row>
    <x:row r="50">
      <x:c r="A50" s="1" t="str">
        <x:v>C0049</x:v>
      </x:c>
      <x:c r="B50" s="1" t="str">
        <x:v>Maya</x:v>
      </x:c>
      <x:c r="C50" s="1" t="str">
        <x:v>customer0049@example.com</x:v>
      </x:c>
      <x:c r="D50" s="1" t="str">
        <x:v>UK</x:v>
      </x:c>
      <x:c r="E50" s="5" t="d">
        <x:v>2025-05-24T00:00:00.000Z</x:v>
      </x:c>
      <x:c r="F50" s="5" t="d">
        <x:v>2026-02-26T00:00:00.000Z</x:v>
      </x:c>
      <x:c r="G50" s="1" t="n">
        <x:v>1</x:v>
      </x:c>
      <x:c r="H50" s="6" t="n">
        <x:v>29.71</x:v>
      </x:c>
      <x:c r="I50" s="1" t="n">
        <x:v>4</x:v>
      </x:c>
      <x:c r="J50" s="1" t="str">
        <x:v>app</x:v>
      </x:c>
      <x:c r="K50" s="7" t="n">
        <x:f>DATE(2026,10,1)-F50</x:f>
        <x:v>217</x:v>
      </x:c>
      <x:c r="L50" s="7" t="n">
        <x:f>IF(K50&lt;=30,3,IF(K50&lt;=90,2,1))</x:f>
        <x:v>1</x:v>
      </x:c>
      <x:c r="M50" s="7" t="n">
        <x:f>IF(G50&gt;=8,3,IF(G50&gt;=3,2,1))</x:f>
        <x:v>1</x:v>
      </x:c>
      <x:c r="N50" s="7" t="n">
        <x:f>IF(H50&gt;=600,3,IF(H50&gt;=200,2,1))</x:f>
        <x:v>1</x:v>
      </x:c>
      <x:c r="O50" s="1" t="str">
        <x:f>IF(AND(L50=3,M50=3),"Champions",IF(AND(L50=1,M50&gt;=2),"At risk",IF(AND(L50=3,M50=1),"New",IF(AND(L50=1,M50=1),"Hibernating",IF(AND(L50=2,M50=1),"Promising","Loyal")))))</x:f>
        <x:v>Hibernating</x:v>
      </x:c>
    </x:row>
    <x:row r="51">
      <x:c r="A51" s="1" t="str">
        <x:v>C0050</x:v>
      </x:c>
      <x:c r="B51" s="1" t="str">
        <x:v>Diego</x:v>
      </x:c>
      <x:c r="C51" s="1" t="str">
        <x:v>customer0050@example.com</x:v>
      </x:c>
      <x:c r="D51" s="1" t="str">
        <x:v>Australia</x:v>
      </x:c>
      <x:c r="E51" s="5" t="d">
        <x:v>2024-09-02T00:00:00.000Z</x:v>
      </x:c>
      <x:c r="F51" s="5" t="d">
        <x:v>2026-02-11T00:00:00.000Z</x:v>
      </x:c>
      <x:c r="G51" s="1" t="n">
        <x:v>2</x:v>
      </x:c>
      <x:c r="H51" s="6" t="n">
        <x:v>41.14</x:v>
      </x:c>
      <x:c r="I51" s="1" t="n">
        <x:v>11</x:v>
      </x:c>
      <x:c r="J51" s="1" t="str">
        <x:v>web</x:v>
      </x:c>
      <x:c r="K51" s="7" t="n">
        <x:f>DATE(2026,10,1)-F51</x:f>
        <x:v>232</x:v>
      </x:c>
      <x:c r="L51" s="7" t="n">
        <x:f>IF(K51&lt;=30,3,IF(K51&lt;=90,2,1))</x:f>
        <x:v>1</x:v>
      </x:c>
      <x:c r="M51" s="7" t="n">
        <x:f>IF(G51&gt;=8,3,IF(G51&gt;=3,2,1))</x:f>
        <x:v>1</x:v>
      </x:c>
      <x:c r="N51" s="7" t="n">
        <x:f>IF(H51&gt;=600,3,IF(H51&gt;=200,2,1))</x:f>
        <x:v>1</x:v>
      </x:c>
      <x:c r="O51" s="1" t="str">
        <x:f>IF(AND(L51=3,M51=3),"Champions",IF(AND(L51=1,M51&gt;=2),"At risk",IF(AND(L51=3,M51=1),"New",IF(AND(L51=1,M51=1),"Hibernating",IF(AND(L51=2,M51=1),"Promising","Loyal")))))</x:f>
        <x:v>Hibernating</x:v>
      </x:c>
    </x:row>
    <x:row r="52">
      <x:c r="A52" s="1" t="str">
        <x:v>C0051</x:v>
      </x:c>
      <x:c r="B52" s="1" t="str">
        <x:v>Jonas</x:v>
      </x:c>
      <x:c r="C52" s="1" t="str">
        <x:v>customer0051@example.com</x:v>
      </x:c>
      <x:c r="D52" s="1" t="str">
        <x:v>Singapore</x:v>
      </x:c>
      <x:c r="E52" s="5" t="d">
        <x:v>2025-07-21T00:00:00.000Z</x:v>
      </x:c>
      <x:c r="F52" s="5" t="d">
        <x:v>2026-09-29T00:00:00.000Z</x:v>
      </x:c>
      <x:c r="G52" s="1" t="n">
        <x:v>20</x:v>
      </x:c>
      <x:c r="H52" s="6" t="n">
        <x:v>1701.13</x:v>
      </x:c>
      <x:c r="I52" s="1" t="n">
        <x:v>4</x:v>
      </x:c>
      <x:c r="J52" s="1" t="str">
        <x:v>app</x:v>
      </x:c>
      <x:c r="K52" s="7" t="n">
        <x:f>DATE(2026,10,1)-F52</x:f>
        <x:v>2</x:v>
      </x:c>
      <x:c r="L52" s="7" t="n">
        <x:f>IF(K52&lt;=30,3,IF(K52&lt;=90,2,1))</x:f>
        <x:v>3</x:v>
      </x:c>
      <x:c r="M52" s="7" t="n">
        <x:f>IF(G52&gt;=8,3,IF(G52&gt;=3,2,1))</x:f>
        <x:v>3</x:v>
      </x:c>
      <x:c r="N52" s="7" t="n">
        <x:f>IF(H52&gt;=600,3,IF(H52&gt;=200,2,1))</x:f>
        <x:v>3</x:v>
      </x:c>
      <x:c r="O52" s="1" t="str">
        <x:f>IF(AND(L52=3,M52=3),"Champions",IF(AND(L52=1,M52&gt;=2),"At risk",IF(AND(L52=3,M52=1),"New",IF(AND(L52=1,M52=1),"Hibernating",IF(AND(L52=2,M52=1),"Promising","Loyal")))))</x:f>
        <x:v>Champions</x:v>
      </x:c>
    </x:row>
    <x:row r="53">
      <x:c r="A53" s="1" t="str">
        <x:v>C0052</x:v>
      </x:c>
      <x:c r="B53" s="1" t="str">
        <x:v>Leo</x:v>
      </x:c>
      <x:c r="C53" s="1" t="str">
        <x:v>customer0052@example.com</x:v>
      </x:c>
      <x:c r="D53" s="1" t="str">
        <x:v>Germany</x:v>
      </x:c>
      <x:c r="E53" s="5" t="d">
        <x:v>2026-08-22T00:00:00.000Z</x:v>
      </x:c>
      <x:c r="F53" s="5" t="d">
        <x:v>2026-09-05T00:00:00.000Z</x:v>
      </x:c>
      <x:c r="G53" s="1" t="n">
        <x:v>2</x:v>
      </x:c>
      <x:c r="H53" s="6" t="n">
        <x:v>33.4</x:v>
      </x:c>
      <x:c r="I53" s="1" t="n">
        <x:v>1</x:v>
      </x:c>
      <x:c r="J53" s="1" t="str">
        <x:v>web</x:v>
      </x:c>
      <x:c r="K53" s="7" t="n">
        <x:f>DATE(2026,10,1)-F53</x:f>
        <x:v>26</x:v>
      </x:c>
      <x:c r="L53" s="7" t="n">
        <x:f>IF(K53&lt;=30,3,IF(K53&lt;=90,2,1))</x:f>
        <x:v>3</x:v>
      </x:c>
      <x:c r="M53" s="7" t="n">
        <x:f>IF(G53&gt;=8,3,IF(G53&gt;=3,2,1))</x:f>
        <x:v>1</x:v>
      </x:c>
      <x:c r="N53" s="7" t="n">
        <x:f>IF(H53&gt;=600,3,IF(H53&gt;=200,2,1))</x:f>
        <x:v>1</x:v>
      </x:c>
      <x:c r="O53" s="1" t="str">
        <x:f>IF(AND(L53=3,M53=3),"Champions",IF(AND(L53=1,M53&gt;=2),"At risk",IF(AND(L53=3,M53=1),"New",IF(AND(L53=1,M53=1),"Hibernating",IF(AND(L53=2,M53=1),"Promising","Loyal")))))</x:f>
        <x:v>New</x:v>
      </x:c>
    </x:row>
    <x:row r="54">
      <x:c r="A54" s="1" t="str">
        <x:v>C0053</x:v>
      </x:c>
      <x:c r="B54" s="1" t="str">
        <x:v>Aisha</x:v>
      </x:c>
      <x:c r="C54" s="1" t="str">
        <x:v>customer0053@example.com</x:v>
      </x:c>
      <x:c r="D54" s="1" t="str">
        <x:v>UK</x:v>
      </x:c>
      <x:c r="E54" s="5" t="d">
        <x:v>2025-12-13T00:00:00.000Z</x:v>
      </x:c>
      <x:c r="F54" s="5" t="d">
        <x:v>2026-09-13T00:00:00.000Z</x:v>
      </x:c>
      <x:c r="G54" s="1" t="n">
        <x:v>14</x:v>
      </x:c>
      <x:c r="H54" s="6" t="n">
        <x:v>2082.67</x:v>
      </x:c>
      <x:c r="I54" s="1" t="n">
        <x:v>0</x:v>
      </x:c>
      <x:c r="J54" s="1" t="str">
        <x:v>store</x:v>
      </x:c>
      <x:c r="K54" s="7" t="n">
        <x:f>DATE(2026,10,1)-F54</x:f>
        <x:v>18</x:v>
      </x:c>
      <x:c r="L54" s="7" t="n">
        <x:f>IF(K54&lt;=30,3,IF(K54&lt;=90,2,1))</x:f>
        <x:v>3</x:v>
      </x:c>
      <x:c r="M54" s="7" t="n">
        <x:f>IF(G54&gt;=8,3,IF(G54&gt;=3,2,1))</x:f>
        <x:v>3</x:v>
      </x:c>
      <x:c r="N54" s="7" t="n">
        <x:f>IF(H54&gt;=600,3,IF(H54&gt;=200,2,1))</x:f>
        <x:v>3</x:v>
      </x:c>
      <x:c r="O54" s="1" t="str">
        <x:f>IF(AND(L54=3,M54=3),"Champions",IF(AND(L54=1,M54&gt;=2),"At risk",IF(AND(L54=3,M54=1),"New",IF(AND(L54=1,M54=1),"Hibernating",IF(AND(L54=2,M54=1),"Promising","Loyal")))))</x:f>
        <x:v>Champions</x:v>
      </x:c>
    </x:row>
    <x:row r="55">
      <x:c r="A55" s="1" t="str">
        <x:v>C0054</x:v>
      </x:c>
      <x:c r="B55" s="1" t="str">
        <x:v>Lucas</x:v>
      </x:c>
      <x:c r="C55" s="1" t="str">
        <x:v>customer0054@example.com</x:v>
      </x:c>
      <x:c r="D55" s="1" t="str">
        <x:v>Germany</x:v>
      </x:c>
      <x:c r="E55" s="5" t="d">
        <x:v>2026-09-16T00:00:00.000Z</x:v>
      </x:c>
      <x:c r="F55" s="5" t="d">
        <x:v>2026-09-27T00:00:00.000Z</x:v>
      </x:c>
      <x:c r="G55" s="1" t="n">
        <x:v>1</x:v>
      </x:c>
      <x:c r="H55" s="6" t="n">
        <x:v>61.9</x:v>
      </x:c>
      <x:c r="I55" s="1" t="n">
        <x:v>10</x:v>
      </x:c>
      <x:c r="J55" s="1" t="str">
        <x:v>web</x:v>
      </x:c>
      <x:c r="K55" s="7" t="n">
        <x:f>DATE(2026,10,1)-F55</x:f>
        <x:v>4</x:v>
      </x:c>
      <x:c r="L55" s="7" t="n">
        <x:f>IF(K55&lt;=30,3,IF(K55&lt;=90,2,1))</x:f>
        <x:v>3</x:v>
      </x:c>
      <x:c r="M55" s="7" t="n">
        <x:f>IF(G55&gt;=8,3,IF(G55&gt;=3,2,1))</x:f>
        <x:v>1</x:v>
      </x:c>
      <x:c r="N55" s="7" t="n">
        <x:f>IF(H55&gt;=600,3,IF(H55&gt;=200,2,1))</x:f>
        <x:v>1</x:v>
      </x:c>
      <x:c r="O55" s="1" t="str">
        <x:f>IF(AND(L55=3,M55=3),"Champions",IF(AND(L55=1,M55&gt;=2),"At risk",IF(AND(L55=3,M55=1),"New",IF(AND(L55=1,M55=1),"Hibernating",IF(AND(L55=2,M55=1),"Promising","Loyal")))))</x:f>
        <x:v>New</x:v>
      </x:c>
    </x:row>
    <x:row r="56">
      <x:c r="A56" s="1" t="str">
        <x:v>C0055</x:v>
      </x:c>
      <x:c r="B56" s="1" t="str">
        <x:v>Amara</x:v>
      </x:c>
      <x:c r="C56" s="1" t="str">
        <x:v>customer0055@example.com</x:v>
      </x:c>
      <x:c r="D56" s="1" t="str">
        <x:v>Germany</x:v>
      </x:c>
      <x:c r="E56" s="5" t="d">
        <x:v>2024-06-18T00:00:00.000Z</x:v>
      </x:c>
      <x:c r="F56" s="5" t="d">
        <x:v>2026-05-07T00:00:00.000Z</x:v>
      </x:c>
      <x:c r="G56" s="1" t="n">
        <x:v>7</x:v>
      </x:c>
      <x:c r="H56" s="6" t="n">
        <x:v>762.54</x:v>
      </x:c>
      <x:c r="I56" s="1" t="n">
        <x:v>5</x:v>
      </x:c>
      <x:c r="J56" s="1" t="str">
        <x:v>app</x:v>
      </x:c>
      <x:c r="K56" s="7" t="n">
        <x:f>DATE(2026,10,1)-F56</x:f>
        <x:v>147</x:v>
      </x:c>
      <x:c r="L56" s="7" t="n">
        <x:f>IF(K56&lt;=30,3,IF(K56&lt;=90,2,1))</x:f>
        <x:v>1</x:v>
      </x:c>
      <x:c r="M56" s="7" t="n">
        <x:f>IF(G56&gt;=8,3,IF(G56&gt;=3,2,1))</x:f>
        <x:v>2</x:v>
      </x:c>
      <x:c r="N56" s="7" t="n">
        <x:f>IF(H56&gt;=600,3,IF(H56&gt;=200,2,1))</x:f>
        <x:v>3</x:v>
      </x:c>
      <x:c r="O56" s="1" t="str">
        <x:f>IF(AND(L56=3,M56=3),"Champions",IF(AND(L56=1,M56&gt;=2),"At risk",IF(AND(L56=3,M56=1),"New",IF(AND(L56=1,M56=1),"Hibernating",IF(AND(L56=2,M56=1),"Promising","Loyal")))))</x:f>
        <x:v>At risk</x:v>
      </x:c>
    </x:row>
    <x:row r="57">
      <x:c r="A57" s="1" t="str">
        <x:v>C0056</x:v>
      </x:c>
      <x:c r="B57" s="1" t="str">
        <x:v>Lina</x:v>
      </x:c>
      <x:c r="C57" s="1" t="str">
        <x:v>customer0056@example.com</x:v>
      </x:c>
      <x:c r="D57" s="1" t="str">
        <x:v>USA</x:v>
      </x:c>
      <x:c r="E57" s="5" t="d">
        <x:v>2025-01-04T00:00:00.000Z</x:v>
      </x:c>
      <x:c r="F57" s="5" t="d">
        <x:v>2026-06-05T00:00:00.000Z</x:v>
      </x:c>
      <x:c r="G57" s="1" t="n">
        <x:v>1</x:v>
      </x:c>
      <x:c r="H57" s="6" t="n">
        <x:v>18.23</x:v>
      </x:c>
      <x:c r="I57" s="1" t="n">
        <x:v>8</x:v>
      </x:c>
      <x:c r="J57" s="1" t="str">
        <x:v>web</x:v>
      </x:c>
      <x:c r="K57" s="7" t="n">
        <x:f>DATE(2026,10,1)-F57</x:f>
        <x:v>118</x:v>
      </x:c>
      <x:c r="L57" s="7" t="n">
        <x:f>IF(K57&lt;=30,3,IF(K57&lt;=90,2,1))</x:f>
        <x:v>1</x:v>
      </x:c>
      <x:c r="M57" s="7" t="n">
        <x:f>IF(G57&gt;=8,3,IF(G57&gt;=3,2,1))</x:f>
        <x:v>1</x:v>
      </x:c>
      <x:c r="N57" s="7" t="n">
        <x:f>IF(H57&gt;=600,3,IF(H57&gt;=200,2,1))</x:f>
        <x:v>1</x:v>
      </x:c>
      <x:c r="O57" s="1" t="str">
        <x:f>IF(AND(L57=3,M57=3),"Champions",IF(AND(L57=1,M57&gt;=2),"At risk",IF(AND(L57=3,M57=1),"New",IF(AND(L57=1,M57=1),"Hibernating",IF(AND(L57=2,M57=1),"Promising","Loyal")))))</x:f>
        <x:v>Hibernating</x:v>
      </x:c>
    </x:row>
    <x:row r="58">
      <x:c r="A58" s="1" t="str">
        <x:v>C0057</x:v>
      </x:c>
      <x:c r="B58" s="1" t="str">
        <x:v>Hana</x:v>
      </x:c>
      <x:c r="C58" s="1" t="str">
        <x:v>customer0057@example.com</x:v>
      </x:c>
      <x:c r="D58" s="1" t="str">
        <x:v>Australia</x:v>
      </x:c>
      <x:c r="E58" s="5" t="d">
        <x:v>2024-09-29T00:00:00.000Z</x:v>
      </x:c>
      <x:c r="F58" s="5" t="d">
        <x:v>2026-07-26T00:00:00.000Z</x:v>
      </x:c>
      <x:c r="G58" s="1" t="n">
        <x:v>3</x:v>
      </x:c>
      <x:c r="H58" s="6" t="n">
        <x:v>660.82</x:v>
      </x:c>
      <x:c r="I58" s="1" t="n">
        <x:v>8</x:v>
      </x:c>
      <x:c r="J58" s="1" t="str">
        <x:v>web</x:v>
      </x:c>
      <x:c r="K58" s="7" t="n">
        <x:f>DATE(2026,10,1)-F58</x:f>
        <x:v>67</x:v>
      </x:c>
      <x:c r="L58" s="7" t="n">
        <x:f>IF(K58&lt;=30,3,IF(K58&lt;=90,2,1))</x:f>
        <x:v>2</x:v>
      </x:c>
      <x:c r="M58" s="7" t="n">
        <x:f>IF(G58&gt;=8,3,IF(G58&gt;=3,2,1))</x:f>
        <x:v>2</x:v>
      </x:c>
      <x:c r="N58" s="7" t="n">
        <x:f>IF(H58&gt;=600,3,IF(H58&gt;=200,2,1))</x:f>
        <x:v>3</x:v>
      </x:c>
      <x:c r="O58" s="1" t="str">
        <x:f>IF(AND(L58=3,M58=3),"Champions",IF(AND(L58=1,M58&gt;=2),"At risk",IF(AND(L58=3,M58=1),"New",IF(AND(L58=1,M58=1),"Hibernating",IF(AND(L58=2,M58=1),"Promising","Loyal")))))</x:f>
        <x:v>Loyal</x:v>
      </x:c>
    </x:row>
    <x:row r="59">
      <x:c r="A59" s="1" t="str">
        <x:v>C0058</x:v>
      </x:c>
      <x:c r="B59" s="1" t="str">
        <x:v>Lucas</x:v>
      </x:c>
      <x:c r="C59" s="1" t="str">
        <x:v>customer0058@example.com</x:v>
      </x:c>
      <x:c r="D59" s="1" t="str">
        <x:v>UK</x:v>
      </x:c>
      <x:c r="E59" s="5" t="d">
        <x:v>2025-02-01T00:00:00.000Z</x:v>
      </x:c>
      <x:c r="F59" s="5" t="d">
        <x:v>2026-01-17T00:00:00.000Z</x:v>
      </x:c>
      <x:c r="G59" s="1" t="n">
        <x:v>1</x:v>
      </x:c>
      <x:c r="H59" s="6" t="n">
        <x:v>186.93</x:v>
      </x:c>
      <x:c r="I59" s="1" t="n">
        <x:v>6</x:v>
      </x:c>
      <x:c r="J59" s="1" t="str">
        <x:v>web</x:v>
      </x:c>
      <x:c r="K59" s="7" t="n">
        <x:f>DATE(2026,10,1)-F59</x:f>
        <x:v>257</x:v>
      </x:c>
      <x:c r="L59" s="7" t="n">
        <x:f>IF(K59&lt;=30,3,IF(K59&lt;=90,2,1))</x:f>
        <x:v>1</x:v>
      </x:c>
      <x:c r="M59" s="7" t="n">
        <x:f>IF(G59&gt;=8,3,IF(G59&gt;=3,2,1))</x:f>
        <x:v>1</x:v>
      </x:c>
      <x:c r="N59" s="7" t="n">
        <x:f>IF(H59&gt;=600,3,IF(H59&gt;=200,2,1))</x:f>
        <x:v>1</x:v>
      </x:c>
      <x:c r="O59" s="1" t="str">
        <x:f>IF(AND(L59=3,M59=3),"Champions",IF(AND(L59=1,M59&gt;=2),"At risk",IF(AND(L59=3,M59=1),"New",IF(AND(L59=1,M59=1),"Hibernating",IF(AND(L59=2,M59=1),"Promising","Loyal")))))</x:f>
        <x:v>Hibernating</x:v>
      </x:c>
    </x:row>
    <x:row r="60">
      <x:c r="A60" s="1" t="str">
        <x:v>C0059</x:v>
      </x:c>
      <x:c r="B60" s="1" t="str">
        <x:v>Hana</x:v>
      </x:c>
      <x:c r="C60" s="1" t="str">
        <x:v>customer0059@example.com</x:v>
      </x:c>
      <x:c r="D60" s="1" t="str">
        <x:v>UK</x:v>
      </x:c>
      <x:c r="E60" s="5" t="d">
        <x:v>2025-07-31T00:00:00.000Z</x:v>
      </x:c>
      <x:c r="F60" s="5" t="d">
        <x:v>2026-04-18T00:00:00.000Z</x:v>
      </x:c>
      <x:c r="G60" s="1" t="n">
        <x:v>1</x:v>
      </x:c>
      <x:c r="H60" s="6" t="n">
        <x:v>27.38</x:v>
      </x:c>
      <x:c r="I60" s="1" t="n">
        <x:v>0</x:v>
      </x:c>
      <x:c r="J60" s="1" t="str">
        <x:v>app</x:v>
      </x:c>
      <x:c r="K60" s="7" t="n">
        <x:f>DATE(2026,10,1)-F60</x:f>
        <x:v>166</x:v>
      </x:c>
      <x:c r="L60" s="7" t="n">
        <x:f>IF(K60&lt;=30,3,IF(K60&lt;=90,2,1))</x:f>
        <x:v>1</x:v>
      </x:c>
      <x:c r="M60" s="7" t="n">
        <x:f>IF(G60&gt;=8,3,IF(G60&gt;=3,2,1))</x:f>
        <x:v>1</x:v>
      </x:c>
      <x:c r="N60" s="7" t="n">
        <x:f>IF(H60&gt;=600,3,IF(H60&gt;=200,2,1))</x:f>
        <x:v>1</x:v>
      </x:c>
      <x:c r="O60" s="1" t="str">
        <x:f>IF(AND(L60=3,M60=3),"Champions",IF(AND(L60=1,M60&gt;=2),"At risk",IF(AND(L60=3,M60=1),"New",IF(AND(L60=1,M60=1),"Hibernating",IF(AND(L60=2,M60=1),"Promising","Loyal")))))</x:f>
        <x:v>Hibernating</x:v>
      </x:c>
    </x:row>
    <x:row r="61">
      <x:c r="A61" s="1" t="str">
        <x:v>C0060</x:v>
      </x:c>
      <x:c r="B61" s="1" t="str">
        <x:v>Maya</x:v>
      </x:c>
      <x:c r="C61" s="1" t="str">
        <x:v>customer0060@example.com</x:v>
      </x:c>
      <x:c r="D61" s="1" t="str">
        <x:v>Australia</x:v>
      </x:c>
      <x:c r="E61" s="5" t="d">
        <x:v>2026-08-31T00:00:00.000Z</x:v>
      </x:c>
      <x:c r="F61" s="5" t="d">
        <x:v>2026-09-18T00:00:00.000Z</x:v>
      </x:c>
      <x:c r="G61" s="1" t="n">
        <x:v>2</x:v>
      </x:c>
      <x:c r="H61" s="6" t="n">
        <x:v>115.8</x:v>
      </x:c>
      <x:c r="I61" s="1" t="n">
        <x:v>2</x:v>
      </x:c>
      <x:c r="J61" s="1" t="str">
        <x:v>app</x:v>
      </x:c>
      <x:c r="K61" s="7" t="n">
        <x:f>DATE(2026,10,1)-F61</x:f>
        <x:v>13</x:v>
      </x:c>
      <x:c r="L61" s="7" t="n">
        <x:f>IF(K61&lt;=30,3,IF(K61&lt;=90,2,1))</x:f>
        <x:v>3</x:v>
      </x:c>
      <x:c r="M61" s="7" t="n">
        <x:f>IF(G61&gt;=8,3,IF(G61&gt;=3,2,1))</x:f>
        <x:v>1</x:v>
      </x:c>
      <x:c r="N61" s="7" t="n">
        <x:f>IF(H61&gt;=600,3,IF(H61&gt;=200,2,1))</x:f>
        <x:v>1</x:v>
      </x:c>
      <x:c r="O61" s="1" t="str">
        <x:f>IF(AND(L61=3,M61=3),"Champions",IF(AND(L61=1,M61&gt;=2),"At risk",IF(AND(L61=3,M61=1),"New",IF(AND(L61=1,M61=1),"Hibernating",IF(AND(L61=2,M61=1),"Promising","Loyal")))))</x:f>
        <x:v>New</x:v>
      </x:c>
    </x:row>
    <x:row r="62">
      <x:c r="A62" s="1" t="str">
        <x:v>C0061</x:v>
      </x:c>
      <x:c r="B62" s="1" t="str">
        <x:v>Lina</x:v>
      </x:c>
      <x:c r="C62" s="1" t="str">
        <x:v>customer0061@example.com</x:v>
      </x:c>
      <x:c r="D62" s="1" t="str">
        <x:v>Brazil</x:v>
      </x:c>
      <x:c r="E62" s="5" t="d">
        <x:v>2025-10-20T00:00:00.000Z</x:v>
      </x:c>
      <x:c r="F62" s="5" t="d">
        <x:v>2026-09-21T00:00:00.000Z</x:v>
      </x:c>
      <x:c r="G62" s="1" t="n">
        <x:v>5</x:v>
      </x:c>
      <x:c r="H62" s="6" t="n">
        <x:v>454.9</x:v>
      </x:c>
      <x:c r="I62" s="1" t="n">
        <x:v>3</x:v>
      </x:c>
      <x:c r="J62" s="1" t="str">
        <x:v>app</x:v>
      </x:c>
      <x:c r="K62" s="7" t="n">
        <x:f>DATE(2026,10,1)-F62</x:f>
        <x:v>10</x:v>
      </x:c>
      <x:c r="L62" s="7" t="n">
        <x:f>IF(K62&lt;=30,3,IF(K62&lt;=90,2,1))</x:f>
        <x:v>3</x:v>
      </x:c>
      <x:c r="M62" s="7" t="n">
        <x:f>IF(G62&gt;=8,3,IF(G62&gt;=3,2,1))</x:f>
        <x:v>2</x:v>
      </x:c>
      <x:c r="N62" s="7" t="n">
        <x:f>IF(H62&gt;=600,3,IF(H62&gt;=200,2,1))</x:f>
        <x:v>2</x:v>
      </x:c>
      <x:c r="O62" s="1" t="str">
        <x:f>IF(AND(L62=3,M62=3),"Champions",IF(AND(L62=1,M62&gt;=2),"At risk",IF(AND(L62=3,M62=1),"New",IF(AND(L62=1,M62=1),"Hibernating",IF(AND(L62=2,M62=1),"Promising","Loyal")))))</x:f>
        <x:v>Loyal</x:v>
      </x:c>
    </x:row>
    <x:row r="63">
      <x:c r="A63" s="1" t="str">
        <x:v>C0062</x:v>
      </x:c>
      <x:c r="B63" s="1" t="str">
        <x:v>Ravi</x:v>
      </x:c>
      <x:c r="C63" s="1" t="str">
        <x:v>customer0062@example.com</x:v>
      </x:c>
      <x:c r="D63" s="1" t="str">
        <x:v>UAE</x:v>
      </x:c>
      <x:c r="E63" s="5" t="d">
        <x:v>2026-01-15T00:00:00.000Z</x:v>
      </x:c>
      <x:c r="F63" s="5" t="d">
        <x:v>2026-01-16T00:00:00.000Z</x:v>
      </x:c>
      <x:c r="G63" s="1" t="n">
        <x:v>1</x:v>
      </x:c>
      <x:c r="H63" s="6" t="n">
        <x:v>77.4</x:v>
      </x:c>
      <x:c r="I63" s="1" t="n">
        <x:v>1</x:v>
      </x:c>
      <x:c r="J63" s="1" t="str">
        <x:v>web</x:v>
      </x:c>
      <x:c r="K63" s="7" t="n">
        <x:f>DATE(2026,10,1)-F63</x:f>
        <x:v>258</x:v>
      </x:c>
      <x:c r="L63" s="7" t="n">
        <x:f>IF(K63&lt;=30,3,IF(K63&lt;=90,2,1))</x:f>
        <x:v>1</x:v>
      </x:c>
      <x:c r="M63" s="7" t="n">
        <x:f>IF(G63&gt;=8,3,IF(G63&gt;=3,2,1))</x:f>
        <x:v>1</x:v>
      </x:c>
      <x:c r="N63" s="7" t="n">
        <x:f>IF(H63&gt;=600,3,IF(H63&gt;=200,2,1))</x:f>
        <x:v>1</x:v>
      </x:c>
      <x:c r="O63" s="1" t="str">
        <x:f>IF(AND(L63=3,M63=3),"Champions",IF(AND(L63=1,M63&gt;=2),"At risk",IF(AND(L63=3,M63=1),"New",IF(AND(L63=1,M63=1),"Hibernating",IF(AND(L63=2,M63=1),"Promising","Loyal")))))</x:f>
        <x:v>Hibernating</x:v>
      </x:c>
    </x:row>
    <x:row r="64">
      <x:c r="A64" s="1" t="str">
        <x:v>C0063</x:v>
      </x:c>
      <x:c r="B64" s="1" t="str">
        <x:v>Leo</x:v>
      </x:c>
      <x:c r="C64" s="1" t="str">
        <x:v>customer0063@example.com</x:v>
      </x:c>
      <x:c r="D64" s="1" t="str">
        <x:v>Germany</x:v>
      </x:c>
      <x:c r="E64" s="5" t="d">
        <x:v>2026-08-22T00:00:00.000Z</x:v>
      </x:c>
      <x:c r="F64" s="5" t="d">
        <x:v>2026-08-27T00:00:00.000Z</x:v>
      </x:c>
      <x:c r="G64" s="1" t="n">
        <x:v>4</x:v>
      </x:c>
      <x:c r="H64" s="6" t="n">
        <x:v>553.31</x:v>
      </x:c>
      <x:c r="I64" s="1" t="n">
        <x:v>1</x:v>
      </x:c>
      <x:c r="J64" s="1" t="str">
        <x:v>app</x:v>
      </x:c>
      <x:c r="K64" s="7" t="n">
        <x:f>DATE(2026,10,1)-F64</x:f>
        <x:v>35</x:v>
      </x:c>
      <x:c r="L64" s="7" t="n">
        <x:f>IF(K64&lt;=30,3,IF(K64&lt;=90,2,1))</x:f>
        <x:v>2</x:v>
      </x:c>
      <x:c r="M64" s="7" t="n">
        <x:f>IF(G64&gt;=8,3,IF(G64&gt;=3,2,1))</x:f>
        <x:v>2</x:v>
      </x:c>
      <x:c r="N64" s="7" t="n">
        <x:f>IF(H64&gt;=600,3,IF(H64&gt;=200,2,1))</x:f>
        <x:v>2</x:v>
      </x:c>
      <x:c r="O64" s="1" t="str">
        <x:f>IF(AND(L64=3,M64=3),"Champions",IF(AND(L64=1,M64&gt;=2),"At risk",IF(AND(L64=3,M64=1),"New",IF(AND(L64=1,M64=1),"Hibernating",IF(AND(L64=2,M64=1),"Promising","Loyal")))))</x:f>
        <x:v>Loyal</x:v>
      </x:c>
    </x:row>
    <x:row r="65">
      <x:c r="A65" s="1" t="str">
        <x:v>C0064</x:v>
      </x:c>
      <x:c r="B65" s="1" t="str">
        <x:v>Felix</x:v>
      </x:c>
      <x:c r="C65" s="1" t="str">
        <x:v>customer0064@example.com</x:v>
      </x:c>
      <x:c r="D65" s="1" t="str">
        <x:v>USA</x:v>
      </x:c>
      <x:c r="E65" s="5" t="d">
        <x:v>2025-08-11T00:00:00.000Z</x:v>
      </x:c>
      <x:c r="F65" s="5" t="d">
        <x:v>2026-06-18T00:00:00.000Z</x:v>
      </x:c>
      <x:c r="G65" s="1" t="n">
        <x:v>9</x:v>
      </x:c>
      <x:c r="H65" s="6" t="n">
        <x:v>275.87</x:v>
      </x:c>
      <x:c r="I65" s="1" t="n">
        <x:v>1</x:v>
      </x:c>
      <x:c r="J65" s="1" t="str">
        <x:v>store</x:v>
      </x:c>
      <x:c r="K65" s="7" t="n">
        <x:f>DATE(2026,10,1)-F65</x:f>
        <x:v>105</x:v>
      </x:c>
      <x:c r="L65" s="7" t="n">
        <x:f>IF(K65&lt;=30,3,IF(K65&lt;=90,2,1))</x:f>
        <x:v>1</x:v>
      </x:c>
      <x:c r="M65" s="7" t="n">
        <x:f>IF(G65&gt;=8,3,IF(G65&gt;=3,2,1))</x:f>
        <x:v>3</x:v>
      </x:c>
      <x:c r="N65" s="7" t="n">
        <x:f>IF(H65&gt;=600,3,IF(H65&gt;=200,2,1))</x:f>
        <x:v>2</x:v>
      </x:c>
      <x:c r="O65" s="1" t="str">
        <x:f>IF(AND(L65=3,M65=3),"Champions",IF(AND(L65=1,M65&gt;=2),"At risk",IF(AND(L65=3,M65=1),"New",IF(AND(L65=1,M65=1),"Hibernating",IF(AND(L65=2,M65=1),"Promising","Loyal")))))</x:f>
        <x:v>At risk</x:v>
      </x:c>
    </x:row>
    <x:row r="66">
      <x:c r="A66" s="1" t="str">
        <x:v>C0065</x:v>
      </x:c>
      <x:c r="B66" s="1" t="str">
        <x:v>Kenji</x:v>
      </x:c>
      <x:c r="C66" s="1" t="str">
        <x:v>customer0065@example.com</x:v>
      </x:c>
      <x:c r="D66" s="1" t="str">
        <x:v>Germany</x:v>
      </x:c>
      <x:c r="E66" s="5" t="d">
        <x:v>2024-11-15T00:00:00.000Z</x:v>
      </x:c>
      <x:c r="F66" s="5" t="d">
        <x:v>2026-04-05T00:00:00.000Z</x:v>
      </x:c>
      <x:c r="G66" s="1" t="n">
        <x:v>2</x:v>
      </x:c>
      <x:c r="H66" s="6" t="n">
        <x:v>148.75</x:v>
      </x:c>
      <x:c r="I66" s="1" t="n">
        <x:v>11</x:v>
      </x:c>
      <x:c r="J66" s="1" t="str">
        <x:v>store</x:v>
      </x:c>
      <x:c r="K66" s="7" t="n">
        <x:f>DATE(2026,10,1)-F66</x:f>
        <x:v>179</x:v>
      </x:c>
      <x:c r="L66" s="7" t="n">
        <x:f>IF(K66&lt;=30,3,IF(K66&lt;=90,2,1))</x:f>
        <x:v>1</x:v>
      </x:c>
      <x:c r="M66" s="7" t="n">
        <x:f>IF(G66&gt;=8,3,IF(G66&gt;=3,2,1))</x:f>
        <x:v>1</x:v>
      </x:c>
      <x:c r="N66" s="7" t="n">
        <x:f>IF(H66&gt;=600,3,IF(H66&gt;=200,2,1))</x:f>
        <x:v>1</x:v>
      </x:c>
      <x:c r="O66" s="1" t="str">
        <x:f>IF(AND(L66=3,M66=3),"Champions",IF(AND(L66=1,M66&gt;=2),"At risk",IF(AND(L66=3,M66=1),"New",IF(AND(L66=1,M66=1),"Hibernating",IF(AND(L66=2,M66=1),"Promising","Loyal")))))</x:f>
        <x:v>Hibernating</x:v>
      </x:c>
    </x:row>
    <x:row r="67">
      <x:c r="A67" s="1" t="str">
        <x:v>C0066</x:v>
      </x:c>
      <x:c r="B67" s="1" t="str">
        <x:v>Kenji</x:v>
      </x:c>
      <x:c r="C67" s="1" t="str">
        <x:v>customer0066@example.com</x:v>
      </x:c>
      <x:c r="D67" s="1" t="str">
        <x:v>Japan</x:v>
      </x:c>
      <x:c r="E67" s="5" t="d">
        <x:v>2026-08-28T00:00:00.000Z</x:v>
      </x:c>
      <x:c r="F67" s="5" t="d">
        <x:v>2026-09-29T00:00:00.000Z</x:v>
      </x:c>
      <x:c r="G67" s="1" t="n">
        <x:v>2</x:v>
      </x:c>
      <x:c r="H67" s="6" t="n">
        <x:v>137.42</x:v>
      </x:c>
      <x:c r="I67" s="1" t="n">
        <x:v>12</x:v>
      </x:c>
      <x:c r="J67" s="1" t="str">
        <x:v>store</x:v>
      </x:c>
      <x:c r="K67" s="7" t="n">
        <x:f>DATE(2026,10,1)-F67</x:f>
        <x:v>2</x:v>
      </x:c>
      <x:c r="L67" s="7" t="n">
        <x:f>IF(K67&lt;=30,3,IF(K67&lt;=90,2,1))</x:f>
        <x:v>3</x:v>
      </x:c>
      <x:c r="M67" s="7" t="n">
        <x:f>IF(G67&gt;=8,3,IF(G67&gt;=3,2,1))</x:f>
        <x:v>1</x:v>
      </x:c>
      <x:c r="N67" s="7" t="n">
        <x:f>IF(H67&gt;=600,3,IF(H67&gt;=200,2,1))</x:f>
        <x:v>1</x:v>
      </x:c>
      <x:c r="O67" s="1" t="str">
        <x:f>IF(AND(L67=3,M67=3),"Champions",IF(AND(L67=1,M67&gt;=2),"At risk",IF(AND(L67=3,M67=1),"New",IF(AND(L67=1,M67=1),"Hibernating",IF(AND(L67=2,M67=1),"Promising","Loyal")))))</x:f>
        <x:v>New</x:v>
      </x:c>
    </x:row>
    <x:row r="68">
      <x:c r="A68" s="1" t="str">
        <x:v>C0067</x:v>
      </x:c>
      <x:c r="B68" s="1" t="str">
        <x:v>Arjun</x:v>
      </x:c>
      <x:c r="C68" s="1" t="str">
        <x:v>customer0067@example.com</x:v>
      </x:c>
      <x:c r="D68" s="1" t="str">
        <x:v>USA</x:v>
      </x:c>
      <x:c r="E68" s="5" t="d">
        <x:v>2024-07-25T00:00:00.000Z</x:v>
      </x:c>
      <x:c r="F68" s="5" t="d">
        <x:v>2026-06-24T00:00:00.000Z</x:v>
      </x:c>
      <x:c r="G68" s="1" t="n">
        <x:v>12</x:v>
      </x:c>
      <x:c r="H68" s="6" t="n">
        <x:v>1167.66</x:v>
      </x:c>
      <x:c r="I68" s="1" t="n">
        <x:v>1</x:v>
      </x:c>
      <x:c r="J68" s="1" t="str">
        <x:v>app</x:v>
      </x:c>
      <x:c r="K68" s="7" t="n">
        <x:f>DATE(2026,10,1)-F68</x:f>
        <x:v>99</x:v>
      </x:c>
      <x:c r="L68" s="7" t="n">
        <x:f>IF(K68&lt;=30,3,IF(K68&lt;=90,2,1))</x:f>
        <x:v>1</x:v>
      </x:c>
      <x:c r="M68" s="7" t="n">
        <x:f>IF(G68&gt;=8,3,IF(G68&gt;=3,2,1))</x:f>
        <x:v>3</x:v>
      </x:c>
      <x:c r="N68" s="7" t="n">
        <x:f>IF(H68&gt;=600,3,IF(H68&gt;=200,2,1))</x:f>
        <x:v>3</x:v>
      </x:c>
      <x:c r="O68" s="1" t="str">
        <x:f>IF(AND(L68=3,M68=3),"Champions",IF(AND(L68=1,M68&gt;=2),"At risk",IF(AND(L68=3,M68=1),"New",IF(AND(L68=1,M68=1),"Hibernating",IF(AND(L68=2,M68=1),"Promising","Loyal")))))</x:f>
        <x:v>At risk</x:v>
      </x:c>
    </x:row>
    <x:row r="69">
      <x:c r="A69" s="1" t="str">
        <x:v>C0068</x:v>
      </x:c>
      <x:c r="B69" s="1" t="str">
        <x:v>Samuel</x:v>
      </x:c>
      <x:c r="C69" s="1" t="str">
        <x:v>customer0068@example.com</x:v>
      </x:c>
      <x:c r="D69" s="1" t="str">
        <x:v>Australia</x:v>
      </x:c>
      <x:c r="E69" s="5" t="d">
        <x:v>2025-08-21T00:00:00.000Z</x:v>
      </x:c>
      <x:c r="F69" s="5" t="d">
        <x:v>2026-09-10T00:00:00.000Z</x:v>
      </x:c>
      <x:c r="G69" s="1" t="n">
        <x:v>13</x:v>
      </x:c>
      <x:c r="H69" s="6" t="n">
        <x:v>2135.23</x:v>
      </x:c>
      <x:c r="I69" s="1" t="n">
        <x:v>8</x:v>
      </x:c>
      <x:c r="J69" s="1" t="str">
        <x:v>app</x:v>
      </x:c>
      <x:c r="K69" s="7" t="n">
        <x:f>DATE(2026,10,1)-F69</x:f>
        <x:v>21</x:v>
      </x:c>
      <x:c r="L69" s="7" t="n">
        <x:f>IF(K69&lt;=30,3,IF(K69&lt;=90,2,1))</x:f>
        <x:v>3</x:v>
      </x:c>
      <x:c r="M69" s="7" t="n">
        <x:f>IF(G69&gt;=8,3,IF(G69&gt;=3,2,1))</x:f>
        <x:v>3</x:v>
      </x:c>
      <x:c r="N69" s="7" t="n">
        <x:f>IF(H69&gt;=600,3,IF(H69&gt;=200,2,1))</x:f>
        <x:v>3</x:v>
      </x:c>
      <x:c r="O69" s="1" t="str">
        <x:f>IF(AND(L69=3,M69=3),"Champions",IF(AND(L69=1,M69&gt;=2),"At risk",IF(AND(L69=3,M69=1),"New",IF(AND(L69=1,M69=1),"Hibernating",IF(AND(L69=2,M69=1),"Promising","Loyal")))))</x:f>
        <x:v>Champions</x:v>
      </x:c>
    </x:row>
    <x:row r="70">
      <x:c r="A70" s="1" t="str">
        <x:v>C0069</x:v>
      </x:c>
      <x:c r="B70" s="1" t="str">
        <x:v>Noah</x:v>
      </x:c>
      <x:c r="C70" s="1" t="str">
        <x:v>customer0069@example.com</x:v>
      </x:c>
      <x:c r="D70" s="1" t="str">
        <x:v>Singapore</x:v>
      </x:c>
      <x:c r="E70" s="5" t="d">
        <x:v>2026-09-10T00:00:00.000Z</x:v>
      </x:c>
      <x:c r="F70" s="5" t="d">
        <x:v>2026-09-10T00:00:00.000Z</x:v>
      </x:c>
      <x:c r="G70" s="1" t="n">
        <x:v>1</x:v>
      </x:c>
      <x:c r="H70" s="6" t="n">
        <x:v>98.29</x:v>
      </x:c>
      <x:c r="I70" s="1" t="n">
        <x:v>11</x:v>
      </x:c>
      <x:c r="J70" s="1" t="str">
        <x:v>store</x:v>
      </x:c>
      <x:c r="K70" s="7" t="n">
        <x:f>DATE(2026,10,1)-F70</x:f>
        <x:v>21</x:v>
      </x:c>
      <x:c r="L70" s="7" t="n">
        <x:f>IF(K70&lt;=30,3,IF(K70&lt;=90,2,1))</x:f>
        <x:v>3</x:v>
      </x:c>
      <x:c r="M70" s="7" t="n">
        <x:f>IF(G70&gt;=8,3,IF(G70&gt;=3,2,1))</x:f>
        <x:v>1</x:v>
      </x:c>
      <x:c r="N70" s="7" t="n">
        <x:f>IF(H70&gt;=600,3,IF(H70&gt;=200,2,1))</x:f>
        <x:v>1</x:v>
      </x:c>
      <x:c r="O70" s="1" t="str">
        <x:f>IF(AND(L70=3,M70=3),"Champions",IF(AND(L70=1,M70&gt;=2),"At risk",IF(AND(L70=3,M70=1),"New",IF(AND(L70=1,M70=1),"Hibernating",IF(AND(L70=2,M70=1),"Promising","Loyal")))))</x:f>
        <x:v>New</x:v>
      </x:c>
    </x:row>
    <x:row r="71">
      <x:c r="A71" s="1" t="str">
        <x:v>C0070</x:v>
      </x:c>
      <x:c r="B71" s="1" t="str">
        <x:v>Omar</x:v>
      </x:c>
      <x:c r="C71" s="1" t="str">
        <x:v>customer0070@example.com</x:v>
      </x:c>
      <x:c r="D71" s="1" t="str">
        <x:v>Singapore</x:v>
      </x:c>
      <x:c r="E71" s="5" t="d">
        <x:v>2025-01-07T00:00:00.000Z</x:v>
      </x:c>
      <x:c r="F71" s="5" t="d">
        <x:v>2026-05-07T00:00:00.000Z</x:v>
      </x:c>
      <x:c r="G71" s="1" t="n">
        <x:v>1</x:v>
      </x:c>
      <x:c r="H71" s="6" t="n">
        <x:v>145.5</x:v>
      </x:c>
      <x:c r="I71" s="1" t="n">
        <x:v>4</x:v>
      </x:c>
      <x:c r="J71" s="1" t="str">
        <x:v>app</x:v>
      </x:c>
      <x:c r="K71" s="7" t="n">
        <x:f>DATE(2026,10,1)-F71</x:f>
        <x:v>147</x:v>
      </x:c>
      <x:c r="L71" s="7" t="n">
        <x:f>IF(K71&lt;=30,3,IF(K71&lt;=90,2,1))</x:f>
        <x:v>1</x:v>
      </x:c>
      <x:c r="M71" s="7" t="n">
        <x:f>IF(G71&gt;=8,3,IF(G71&gt;=3,2,1))</x:f>
        <x:v>1</x:v>
      </x:c>
      <x:c r="N71" s="7" t="n">
        <x:f>IF(H71&gt;=600,3,IF(H71&gt;=200,2,1))</x:f>
        <x:v>1</x:v>
      </x:c>
      <x:c r="O71" s="1" t="str">
        <x:f>IF(AND(L71=3,M71=3),"Champions",IF(AND(L71=1,M71&gt;=2),"At risk",IF(AND(L71=3,M71=1),"New",IF(AND(L71=1,M71=1),"Hibernating",IF(AND(L71=2,M71=1),"Promising","Loyal")))))</x:f>
        <x:v>Hibernating</x:v>
      </x:c>
    </x:row>
    <x:row r="72">
      <x:c r="A72" s="1" t="str">
        <x:v>C0071</x:v>
      </x:c>
      <x:c r="B72" s="1" t="str">
        <x:v>Priya</x:v>
      </x:c>
      <x:c r="C72" s="1" t="str">
        <x:v>customer0071@example.com</x:v>
      </x:c>
      <x:c r="D72" s="1" t="str">
        <x:v>UAE</x:v>
      </x:c>
      <x:c r="E72" s="5" t="d">
        <x:v>2026-08-26T00:00:00.000Z</x:v>
      </x:c>
      <x:c r="F72" s="5" t="d">
        <x:v>2026-09-24T00:00:00.000Z</x:v>
      </x:c>
      <x:c r="G72" s="1" t="n">
        <x:v>1</x:v>
      </x:c>
      <x:c r="H72" s="6" t="n">
        <x:v>138.37</x:v>
      </x:c>
      <x:c r="I72" s="1" t="n">
        <x:v>1</x:v>
      </x:c>
      <x:c r="J72" s="1" t="str">
        <x:v>web</x:v>
      </x:c>
      <x:c r="K72" s="7" t="n">
        <x:f>DATE(2026,10,1)-F72</x:f>
        <x:v>7</x:v>
      </x:c>
      <x:c r="L72" s="7" t="n">
        <x:f>IF(K72&lt;=30,3,IF(K72&lt;=90,2,1))</x:f>
        <x:v>3</x:v>
      </x:c>
      <x:c r="M72" s="7" t="n">
        <x:f>IF(G72&gt;=8,3,IF(G72&gt;=3,2,1))</x:f>
        <x:v>1</x:v>
      </x:c>
      <x:c r="N72" s="7" t="n">
        <x:f>IF(H72&gt;=600,3,IF(H72&gt;=200,2,1))</x:f>
        <x:v>1</x:v>
      </x:c>
      <x:c r="O72" s="1" t="str">
        <x:f>IF(AND(L72=3,M72=3),"Champions",IF(AND(L72=1,M72&gt;=2),"At risk",IF(AND(L72=3,M72=1),"New",IF(AND(L72=1,M72=1),"Hibernating",IF(AND(L72=2,M72=1),"Promising","Loyal")))))</x:f>
        <x:v>New</x:v>
      </x:c>
    </x:row>
    <x:row r="73">
      <x:c r="A73" s="1" t="str">
        <x:v>C0072</x:v>
      </x:c>
      <x:c r="B73" s="1" t="str">
        <x:v>Lucas</x:v>
      </x:c>
      <x:c r="C73" s="1" t="str">
        <x:v>customer0072@example.com</x:v>
      </x:c>
      <x:c r="D73" s="1" t="str">
        <x:v>Singapore</x:v>
      </x:c>
      <x:c r="E73" s="5" t="d">
        <x:v>2024-04-09T00:00:00.000Z</x:v>
      </x:c>
      <x:c r="F73" s="5" t="d">
        <x:v>2026-01-27T00:00:00.000Z</x:v>
      </x:c>
      <x:c r="G73" s="1" t="n">
        <x:v>1</x:v>
      </x:c>
      <x:c r="H73" s="6" t="n">
        <x:v>122.97</x:v>
      </x:c>
      <x:c r="I73" s="1" t="n">
        <x:v>9</x:v>
      </x:c>
      <x:c r="J73" s="1" t="str">
        <x:v>app</x:v>
      </x:c>
      <x:c r="K73" s="7" t="n">
        <x:f>DATE(2026,10,1)-F73</x:f>
        <x:v>247</x:v>
      </x:c>
      <x:c r="L73" s="7" t="n">
        <x:f>IF(K73&lt;=30,3,IF(K73&lt;=90,2,1))</x:f>
        <x:v>1</x:v>
      </x:c>
      <x:c r="M73" s="7" t="n">
        <x:f>IF(G73&gt;=8,3,IF(G73&gt;=3,2,1))</x:f>
        <x:v>1</x:v>
      </x:c>
      <x:c r="N73" s="7" t="n">
        <x:f>IF(H73&gt;=600,3,IF(H73&gt;=200,2,1))</x:f>
        <x:v>1</x:v>
      </x:c>
      <x:c r="O73" s="1" t="str">
        <x:f>IF(AND(L73=3,M73=3),"Champions",IF(AND(L73=1,M73&gt;=2),"At risk",IF(AND(L73=3,M73=1),"New",IF(AND(L73=1,M73=1),"Hibernating",IF(AND(L73=2,M73=1),"Promising","Loyal")))))</x:f>
        <x:v>Hibernating</x:v>
      </x:c>
    </x:row>
    <x:row r="74">
      <x:c r="A74" s="1" t="str">
        <x:v>C0073</x:v>
      </x:c>
      <x:c r="B74" s="1" t="str">
        <x:v>Priya</x:v>
      </x:c>
      <x:c r="C74" s="1" t="str">
        <x:v>customer0073@example.com</x:v>
      </x:c>
      <x:c r="D74" s="1" t="str">
        <x:v>India</x:v>
      </x:c>
      <x:c r="E74" s="5" t="d">
        <x:v>2026-08-02T00:00:00.000Z</x:v>
      </x:c>
      <x:c r="F74" s="5" t="d">
        <x:v>2026-08-14T00:00:00.000Z</x:v>
      </x:c>
      <x:c r="G74" s="1" t="n">
        <x:v>7</x:v>
      </x:c>
      <x:c r="H74" s="6" t="n">
        <x:v>597.43</x:v>
      </x:c>
      <x:c r="I74" s="1" t="n">
        <x:v>7</x:v>
      </x:c>
      <x:c r="J74" s="1" t="str">
        <x:v>web</x:v>
      </x:c>
      <x:c r="K74" s="7" t="n">
        <x:f>DATE(2026,10,1)-F74</x:f>
        <x:v>48</x:v>
      </x:c>
      <x:c r="L74" s="7" t="n">
        <x:f>IF(K74&lt;=30,3,IF(K74&lt;=90,2,1))</x:f>
        <x:v>2</x:v>
      </x:c>
      <x:c r="M74" s="7" t="n">
        <x:f>IF(G74&gt;=8,3,IF(G74&gt;=3,2,1))</x:f>
        <x:v>2</x:v>
      </x:c>
      <x:c r="N74" s="7" t="n">
        <x:f>IF(H74&gt;=600,3,IF(H74&gt;=200,2,1))</x:f>
        <x:v>2</x:v>
      </x:c>
      <x:c r="O74" s="1" t="str">
        <x:f>IF(AND(L74=3,M74=3),"Champions",IF(AND(L74=1,M74&gt;=2),"At risk",IF(AND(L74=3,M74=1),"New",IF(AND(L74=1,M74=1),"Hibernating",IF(AND(L74=2,M74=1),"Promising","Loyal")))))</x:f>
        <x:v>Loyal</x:v>
      </x:c>
    </x:row>
    <x:row r="75">
      <x:c r="A75" s="1" t="str">
        <x:v>C0074</x:v>
      </x:c>
      <x:c r="B75" s="1" t="str">
        <x:v>Arjun</x:v>
      </x:c>
      <x:c r="C75" s="1" t="str">
        <x:v>customer0074@example.com</x:v>
      </x:c>
      <x:c r="D75" s="1" t="str">
        <x:v>Japan</x:v>
      </x:c>
      <x:c r="E75" s="5" t="d">
        <x:v>2025-07-11T00:00:00.000Z</x:v>
      </x:c>
      <x:c r="F75" s="5" t="d">
        <x:v>2026-05-04T00:00:00.000Z</x:v>
      </x:c>
      <x:c r="G75" s="1" t="n">
        <x:v>1</x:v>
      </x:c>
      <x:c r="H75" s="6" t="n">
        <x:v>133.25</x:v>
      </x:c>
      <x:c r="I75" s="1" t="n">
        <x:v>4</x:v>
      </x:c>
      <x:c r="J75" s="1" t="str">
        <x:v>web</x:v>
      </x:c>
      <x:c r="K75" s="7" t="n">
        <x:f>DATE(2026,10,1)-F75</x:f>
        <x:v>150</x:v>
      </x:c>
      <x:c r="L75" s="7" t="n">
        <x:f>IF(K75&lt;=30,3,IF(K75&lt;=90,2,1))</x:f>
        <x:v>1</x:v>
      </x:c>
      <x:c r="M75" s="7" t="n">
        <x:f>IF(G75&gt;=8,3,IF(G75&gt;=3,2,1))</x:f>
        <x:v>1</x:v>
      </x:c>
      <x:c r="N75" s="7" t="n">
        <x:f>IF(H75&gt;=600,3,IF(H75&gt;=200,2,1))</x:f>
        <x:v>1</x:v>
      </x:c>
      <x:c r="O75" s="1" t="str">
        <x:f>IF(AND(L75=3,M75=3),"Champions",IF(AND(L75=1,M75&gt;=2),"At risk",IF(AND(L75=3,M75=1),"New",IF(AND(L75=1,M75=1),"Hibernating",IF(AND(L75=2,M75=1),"Promising","Loyal")))))</x:f>
        <x:v>Hibernating</x:v>
      </x:c>
    </x:row>
    <x:row r="76">
      <x:c r="A76" s="1" t="str">
        <x:v>C0075</x:v>
      </x:c>
      <x:c r="B76" s="1" t="str">
        <x:v>Leila</x:v>
      </x:c>
      <x:c r="C76" s="1" t="str">
        <x:v>customer0075@example.com</x:v>
      </x:c>
      <x:c r="D76" s="1" t="str">
        <x:v>Australia</x:v>
      </x:c>
      <x:c r="E76" s="5" t="d">
        <x:v>2026-03-03T00:00:00.000Z</x:v>
      </x:c>
      <x:c r="F76" s="5" t="d">
        <x:v>2026-05-29T00:00:00.000Z</x:v>
      </x:c>
      <x:c r="G76" s="1" t="n">
        <x:v>11</x:v>
      </x:c>
      <x:c r="H76" s="6" t="n">
        <x:v>479.14</x:v>
      </x:c>
      <x:c r="I76" s="1" t="n">
        <x:v>0</x:v>
      </x:c>
      <x:c r="J76" s="1" t="str">
        <x:v>web</x:v>
      </x:c>
      <x:c r="K76" s="7" t="n">
        <x:f>DATE(2026,10,1)-F76</x:f>
        <x:v>125</x:v>
      </x:c>
      <x:c r="L76" s="7" t="n">
        <x:f>IF(K76&lt;=30,3,IF(K76&lt;=90,2,1))</x:f>
        <x:v>1</x:v>
      </x:c>
      <x:c r="M76" s="7" t="n">
        <x:f>IF(G76&gt;=8,3,IF(G76&gt;=3,2,1))</x:f>
        <x:v>3</x:v>
      </x:c>
      <x:c r="N76" s="7" t="n">
        <x:f>IF(H76&gt;=600,3,IF(H76&gt;=200,2,1))</x:f>
        <x:v>2</x:v>
      </x:c>
      <x:c r="O76" s="1" t="str">
        <x:f>IF(AND(L76=3,M76=3),"Champions",IF(AND(L76=1,M76&gt;=2),"At risk",IF(AND(L76=3,M76=1),"New",IF(AND(L76=1,M76=1),"Hibernating",IF(AND(L76=2,M76=1),"Promising","Loyal")))))</x:f>
        <x:v>At risk</x:v>
      </x:c>
    </x:row>
    <x:row r="77">
      <x:c r="A77" s="1" t="str">
        <x:v>C0076</x:v>
      </x:c>
      <x:c r="B77" s="1" t="str">
        <x:v>Lucas</x:v>
      </x:c>
      <x:c r="C77" s="1" t="str">
        <x:v>customer0076@example.com</x:v>
      </x:c>
      <x:c r="D77" s="1" t="str">
        <x:v>USA</x:v>
      </x:c>
      <x:c r="E77" s="5" t="d">
        <x:v>2025-01-19T00:00:00.000Z</x:v>
      </x:c>
      <x:c r="F77" s="5" t="d">
        <x:v>2026-02-19T00:00:00.000Z</x:v>
      </x:c>
      <x:c r="G77" s="1" t="n">
        <x:v>10</x:v>
      </x:c>
      <x:c r="H77" s="6" t="n">
        <x:v>1393.06</x:v>
      </x:c>
      <x:c r="I77" s="1" t="n">
        <x:v>1</x:v>
      </x:c>
      <x:c r="J77" s="1" t="str">
        <x:v>store</x:v>
      </x:c>
      <x:c r="K77" s="7" t="n">
        <x:f>DATE(2026,10,1)-F77</x:f>
        <x:v>224</x:v>
      </x:c>
      <x:c r="L77" s="7" t="n">
        <x:f>IF(K77&lt;=30,3,IF(K77&lt;=90,2,1))</x:f>
        <x:v>1</x:v>
      </x:c>
      <x:c r="M77" s="7" t="n">
        <x:f>IF(G77&gt;=8,3,IF(G77&gt;=3,2,1))</x:f>
        <x:v>3</x:v>
      </x:c>
      <x:c r="N77" s="7" t="n">
        <x:f>IF(H77&gt;=600,3,IF(H77&gt;=200,2,1))</x:f>
        <x:v>3</x:v>
      </x:c>
      <x:c r="O77" s="1" t="str">
        <x:f>IF(AND(L77=3,M77=3),"Champions",IF(AND(L77=1,M77&gt;=2),"At risk",IF(AND(L77=3,M77=1),"New",IF(AND(L77=1,M77=1),"Hibernating",IF(AND(L77=2,M77=1),"Promising","Loyal")))))</x:f>
        <x:v>At risk</x:v>
      </x:c>
    </x:row>
    <x:row r="78">
      <x:c r="A78" s="1" t="str">
        <x:v>C0077</x:v>
      </x:c>
      <x:c r="B78" s="1" t="str">
        <x:v>Kenji</x:v>
      </x:c>
      <x:c r="C78" s="1" t="str">
        <x:v>customer0077@example.com</x:v>
      </x:c>
      <x:c r="D78" s="1" t="str">
        <x:v>Nigeria</x:v>
      </x:c>
      <x:c r="E78" s="5" t="d">
        <x:v>2025-09-04T00:00:00.000Z</x:v>
      </x:c>
      <x:c r="F78" s="5" t="d">
        <x:v>2026-09-07T00:00:00.000Z</x:v>
      </x:c>
      <x:c r="G78" s="1" t="n">
        <x:v>16</x:v>
      </x:c>
      <x:c r="H78" s="6" t="n">
        <x:v>1018.89</x:v>
      </x:c>
      <x:c r="I78" s="1" t="n">
        <x:v>10</x:v>
      </x:c>
      <x:c r="J78" s="1" t="str">
        <x:v>store</x:v>
      </x:c>
      <x:c r="K78" s="7" t="n">
        <x:f>DATE(2026,10,1)-F78</x:f>
        <x:v>24</x:v>
      </x:c>
      <x:c r="L78" s="7" t="n">
        <x:f>IF(K78&lt;=30,3,IF(K78&lt;=90,2,1))</x:f>
        <x:v>3</x:v>
      </x:c>
      <x:c r="M78" s="7" t="n">
        <x:f>IF(G78&gt;=8,3,IF(G78&gt;=3,2,1))</x:f>
        <x:v>3</x:v>
      </x:c>
      <x:c r="N78" s="7" t="n">
        <x:f>IF(H78&gt;=600,3,IF(H78&gt;=200,2,1))</x:f>
        <x:v>3</x:v>
      </x:c>
      <x:c r="O78" s="1" t="str">
        <x:f>IF(AND(L78=3,M78=3),"Champions",IF(AND(L78=1,M78&gt;=2),"At risk",IF(AND(L78=3,M78=1),"New",IF(AND(L78=1,M78=1),"Hibernating",IF(AND(L78=2,M78=1),"Promising","Loyal")))))</x:f>
        <x:v>Champions</x:v>
      </x:c>
    </x:row>
    <x:row r="79">
      <x:c r="A79" s="1" t="str">
        <x:v>C0078</x:v>
      </x:c>
      <x:c r="B79" s="1" t="str">
        <x:v>Jonas</x:v>
      </x:c>
      <x:c r="C79" s="1" t="str">
        <x:v>customer0078@example.com</x:v>
      </x:c>
      <x:c r="D79" s="1" t="str">
        <x:v>Australia</x:v>
      </x:c>
      <x:c r="E79" s="5" t="d">
        <x:v>2025-04-16T00:00:00.000Z</x:v>
      </x:c>
      <x:c r="F79" s="5" t="d">
        <x:v>2026-09-07T00:00:00.000Z</x:v>
      </x:c>
      <x:c r="G79" s="1" t="n">
        <x:v>8</x:v>
      </x:c>
      <x:c r="H79" s="6" t="n">
        <x:v>455.63</x:v>
      </x:c>
      <x:c r="I79" s="1" t="n">
        <x:v>6</x:v>
      </x:c>
      <x:c r="J79" s="1" t="str">
        <x:v>app</x:v>
      </x:c>
      <x:c r="K79" s="7" t="n">
        <x:f>DATE(2026,10,1)-F79</x:f>
        <x:v>24</x:v>
      </x:c>
      <x:c r="L79" s="7" t="n">
        <x:f>IF(K79&lt;=30,3,IF(K79&lt;=90,2,1))</x:f>
        <x:v>3</x:v>
      </x:c>
      <x:c r="M79" s="7" t="n">
        <x:f>IF(G79&gt;=8,3,IF(G79&gt;=3,2,1))</x:f>
        <x:v>3</x:v>
      </x:c>
      <x:c r="N79" s="7" t="n">
        <x:f>IF(H79&gt;=600,3,IF(H79&gt;=200,2,1))</x:f>
        <x:v>2</x:v>
      </x:c>
      <x:c r="O79" s="1" t="str">
        <x:f>IF(AND(L79=3,M79=3),"Champions",IF(AND(L79=1,M79&gt;=2),"At risk",IF(AND(L79=3,M79=1),"New",IF(AND(L79=1,M79=1),"Hibernating",IF(AND(L79=2,M79=1),"Promising","Loyal")))))</x:f>
        <x:v>Champions</x:v>
      </x:c>
    </x:row>
    <x:row r="80">
      <x:c r="A80" s="1" t="str">
        <x:v>C0079</x:v>
      </x:c>
      <x:c r="B80" s="1" t="str">
        <x:v>Elena</x:v>
      </x:c>
      <x:c r="C80" s="1" t="str">
        <x:v>customer0079@example.com</x:v>
      </x:c>
      <x:c r="D80" s="1" t="str">
        <x:v>UK</x:v>
      </x:c>
      <x:c r="E80" s="5" t="d">
        <x:v>2025-09-15T00:00:00.000Z</x:v>
      </x:c>
      <x:c r="F80" s="5" t="d">
        <x:v>2026-07-21T00:00:00.000Z</x:v>
      </x:c>
      <x:c r="G80" s="1" t="n">
        <x:v>8</x:v>
      </x:c>
      <x:c r="H80" s="6" t="n">
        <x:v>515.53</x:v>
      </x:c>
      <x:c r="I80" s="1" t="n">
        <x:v>6</x:v>
      </x:c>
      <x:c r="J80" s="1" t="str">
        <x:v>web</x:v>
      </x:c>
      <x:c r="K80" s="7" t="n">
        <x:f>DATE(2026,10,1)-F80</x:f>
        <x:v>72</x:v>
      </x:c>
      <x:c r="L80" s="7" t="n">
        <x:f>IF(K80&lt;=30,3,IF(K80&lt;=90,2,1))</x:f>
        <x:v>2</x:v>
      </x:c>
      <x:c r="M80" s="7" t="n">
        <x:f>IF(G80&gt;=8,3,IF(G80&gt;=3,2,1))</x:f>
        <x:v>3</x:v>
      </x:c>
      <x:c r="N80" s="7" t="n">
        <x:f>IF(H80&gt;=600,3,IF(H80&gt;=200,2,1))</x:f>
        <x:v>2</x:v>
      </x:c>
      <x:c r="O80" s="1" t="str">
        <x:f>IF(AND(L80=3,M80=3),"Champions",IF(AND(L80=1,M80&gt;=2),"At risk",IF(AND(L80=3,M80=1),"New",IF(AND(L80=1,M80=1),"Hibernating",IF(AND(L80=2,M80=1),"Promising","Loyal")))))</x:f>
        <x:v>Loyal</x:v>
      </x:c>
    </x:row>
    <x:row r="81">
      <x:c r="A81" s="1" t="str">
        <x:v>C0080</x:v>
      </x:c>
      <x:c r="B81" s="1" t="str">
        <x:v>Samuel</x:v>
      </x:c>
      <x:c r="C81" s="1" t="str">
        <x:v>customer0080@example.com</x:v>
      </x:c>
      <x:c r="D81" s="1" t="str">
        <x:v>UAE</x:v>
      </x:c>
      <x:c r="E81" s="5" t="d">
        <x:v>2025-06-17T00:00:00.000Z</x:v>
      </x:c>
      <x:c r="F81" s="5" t="d">
        <x:v>2026-05-29T00:00:00.000Z</x:v>
      </x:c>
      <x:c r="G81" s="1" t="n">
        <x:v>8</x:v>
      </x:c>
      <x:c r="H81" s="6" t="n">
        <x:v>252</x:v>
      </x:c>
      <x:c r="I81" s="1" t="n">
        <x:v>1</x:v>
      </x:c>
      <x:c r="J81" s="1" t="str">
        <x:v>app</x:v>
      </x:c>
      <x:c r="K81" s="7" t="n">
        <x:f>DATE(2026,10,1)-F81</x:f>
        <x:v>125</x:v>
      </x:c>
      <x:c r="L81" s="7" t="n">
        <x:f>IF(K81&lt;=30,3,IF(K81&lt;=90,2,1))</x:f>
        <x:v>1</x:v>
      </x:c>
      <x:c r="M81" s="7" t="n">
        <x:f>IF(G81&gt;=8,3,IF(G81&gt;=3,2,1))</x:f>
        <x:v>3</x:v>
      </x:c>
      <x:c r="N81" s="7" t="n">
        <x:f>IF(H81&gt;=600,3,IF(H81&gt;=200,2,1))</x:f>
        <x:v>2</x:v>
      </x:c>
      <x:c r="O81" s="1" t="str">
        <x:f>IF(AND(L81=3,M81=3),"Champions",IF(AND(L81=1,M81&gt;=2),"At risk",IF(AND(L81=3,M81=1),"New",IF(AND(L81=1,M81=1),"Hibernating",IF(AND(L81=2,M81=1),"Promising","Loyal")))))</x:f>
        <x:v>At risk</x:v>
      </x:c>
    </x:row>
    <x:row r="82">
      <x:c r="A82" s="1" t="str">
        <x:v>C0081</x:v>
      </x:c>
      <x:c r="B82" s="1" t="str">
        <x:v>Mateo</x:v>
      </x:c>
      <x:c r="C82" s="1" t="str">
        <x:v>customer0081@example.com</x:v>
      </x:c>
      <x:c r="D82" s="1" t="str">
        <x:v>UAE</x:v>
      </x:c>
      <x:c r="E82" s="5" t="d">
        <x:v>2026-08-29T00:00:00.000Z</x:v>
      </x:c>
      <x:c r="F82" s="5" t="d">
        <x:v>2026-09-02T00:00:00.000Z</x:v>
      </x:c>
      <x:c r="G82" s="1" t="n">
        <x:v>2</x:v>
      </x:c>
      <x:c r="H82" s="6" t="n">
        <x:v>60.51</x:v>
      </x:c>
      <x:c r="I82" s="1" t="n">
        <x:v>9</x:v>
      </x:c>
      <x:c r="J82" s="1" t="str">
        <x:v>app</x:v>
      </x:c>
      <x:c r="K82" s="7" t="n">
        <x:f>DATE(2026,10,1)-F82</x:f>
        <x:v>29</x:v>
      </x:c>
      <x:c r="L82" s="7" t="n">
        <x:f>IF(K82&lt;=30,3,IF(K82&lt;=90,2,1))</x:f>
        <x:v>3</x:v>
      </x:c>
      <x:c r="M82" s="7" t="n">
        <x:f>IF(G82&gt;=8,3,IF(G82&gt;=3,2,1))</x:f>
        <x:v>1</x:v>
      </x:c>
      <x:c r="N82" s="7" t="n">
        <x:f>IF(H82&gt;=600,3,IF(H82&gt;=200,2,1))</x:f>
        <x:v>1</x:v>
      </x:c>
      <x:c r="O82" s="1" t="str">
        <x:f>IF(AND(L82=3,M82=3),"Champions",IF(AND(L82=1,M82&gt;=2),"At risk",IF(AND(L82=3,M82=1),"New",IF(AND(L82=1,M82=1),"Hibernating",IF(AND(L82=2,M82=1),"Promising","Loyal")))))</x:f>
        <x:v>New</x:v>
      </x:c>
    </x:row>
    <x:row r="83">
      <x:c r="A83" s="1" t="str">
        <x:v>C0082</x:v>
      </x:c>
      <x:c r="B83" s="1" t="str">
        <x:v>Omar</x:v>
      </x:c>
      <x:c r="C83" s="1" t="str">
        <x:v>customer0082@example.com</x:v>
      </x:c>
      <x:c r="D83" s="1" t="str">
        <x:v>Singapore</x:v>
      </x:c>
      <x:c r="E83" s="5" t="d">
        <x:v>2026-06-10T00:00:00.000Z</x:v>
      </x:c>
      <x:c r="F83" s="5" t="d">
        <x:v>2026-07-29T00:00:00.000Z</x:v>
      </x:c>
      <x:c r="G83" s="1" t="n">
        <x:v>9</x:v>
      </x:c>
      <x:c r="H83" s="6" t="n">
        <x:v>392.61</x:v>
      </x:c>
      <x:c r="I83" s="1" t="n">
        <x:v>0</x:v>
      </x:c>
      <x:c r="J83" s="1" t="str">
        <x:v>store</x:v>
      </x:c>
      <x:c r="K83" s="7" t="n">
        <x:f>DATE(2026,10,1)-F83</x:f>
        <x:v>64</x:v>
      </x:c>
      <x:c r="L83" s="7" t="n">
        <x:f>IF(K83&lt;=30,3,IF(K83&lt;=90,2,1))</x:f>
        <x:v>2</x:v>
      </x:c>
      <x:c r="M83" s="7" t="n">
        <x:f>IF(G83&gt;=8,3,IF(G83&gt;=3,2,1))</x:f>
        <x:v>3</x:v>
      </x:c>
      <x:c r="N83" s="7" t="n">
        <x:f>IF(H83&gt;=600,3,IF(H83&gt;=200,2,1))</x:f>
        <x:v>2</x:v>
      </x:c>
      <x:c r="O83" s="1" t="str">
        <x:f>IF(AND(L83=3,M83=3),"Champions",IF(AND(L83=1,M83&gt;=2),"At risk",IF(AND(L83=3,M83=1),"New",IF(AND(L83=1,M83=1),"Hibernating",IF(AND(L83=2,M83=1),"Promising","Loyal")))))</x:f>
        <x:v>Loyal</x:v>
      </x:c>
    </x:row>
    <x:row r="84">
      <x:c r="A84" s="1" t="str">
        <x:v>C0083</x:v>
      </x:c>
      <x:c r="B84" s="1" t="str">
        <x:v>Ethan</x:v>
      </x:c>
      <x:c r="C84" s="1" t="str">
        <x:v>customer0083@example.com</x:v>
      </x:c>
      <x:c r="D84" s="1" t="str">
        <x:v>Brazil</x:v>
      </x:c>
      <x:c r="E84" s="5" t="d">
        <x:v>2025-06-13T00:00:00.000Z</x:v>
      </x:c>
      <x:c r="F84" s="5" t="d">
        <x:v>2026-09-02T00:00:00.000Z</x:v>
      </x:c>
      <x:c r="G84" s="1" t="n">
        <x:v>4</x:v>
      </x:c>
      <x:c r="H84" s="6" t="n">
        <x:v>879.73</x:v>
      </x:c>
      <x:c r="I84" s="1" t="n">
        <x:v>3</x:v>
      </x:c>
      <x:c r="J84" s="1" t="str">
        <x:v>web</x:v>
      </x:c>
      <x:c r="K84" s="7" t="n">
        <x:f>DATE(2026,10,1)-F84</x:f>
        <x:v>29</x:v>
      </x:c>
      <x:c r="L84" s="7" t="n">
        <x:f>IF(K84&lt;=30,3,IF(K84&lt;=90,2,1))</x:f>
        <x:v>3</x:v>
      </x:c>
      <x:c r="M84" s="7" t="n">
        <x:f>IF(G84&gt;=8,3,IF(G84&gt;=3,2,1))</x:f>
        <x:v>2</x:v>
      </x:c>
      <x:c r="N84" s="7" t="n">
        <x:f>IF(H84&gt;=600,3,IF(H84&gt;=200,2,1))</x:f>
        <x:v>3</x:v>
      </x:c>
      <x:c r="O84" s="1" t="str">
        <x:f>IF(AND(L84=3,M84=3),"Champions",IF(AND(L84=1,M84&gt;=2),"At risk",IF(AND(L84=3,M84=1),"New",IF(AND(L84=1,M84=1),"Hibernating",IF(AND(L84=2,M84=1),"Promising","Loyal")))))</x:f>
        <x:v>Loyal</x:v>
      </x:c>
    </x:row>
    <x:row r="85">
      <x:c r="A85" s="1" t="str">
        <x:v>C0084</x:v>
      </x:c>
      <x:c r="B85" s="1" t="str">
        <x:v>Mateo</x:v>
      </x:c>
      <x:c r="C85" s="1" t="str">
        <x:v>customer0084@example.com</x:v>
      </x:c>
      <x:c r="D85" s="1" t="str">
        <x:v>Japan</x:v>
      </x:c>
      <x:c r="E85" s="5" t="d">
        <x:v>2024-02-09T00:00:00.000Z</x:v>
      </x:c>
      <x:c r="F85" s="5" t="d">
        <x:v>2025-11-16T00:00:00.000Z</x:v>
      </x:c>
      <x:c r="G85" s="1" t="n">
        <x:v>1</x:v>
      </x:c>
      <x:c r="H85" s="6" t="n">
        <x:v>157.09</x:v>
      </x:c>
      <x:c r="I85" s="1" t="n">
        <x:v>8</x:v>
      </x:c>
      <x:c r="J85" s="1" t="str">
        <x:v>app</x:v>
      </x:c>
      <x:c r="K85" s="7" t="n">
        <x:f>DATE(2026,10,1)-F85</x:f>
        <x:v>319</x:v>
      </x:c>
      <x:c r="L85" s="7" t="n">
        <x:f>IF(K85&lt;=30,3,IF(K85&lt;=90,2,1))</x:f>
        <x:v>1</x:v>
      </x:c>
      <x:c r="M85" s="7" t="n">
        <x:f>IF(G85&gt;=8,3,IF(G85&gt;=3,2,1))</x:f>
        <x:v>1</x:v>
      </x:c>
      <x:c r="N85" s="7" t="n">
        <x:f>IF(H85&gt;=600,3,IF(H85&gt;=200,2,1))</x:f>
        <x:v>1</x:v>
      </x:c>
      <x:c r="O85" s="1" t="str">
        <x:f>IF(AND(L85=3,M85=3),"Champions",IF(AND(L85=1,M85&gt;=2),"At risk",IF(AND(L85=3,M85=1),"New",IF(AND(L85=1,M85=1),"Hibernating",IF(AND(L85=2,M85=1),"Promising","Loyal")))))</x:f>
        <x:v>Hibernating</x:v>
      </x:c>
    </x:row>
    <x:row r="86">
      <x:c r="A86" s="1" t="str">
        <x:v>C0085</x:v>
      </x:c>
      <x:c r="B86" s="1" t="str">
        <x:v>Felix</x:v>
      </x:c>
      <x:c r="C86" s="1" t="str">
        <x:v>customer0085@example.com</x:v>
      </x:c>
      <x:c r="D86" s="1" t="str">
        <x:v>Germany</x:v>
      </x:c>
      <x:c r="E86" s="5" t="d">
        <x:v>2026-09-21T00:00:00.000Z</x:v>
      </x:c>
      <x:c r="F86" s="5" t="d">
        <x:v>2026-09-29T00:00:00.000Z</x:v>
      </x:c>
      <x:c r="G86" s="1" t="n">
        <x:v>2</x:v>
      </x:c>
      <x:c r="H86" s="6" t="n">
        <x:v>92.14</x:v>
      </x:c>
      <x:c r="I86" s="1" t="n">
        <x:v>7</x:v>
      </x:c>
      <x:c r="J86" s="1" t="str">
        <x:v>app</x:v>
      </x:c>
      <x:c r="K86" s="7" t="n">
        <x:f>DATE(2026,10,1)-F86</x:f>
        <x:v>2</x:v>
      </x:c>
      <x:c r="L86" s="7" t="n">
        <x:f>IF(K86&lt;=30,3,IF(K86&lt;=90,2,1))</x:f>
        <x:v>3</x:v>
      </x:c>
      <x:c r="M86" s="7" t="n">
        <x:f>IF(G86&gt;=8,3,IF(G86&gt;=3,2,1))</x:f>
        <x:v>1</x:v>
      </x:c>
      <x:c r="N86" s="7" t="n">
        <x:f>IF(H86&gt;=600,3,IF(H86&gt;=200,2,1))</x:f>
        <x:v>1</x:v>
      </x:c>
      <x:c r="O86" s="1" t="str">
        <x:f>IF(AND(L86=3,M86=3),"Champions",IF(AND(L86=1,M86&gt;=2),"At risk",IF(AND(L86=3,M86=1),"New",IF(AND(L86=1,M86=1),"Hibernating",IF(AND(L86=2,M86=1),"Promising","Loyal")))))</x:f>
        <x:v>New</x:v>
      </x:c>
    </x:row>
    <x:row r="87">
      <x:c r="A87" s="1" t="str">
        <x:v>C0086</x:v>
      </x:c>
      <x:c r="B87" s="1" t="str">
        <x:v>Ines</x:v>
      </x:c>
      <x:c r="C87" s="1" t="str">
        <x:v>customer0086@example.com</x:v>
      </x:c>
      <x:c r="D87" s="1" t="str">
        <x:v>Germany</x:v>
      </x:c>
      <x:c r="E87" s="5" t="d">
        <x:v>2025-05-03T00:00:00.000Z</x:v>
      </x:c>
      <x:c r="F87" s="5" t="d">
        <x:v>2026-04-19T00:00:00.000Z</x:v>
      </x:c>
      <x:c r="G87" s="1" t="n">
        <x:v>1</x:v>
      </x:c>
      <x:c r="H87" s="6" t="n">
        <x:v>97.63</x:v>
      </x:c>
      <x:c r="I87" s="1" t="n">
        <x:v>4</x:v>
      </x:c>
      <x:c r="J87" s="1" t="str">
        <x:v>store</x:v>
      </x:c>
      <x:c r="K87" s="7" t="n">
        <x:f>DATE(2026,10,1)-F87</x:f>
        <x:v>165</x:v>
      </x:c>
      <x:c r="L87" s="7" t="n">
        <x:f>IF(K87&lt;=30,3,IF(K87&lt;=90,2,1))</x:f>
        <x:v>1</x:v>
      </x:c>
      <x:c r="M87" s="7" t="n">
        <x:f>IF(G87&gt;=8,3,IF(G87&gt;=3,2,1))</x:f>
        <x:v>1</x:v>
      </x:c>
      <x:c r="N87" s="7" t="n">
        <x:f>IF(H87&gt;=600,3,IF(H87&gt;=200,2,1))</x:f>
        <x:v>1</x:v>
      </x:c>
      <x:c r="O87" s="1" t="str">
        <x:f>IF(AND(L87=3,M87=3),"Champions",IF(AND(L87=1,M87&gt;=2),"At risk",IF(AND(L87=3,M87=1),"New",IF(AND(L87=1,M87=1),"Hibernating",IF(AND(L87=2,M87=1),"Promising","Loyal")))))</x:f>
        <x:v>Hibernating</x:v>
      </x:c>
    </x:row>
    <x:row r="88">
      <x:c r="A88" s="1" t="str">
        <x:v>C0087</x:v>
      </x:c>
      <x:c r="B88" s="1" t="str">
        <x:v>Ines</x:v>
      </x:c>
      <x:c r="C88" s="1" t="str">
        <x:v>customer0087@example.com</x:v>
      </x:c>
      <x:c r="D88" s="1" t="str">
        <x:v>Australia</x:v>
      </x:c>
      <x:c r="E88" s="5" t="d">
        <x:v>2026-08-26T00:00:00.000Z</x:v>
      </x:c>
      <x:c r="F88" s="5" t="d">
        <x:v>2026-09-10T00:00:00.000Z</x:v>
      </x:c>
      <x:c r="G88" s="1" t="n">
        <x:v>2</x:v>
      </x:c>
      <x:c r="H88" s="6" t="n">
        <x:v>84.99</x:v>
      </x:c>
      <x:c r="I88" s="1" t="n">
        <x:v>8</x:v>
      </x:c>
      <x:c r="J88" s="1" t="str">
        <x:v>store</x:v>
      </x:c>
      <x:c r="K88" s="7" t="n">
        <x:f>DATE(2026,10,1)-F88</x:f>
        <x:v>21</x:v>
      </x:c>
      <x:c r="L88" s="7" t="n">
        <x:f>IF(K88&lt;=30,3,IF(K88&lt;=90,2,1))</x:f>
        <x:v>3</x:v>
      </x:c>
      <x:c r="M88" s="7" t="n">
        <x:f>IF(G88&gt;=8,3,IF(G88&gt;=3,2,1))</x:f>
        <x:v>1</x:v>
      </x:c>
      <x:c r="N88" s="7" t="n">
        <x:f>IF(H88&gt;=600,3,IF(H88&gt;=200,2,1))</x:f>
        <x:v>1</x:v>
      </x:c>
      <x:c r="O88" s="1" t="str">
        <x:f>IF(AND(L88=3,M88=3),"Champions",IF(AND(L88=1,M88&gt;=2),"At risk",IF(AND(L88=3,M88=1),"New",IF(AND(L88=1,M88=1),"Hibernating",IF(AND(L88=2,M88=1),"Promising","Loyal")))))</x:f>
        <x:v>New</x:v>
      </x:c>
    </x:row>
    <x:row r="89">
      <x:c r="A89" s="1" t="str">
        <x:v>C0088</x:v>
      </x:c>
      <x:c r="B89" s="1" t="str">
        <x:v>Jonas</x:v>
      </x:c>
      <x:c r="C89" s="1" t="str">
        <x:v>customer0088@example.com</x:v>
      </x:c>
      <x:c r="D89" s="1" t="str">
        <x:v>Australia</x:v>
      </x:c>
      <x:c r="E89" s="5" t="d">
        <x:v>2024-12-21T00:00:00.000Z</x:v>
      </x:c>
      <x:c r="F89" s="5" t="d">
        <x:v>2026-05-17T00:00:00.000Z</x:v>
      </x:c>
      <x:c r="G89" s="1" t="n">
        <x:v>5</x:v>
      </x:c>
      <x:c r="H89" s="6" t="n">
        <x:v>336.45</x:v>
      </x:c>
      <x:c r="I89" s="1" t="n">
        <x:v>8</x:v>
      </x:c>
      <x:c r="J89" s="1" t="str">
        <x:v>app</x:v>
      </x:c>
      <x:c r="K89" s="7" t="n">
        <x:f>DATE(2026,10,1)-F89</x:f>
        <x:v>137</x:v>
      </x:c>
      <x:c r="L89" s="7" t="n">
        <x:f>IF(K89&lt;=30,3,IF(K89&lt;=90,2,1))</x:f>
        <x:v>1</x:v>
      </x:c>
      <x:c r="M89" s="7" t="n">
        <x:f>IF(G89&gt;=8,3,IF(G89&gt;=3,2,1))</x:f>
        <x:v>2</x:v>
      </x:c>
      <x:c r="N89" s="7" t="n">
        <x:f>IF(H89&gt;=600,3,IF(H89&gt;=200,2,1))</x:f>
        <x:v>2</x:v>
      </x:c>
      <x:c r="O89" s="1" t="str">
        <x:f>IF(AND(L89=3,M89=3),"Champions",IF(AND(L89=1,M89&gt;=2),"At risk",IF(AND(L89=3,M89=1),"New",IF(AND(L89=1,M89=1),"Hibernating",IF(AND(L89=2,M89=1),"Promising","Loyal")))))</x:f>
        <x:v>At risk</x:v>
      </x:c>
    </x:row>
    <x:row r="90">
      <x:c r="A90" s="1" t="str">
        <x:v>C0089</x:v>
      </x:c>
      <x:c r="B90" s="1" t="str">
        <x:v>Lucas</x:v>
      </x:c>
      <x:c r="C90" s="1" t="str">
        <x:v>customer0089@example.com</x:v>
      </x:c>
      <x:c r="D90" s="1" t="str">
        <x:v>USA</x:v>
      </x:c>
      <x:c r="E90" s="5" t="d">
        <x:v>2024-09-21T00:00:00.000Z</x:v>
      </x:c>
      <x:c r="F90" s="5" t="d">
        <x:v>2026-04-04T00:00:00.000Z</x:v>
      </x:c>
      <x:c r="G90" s="1" t="n">
        <x:v>10</x:v>
      </x:c>
      <x:c r="H90" s="6" t="n">
        <x:v>741.54</x:v>
      </x:c>
      <x:c r="I90" s="1" t="n">
        <x:v>1</x:v>
      </x:c>
      <x:c r="J90" s="1" t="str">
        <x:v>app</x:v>
      </x:c>
      <x:c r="K90" s="7" t="n">
        <x:f>DATE(2026,10,1)-F90</x:f>
        <x:v>180</x:v>
      </x:c>
      <x:c r="L90" s="7" t="n">
        <x:f>IF(K90&lt;=30,3,IF(K90&lt;=90,2,1))</x:f>
        <x:v>1</x:v>
      </x:c>
      <x:c r="M90" s="7" t="n">
        <x:f>IF(G90&gt;=8,3,IF(G90&gt;=3,2,1))</x:f>
        <x:v>3</x:v>
      </x:c>
      <x:c r="N90" s="7" t="n">
        <x:f>IF(H90&gt;=600,3,IF(H90&gt;=200,2,1))</x:f>
        <x:v>3</x:v>
      </x:c>
      <x:c r="O90" s="1" t="str">
        <x:f>IF(AND(L90=3,M90=3),"Champions",IF(AND(L90=1,M90&gt;=2),"At risk",IF(AND(L90=3,M90=1),"New",IF(AND(L90=1,M90=1),"Hibernating",IF(AND(L90=2,M90=1),"Promising","Loyal")))))</x:f>
        <x:v>At risk</x:v>
      </x:c>
    </x:row>
    <x:row r="91">
      <x:c r="A91" s="1" t="str">
        <x:v>C0090</x:v>
      </x:c>
      <x:c r="B91" s="1" t="str">
        <x:v>Yara</x:v>
      </x:c>
      <x:c r="C91" s="1" t="str">
        <x:v>customer0090@example.com</x:v>
      </x:c>
      <x:c r="D91" s="1" t="str">
        <x:v>Nigeria</x:v>
      </x:c>
      <x:c r="E91" s="5" t="d">
        <x:v>2025-12-20T00:00:00.000Z</x:v>
      </x:c>
      <x:c r="F91" s="5" t="d">
        <x:v>2026-09-10T00:00:00.000Z</x:v>
      </x:c>
      <x:c r="G91" s="1" t="n">
        <x:v>5</x:v>
      </x:c>
      <x:c r="H91" s="6" t="n">
        <x:v>367.39</x:v>
      </x:c>
      <x:c r="I91" s="1" t="n">
        <x:v>3</x:v>
      </x:c>
      <x:c r="J91" s="1" t="str">
        <x:v>app</x:v>
      </x:c>
      <x:c r="K91" s="7" t="n">
        <x:f>DATE(2026,10,1)-F91</x:f>
        <x:v>21</x:v>
      </x:c>
      <x:c r="L91" s="7" t="n">
        <x:f>IF(K91&lt;=30,3,IF(K91&lt;=90,2,1))</x:f>
        <x:v>3</x:v>
      </x:c>
      <x:c r="M91" s="7" t="n">
        <x:f>IF(G91&gt;=8,3,IF(G91&gt;=3,2,1))</x:f>
        <x:v>2</x:v>
      </x:c>
      <x:c r="N91" s="7" t="n">
        <x:f>IF(H91&gt;=600,3,IF(H91&gt;=200,2,1))</x:f>
        <x:v>2</x:v>
      </x:c>
      <x:c r="O91" s="1" t="str">
        <x:f>IF(AND(L91=3,M91=3),"Champions",IF(AND(L91=1,M91&gt;=2),"At risk",IF(AND(L91=3,M91=1),"New",IF(AND(L91=1,M91=1),"Hibernating",IF(AND(L91=2,M91=1),"Promising","Loyal")))))</x:f>
        <x:v>Loyal</x:v>
      </x:c>
    </x:row>
    <x:row r="92">
      <x:c r="A92" s="1" t="str">
        <x:v>C0091</x:v>
      </x:c>
      <x:c r="B92" s="1" t="str">
        <x:v>Lucas</x:v>
      </x:c>
      <x:c r="C92" s="1" t="str">
        <x:v>customer0091@example.com</x:v>
      </x:c>
      <x:c r="D92" s="1" t="str">
        <x:v>UAE</x:v>
      </x:c>
      <x:c r="E92" s="5" t="d">
        <x:v>2026-08-15T00:00:00.000Z</x:v>
      </x:c>
      <x:c r="F92" s="5" t="d">
        <x:v>2026-09-17T00:00:00.000Z</x:v>
      </x:c>
      <x:c r="G92" s="1" t="n">
        <x:v>2</x:v>
      </x:c>
      <x:c r="H92" s="6" t="n">
        <x:v>86.22</x:v>
      </x:c>
      <x:c r="I92" s="1" t="n">
        <x:v>4</x:v>
      </x:c>
      <x:c r="J92" s="1" t="str">
        <x:v>web</x:v>
      </x:c>
      <x:c r="K92" s="7" t="n">
        <x:f>DATE(2026,10,1)-F92</x:f>
        <x:v>14</x:v>
      </x:c>
      <x:c r="L92" s="7" t="n">
        <x:f>IF(K92&lt;=30,3,IF(K92&lt;=90,2,1))</x:f>
        <x:v>3</x:v>
      </x:c>
      <x:c r="M92" s="7" t="n">
        <x:f>IF(G92&gt;=8,3,IF(G92&gt;=3,2,1))</x:f>
        <x:v>1</x:v>
      </x:c>
      <x:c r="N92" s="7" t="n">
        <x:f>IF(H92&gt;=600,3,IF(H92&gt;=200,2,1))</x:f>
        <x:v>1</x:v>
      </x:c>
      <x:c r="O92" s="1" t="str">
        <x:f>IF(AND(L92=3,M92=3),"Champions",IF(AND(L92=1,M92&gt;=2),"At risk",IF(AND(L92=3,M92=1),"New",IF(AND(L92=1,M92=1),"Hibernating",IF(AND(L92=2,M92=1),"Promising","Loyal")))))</x:f>
        <x:v>New</x:v>
      </x:c>
    </x:row>
    <x:row r="93">
      <x:c r="A93" s="1" t="str">
        <x:v>C0092</x:v>
      </x:c>
      <x:c r="B93" s="1" t="str">
        <x:v>Kenji</x:v>
      </x:c>
      <x:c r="C93" s="1" t="str">
        <x:v>customer0092@example.com</x:v>
      </x:c>
      <x:c r="D93" s="1" t="str">
        <x:v>Japan</x:v>
      </x:c>
      <x:c r="E93" s="5" t="d">
        <x:v>2024-10-08T00:00:00.000Z</x:v>
      </x:c>
      <x:c r="F93" s="5" t="d">
        <x:v>2025-10-11T00:00:00.000Z</x:v>
      </x:c>
      <x:c r="G93" s="1" t="n">
        <x:v>2</x:v>
      </x:c>
      <x:c r="H93" s="6" t="n">
        <x:v>115.5</x:v>
      </x:c>
      <x:c r="I93" s="1" t="n">
        <x:v>8</x:v>
      </x:c>
      <x:c r="J93" s="1" t="str">
        <x:v>store</x:v>
      </x:c>
      <x:c r="K93" s="7" t="n">
        <x:f>DATE(2026,10,1)-F93</x:f>
        <x:v>355</x:v>
      </x:c>
      <x:c r="L93" s="7" t="n">
        <x:f>IF(K93&lt;=30,3,IF(K93&lt;=90,2,1))</x:f>
        <x:v>1</x:v>
      </x:c>
      <x:c r="M93" s="7" t="n">
        <x:f>IF(G93&gt;=8,3,IF(G93&gt;=3,2,1))</x:f>
        <x:v>1</x:v>
      </x:c>
      <x:c r="N93" s="7" t="n">
        <x:f>IF(H93&gt;=600,3,IF(H93&gt;=200,2,1))</x:f>
        <x:v>1</x:v>
      </x:c>
      <x:c r="O93" s="1" t="str">
        <x:f>IF(AND(L93=3,M93=3),"Champions",IF(AND(L93=1,M93&gt;=2),"At risk",IF(AND(L93=3,M93=1),"New",IF(AND(L93=1,M93=1),"Hibernating",IF(AND(L93=2,M93=1),"Promising","Loyal")))))</x:f>
        <x:v>Hibernating</x:v>
      </x:c>
    </x:row>
    <x:row r="94">
      <x:c r="A94" s="1" t="str">
        <x:v>C0093</x:v>
      </x:c>
      <x:c r="B94" s="1" t="str">
        <x:v>Mateo</x:v>
      </x:c>
      <x:c r="C94" s="1" t="str">
        <x:v>customer0093@example.com</x:v>
      </x:c>
      <x:c r="D94" s="1" t="str">
        <x:v>UAE</x:v>
      </x:c>
      <x:c r="E94" s="5" t="d">
        <x:v>2025-06-24T00:00:00.000Z</x:v>
      </x:c>
      <x:c r="F94" s="5" t="d">
        <x:v>2026-03-05T00:00:00.000Z</x:v>
      </x:c>
      <x:c r="G94" s="1" t="n">
        <x:v>1</x:v>
      </x:c>
      <x:c r="H94" s="6" t="n">
        <x:v>62.43</x:v>
      </x:c>
      <x:c r="I94" s="1" t="n">
        <x:v>10</x:v>
      </x:c>
      <x:c r="J94" s="1" t="str">
        <x:v>web</x:v>
      </x:c>
      <x:c r="K94" s="7" t="n">
        <x:f>DATE(2026,10,1)-F94</x:f>
        <x:v>210</x:v>
      </x:c>
      <x:c r="L94" s="7" t="n">
        <x:f>IF(K94&lt;=30,3,IF(K94&lt;=90,2,1))</x:f>
        <x:v>1</x:v>
      </x:c>
      <x:c r="M94" s="7" t="n">
        <x:f>IF(G94&gt;=8,3,IF(G94&gt;=3,2,1))</x:f>
        <x:v>1</x:v>
      </x:c>
      <x:c r="N94" s="7" t="n">
        <x:f>IF(H94&gt;=600,3,IF(H94&gt;=200,2,1))</x:f>
        <x:v>1</x:v>
      </x:c>
      <x:c r="O94" s="1" t="str">
        <x:f>IF(AND(L94=3,M94=3),"Champions",IF(AND(L94=1,M94&gt;=2),"At risk",IF(AND(L94=3,M94=1),"New",IF(AND(L94=1,M94=1),"Hibernating",IF(AND(L94=2,M94=1),"Promising","Loyal")))))</x:f>
        <x:v>Hibernating</x:v>
      </x:c>
    </x:row>
    <x:row r="95">
      <x:c r="A95" s="1" t="str">
        <x:v>C0094</x:v>
      </x:c>
      <x:c r="B95" s="1" t="str">
        <x:v>Arjun</x:v>
      </x:c>
      <x:c r="C95" s="1" t="str">
        <x:v>customer0094@example.com</x:v>
      </x:c>
      <x:c r="D95" s="1" t="str">
        <x:v>Australia</x:v>
      </x:c>
      <x:c r="E95" s="5" t="d">
        <x:v>2025-01-30T00:00:00.000Z</x:v>
      </x:c>
      <x:c r="F95" s="5" t="d">
        <x:v>2026-04-10T00:00:00.000Z</x:v>
      </x:c>
      <x:c r="G95" s="1" t="n">
        <x:v>3</x:v>
      </x:c>
      <x:c r="H95" s="6" t="n">
        <x:v>396.33</x:v>
      </x:c>
      <x:c r="I95" s="1" t="n">
        <x:v>9</x:v>
      </x:c>
      <x:c r="J95" s="1" t="str">
        <x:v>web</x:v>
      </x:c>
      <x:c r="K95" s="7" t="n">
        <x:f>DATE(2026,10,1)-F95</x:f>
        <x:v>174</x:v>
      </x:c>
      <x:c r="L95" s="7" t="n">
        <x:f>IF(K95&lt;=30,3,IF(K95&lt;=90,2,1))</x:f>
        <x:v>1</x:v>
      </x:c>
      <x:c r="M95" s="7" t="n">
        <x:f>IF(G95&gt;=8,3,IF(G95&gt;=3,2,1))</x:f>
        <x:v>2</x:v>
      </x:c>
      <x:c r="N95" s="7" t="n">
        <x:f>IF(H95&gt;=600,3,IF(H95&gt;=200,2,1))</x:f>
        <x:v>2</x:v>
      </x:c>
      <x:c r="O95" s="1" t="str">
        <x:f>IF(AND(L95=3,M95=3),"Champions",IF(AND(L95=1,M95&gt;=2),"At risk",IF(AND(L95=3,M95=1),"New",IF(AND(L95=1,M95=1),"Hibernating",IF(AND(L95=2,M95=1),"Promising","Loyal")))))</x:f>
        <x:v>At risk</x:v>
      </x:c>
    </x:row>
    <x:row r="96">
      <x:c r="A96" s="1" t="str">
        <x:v>C0095</x:v>
      </x:c>
      <x:c r="B96" s="1" t="str">
        <x:v>Zara</x:v>
      </x:c>
      <x:c r="C96" s="1" t="str">
        <x:v>customer0095@example.com</x:v>
      </x:c>
      <x:c r="D96" s="1" t="str">
        <x:v>Singapore</x:v>
      </x:c>
      <x:c r="E96" s="5" t="d">
        <x:v>2025-06-16T00:00:00.000Z</x:v>
      </x:c>
      <x:c r="F96" s="5" t="d">
        <x:v>2026-09-18T00:00:00.000Z</x:v>
      </x:c>
      <x:c r="G96" s="1" t="n">
        <x:v>16</x:v>
      </x:c>
      <x:c r="H96" s="6" t="n">
        <x:v>1968.74</x:v>
      </x:c>
      <x:c r="I96" s="1" t="n">
        <x:v>3</x:v>
      </x:c>
      <x:c r="J96" s="1" t="str">
        <x:v>app</x:v>
      </x:c>
      <x:c r="K96" s="7" t="n">
        <x:f>DATE(2026,10,1)-F96</x:f>
        <x:v>13</x:v>
      </x:c>
      <x:c r="L96" s="7" t="n">
        <x:f>IF(K96&lt;=30,3,IF(K96&lt;=90,2,1))</x:f>
        <x:v>3</x:v>
      </x:c>
      <x:c r="M96" s="7" t="n">
        <x:f>IF(G96&gt;=8,3,IF(G96&gt;=3,2,1))</x:f>
        <x:v>3</x:v>
      </x:c>
      <x:c r="N96" s="7" t="n">
        <x:f>IF(H96&gt;=600,3,IF(H96&gt;=200,2,1))</x:f>
        <x:v>3</x:v>
      </x:c>
      <x:c r="O96" s="1" t="str">
        <x:f>IF(AND(L96=3,M96=3),"Champions",IF(AND(L96=1,M96&gt;=2),"At risk",IF(AND(L96=3,M96=1),"New",IF(AND(L96=1,M96=1),"Hibernating",IF(AND(L96=2,M96=1),"Promising","Loyal")))))</x:f>
        <x:v>Champions</x:v>
      </x:c>
    </x:row>
    <x:row r="97">
      <x:c r="A97" s="1" t="str">
        <x:v>C0096</x:v>
      </x:c>
      <x:c r="B97" s="1" t="str">
        <x:v>Mei</x:v>
      </x:c>
      <x:c r="C97" s="1" t="str">
        <x:v>customer0096@example.com</x:v>
      </x:c>
      <x:c r="D97" s="1" t="str">
        <x:v>Australia</x:v>
      </x:c>
      <x:c r="E97" s="5" t="d">
        <x:v>2024-11-15T00:00:00.000Z</x:v>
      </x:c>
      <x:c r="F97" s="5" t="d">
        <x:v>2026-09-08T00:00:00.000Z</x:v>
      </x:c>
      <x:c r="G97" s="1" t="n">
        <x:v>9</x:v>
      </x:c>
      <x:c r="H97" s="6" t="n">
        <x:v>705.21</x:v>
      </x:c>
      <x:c r="I97" s="1" t="n">
        <x:v>1</x:v>
      </x:c>
      <x:c r="J97" s="1" t="str">
        <x:v>store</x:v>
      </x:c>
      <x:c r="K97" s="7" t="n">
        <x:f>DATE(2026,10,1)-F97</x:f>
        <x:v>23</x:v>
      </x:c>
      <x:c r="L97" s="7" t="n">
        <x:f>IF(K97&lt;=30,3,IF(K97&lt;=90,2,1))</x:f>
        <x:v>3</x:v>
      </x:c>
      <x:c r="M97" s="7" t="n">
        <x:f>IF(G97&gt;=8,3,IF(G97&gt;=3,2,1))</x:f>
        <x:v>3</x:v>
      </x:c>
      <x:c r="N97" s="7" t="n">
        <x:f>IF(H97&gt;=600,3,IF(H97&gt;=200,2,1))</x:f>
        <x:v>3</x:v>
      </x:c>
      <x:c r="O97" s="1" t="str">
        <x:f>IF(AND(L97=3,M97=3),"Champions",IF(AND(L97=1,M97&gt;=2),"At risk",IF(AND(L97=3,M97=1),"New",IF(AND(L97=1,M97=1),"Hibernating",IF(AND(L97=2,M97=1),"Promising","Loyal")))))</x:f>
        <x:v>Champions</x:v>
      </x:c>
    </x:row>
    <x:row r="98">
      <x:c r="A98" s="1" t="str">
        <x:v>C0097</x:v>
      </x:c>
      <x:c r="B98" s="1" t="str">
        <x:v>Felix</x:v>
      </x:c>
      <x:c r="C98" s="1" t="str">
        <x:v>customer0097@example.com</x:v>
      </x:c>
      <x:c r="D98" s="1" t="str">
        <x:v>Germany</x:v>
      </x:c>
      <x:c r="E98" s="5" t="d">
        <x:v>2026-05-16T00:00:00.000Z</x:v>
      </x:c>
      <x:c r="F98" s="5" t="d">
        <x:v>2026-06-23T00:00:00.000Z</x:v>
      </x:c>
      <x:c r="G98" s="1" t="n">
        <x:v>1</x:v>
      </x:c>
      <x:c r="H98" s="6" t="n">
        <x:v>55.7</x:v>
      </x:c>
      <x:c r="I98" s="1" t="n">
        <x:v>2</x:v>
      </x:c>
      <x:c r="J98" s="1" t="str">
        <x:v>store</x:v>
      </x:c>
      <x:c r="K98" s="7" t="n">
        <x:f>DATE(2026,10,1)-F98</x:f>
        <x:v>100</x:v>
      </x:c>
      <x:c r="L98" s="7" t="n">
        <x:f>IF(K98&lt;=30,3,IF(K98&lt;=90,2,1))</x:f>
        <x:v>1</x:v>
      </x:c>
      <x:c r="M98" s="7" t="n">
        <x:f>IF(G98&gt;=8,3,IF(G98&gt;=3,2,1))</x:f>
        <x:v>1</x:v>
      </x:c>
      <x:c r="N98" s="7" t="n">
        <x:f>IF(H98&gt;=600,3,IF(H98&gt;=200,2,1))</x:f>
        <x:v>1</x:v>
      </x:c>
      <x:c r="O98" s="1" t="str">
        <x:f>IF(AND(L98=3,M98=3),"Champions",IF(AND(L98=1,M98&gt;=2),"At risk",IF(AND(L98=3,M98=1),"New",IF(AND(L98=1,M98=1),"Hibernating",IF(AND(L98=2,M98=1),"Promising","Loyal")))))</x:f>
        <x:v>Hibernating</x:v>
      </x:c>
    </x:row>
    <x:row r="99">
      <x:c r="A99" s="1" t="str">
        <x:v>C0098</x:v>
      </x:c>
      <x:c r="B99" s="1" t="str">
        <x:v>Leo</x:v>
      </x:c>
      <x:c r="C99" s="1" t="str">
        <x:v>customer0098@example.com</x:v>
      </x:c>
      <x:c r="D99" s="1" t="str">
        <x:v>Germany</x:v>
      </x:c>
      <x:c r="E99" s="5" t="d">
        <x:v>2026-04-18T00:00:00.000Z</x:v>
      </x:c>
      <x:c r="F99" s="5" t="d">
        <x:v>2026-07-28T00:00:00.000Z</x:v>
      </x:c>
      <x:c r="G99" s="1" t="n">
        <x:v>8</x:v>
      </x:c>
      <x:c r="H99" s="6" t="n">
        <x:v>734.69</x:v>
      </x:c>
      <x:c r="I99" s="1" t="n">
        <x:v>8</x:v>
      </x:c>
      <x:c r="J99" s="1" t="str">
        <x:v>store</x:v>
      </x:c>
      <x:c r="K99" s="7" t="n">
        <x:f>DATE(2026,10,1)-F99</x:f>
        <x:v>65</x:v>
      </x:c>
      <x:c r="L99" s="7" t="n">
        <x:f>IF(K99&lt;=30,3,IF(K99&lt;=90,2,1))</x:f>
        <x:v>2</x:v>
      </x:c>
      <x:c r="M99" s="7" t="n">
        <x:f>IF(G99&gt;=8,3,IF(G99&gt;=3,2,1))</x:f>
        <x:v>3</x:v>
      </x:c>
      <x:c r="N99" s="7" t="n">
        <x:f>IF(H99&gt;=600,3,IF(H99&gt;=200,2,1))</x:f>
        <x:v>3</x:v>
      </x:c>
      <x:c r="O99" s="1" t="str">
        <x:f>IF(AND(L99=3,M99=3),"Champions",IF(AND(L99=1,M99&gt;=2),"At risk",IF(AND(L99=3,M99=1),"New",IF(AND(L99=1,M99=1),"Hibernating",IF(AND(L99=2,M99=1),"Promising","Loyal")))))</x:f>
        <x:v>Loyal</x:v>
      </x:c>
    </x:row>
    <x:row r="100">
      <x:c r="A100" s="1" t="str">
        <x:v>C0099</x:v>
      </x:c>
      <x:c r="B100" s="1" t="str">
        <x:v>Aarav</x:v>
      </x:c>
      <x:c r="C100" s="1" t="str">
        <x:v>customer0099@example.com</x:v>
      </x:c>
      <x:c r="D100" s="1" t="str">
        <x:v>Japan</x:v>
      </x:c>
      <x:c r="E100" s="5" t="d">
        <x:v>2026-08-18T00:00:00.000Z</x:v>
      </x:c>
      <x:c r="F100" s="5" t="d">
        <x:v>2026-08-19T00:00:00.000Z</x:v>
      </x:c>
      <x:c r="G100" s="1" t="n">
        <x:v>4</x:v>
      </x:c>
      <x:c r="H100" s="6" t="n">
        <x:v>753.34</x:v>
      </x:c>
      <x:c r="I100" s="1" t="n">
        <x:v>4</x:v>
      </x:c>
      <x:c r="J100" s="1" t="str">
        <x:v>web</x:v>
      </x:c>
      <x:c r="K100" s="7" t="n">
        <x:f>DATE(2026,10,1)-F100</x:f>
        <x:v>43</x:v>
      </x:c>
      <x:c r="L100" s="7" t="n">
        <x:f>IF(K100&lt;=30,3,IF(K100&lt;=90,2,1))</x:f>
        <x:v>2</x:v>
      </x:c>
      <x:c r="M100" s="7" t="n">
        <x:f>IF(G100&gt;=8,3,IF(G100&gt;=3,2,1))</x:f>
        <x:v>2</x:v>
      </x:c>
      <x:c r="N100" s="7" t="n">
        <x:f>IF(H100&gt;=600,3,IF(H100&gt;=200,2,1))</x:f>
        <x:v>3</x:v>
      </x:c>
      <x:c r="O100" s="1" t="str">
        <x:f>IF(AND(L100=3,M100=3),"Champions",IF(AND(L100=1,M100&gt;=2),"At risk",IF(AND(L100=3,M100=1),"New",IF(AND(L100=1,M100=1),"Hibernating",IF(AND(L100=2,M100=1),"Promising","Loyal")))))</x:f>
        <x:v>Loyal</x:v>
      </x:c>
    </x:row>
    <x:row r="101">
      <x:c r="A101" s="1" t="str">
        <x:v>C0100</x:v>
      </x:c>
      <x:c r="B101" s="1" t="str">
        <x:v>Priya</x:v>
      </x:c>
      <x:c r="C101" s="1" t="str">
        <x:v>customer0100@example.com</x:v>
      </x:c>
      <x:c r="D101" s="1" t="str">
        <x:v>Japan</x:v>
      </x:c>
      <x:c r="E101" s="5" t="d">
        <x:v>2025-12-07T00:00:00.000Z</x:v>
      </x:c>
      <x:c r="F101" s="5" t="d">
        <x:v>2026-08-12T00:00:00.000Z</x:v>
      </x:c>
      <x:c r="G101" s="1" t="n">
        <x:v>8</x:v>
      </x:c>
      <x:c r="H101" s="6" t="n">
        <x:v>787.59</x:v>
      </x:c>
      <x:c r="I101" s="1" t="n">
        <x:v>3</x:v>
      </x:c>
      <x:c r="J101" s="1" t="str">
        <x:v>store</x:v>
      </x:c>
      <x:c r="K101" s="7" t="n">
        <x:f>DATE(2026,10,1)-F101</x:f>
        <x:v>50</x:v>
      </x:c>
      <x:c r="L101" s="7" t="n">
        <x:f>IF(K101&lt;=30,3,IF(K101&lt;=90,2,1))</x:f>
        <x:v>2</x:v>
      </x:c>
      <x:c r="M101" s="7" t="n">
        <x:f>IF(G101&gt;=8,3,IF(G101&gt;=3,2,1))</x:f>
        <x:v>3</x:v>
      </x:c>
      <x:c r="N101" s="7" t="n">
        <x:f>IF(H101&gt;=600,3,IF(H101&gt;=200,2,1))</x:f>
        <x:v>3</x:v>
      </x:c>
      <x:c r="O101" s="1" t="str">
        <x:f>IF(AND(L101=3,M101=3),"Champions",IF(AND(L101=1,M101&gt;=2),"At risk",IF(AND(L101=3,M101=1),"New",IF(AND(L101=1,M101=1),"Hibernating",IF(AND(L101=2,M101=1),"Promising","Loyal")))))</x:f>
        <x:v>Loyal</x:v>
      </x:c>
    </x:row>
    <x:row r="102">
      <x:c r="A102" s="1" t="str">
        <x:v>C0101</x:v>
      </x:c>
      <x:c r="B102" s="1" t="str">
        <x:v>Aarav</x:v>
      </x:c>
      <x:c r="C102" s="1" t="str">
        <x:v>customer0101@example.com</x:v>
      </x:c>
      <x:c r="D102" s="1" t="str">
        <x:v>USA</x:v>
      </x:c>
      <x:c r="E102" s="5" t="d">
        <x:v>2026-06-05T00:00:00.000Z</x:v>
      </x:c>
      <x:c r="F102" s="5" t="d">
        <x:v>2026-07-31T00:00:00.000Z</x:v>
      </x:c>
      <x:c r="G102" s="1" t="n">
        <x:v>8</x:v>
      </x:c>
      <x:c r="H102" s="6" t="n">
        <x:v>654.75</x:v>
      </x:c>
      <x:c r="I102" s="1" t="n">
        <x:v>7</x:v>
      </x:c>
      <x:c r="J102" s="1" t="str">
        <x:v>store</x:v>
      </x:c>
      <x:c r="K102" s="7" t="n">
        <x:f>DATE(2026,10,1)-F102</x:f>
        <x:v>62</x:v>
      </x:c>
      <x:c r="L102" s="7" t="n">
        <x:f>IF(K102&lt;=30,3,IF(K102&lt;=90,2,1))</x:f>
        <x:v>2</x:v>
      </x:c>
      <x:c r="M102" s="7" t="n">
        <x:f>IF(G102&gt;=8,3,IF(G102&gt;=3,2,1))</x:f>
        <x:v>3</x:v>
      </x:c>
      <x:c r="N102" s="7" t="n">
        <x:f>IF(H102&gt;=600,3,IF(H102&gt;=200,2,1))</x:f>
        <x:v>3</x:v>
      </x:c>
      <x:c r="O102" s="1" t="str">
        <x:f>IF(AND(L102=3,M102=3),"Champions",IF(AND(L102=1,M102&gt;=2),"At risk",IF(AND(L102=3,M102=1),"New",IF(AND(L102=1,M102=1),"Hibernating",IF(AND(L102=2,M102=1),"Promising","Loyal")))))</x:f>
        <x:v>Loyal</x:v>
      </x:c>
    </x:row>
    <x:row r="103">
      <x:c r="A103" s="1" t="str">
        <x:v>C0102</x:v>
      </x:c>
      <x:c r="B103" s="1" t="str">
        <x:v>Leila</x:v>
      </x:c>
      <x:c r="C103" s="1" t="str">
        <x:v>customer0102@example.com</x:v>
      </x:c>
      <x:c r="D103" s="1" t="str">
        <x:v>Brazil</x:v>
      </x:c>
      <x:c r="E103" s="5" t="d">
        <x:v>2026-09-01T00:00:00.000Z</x:v>
      </x:c>
      <x:c r="F103" s="5" t="d">
        <x:v>2026-09-28T00:00:00.000Z</x:v>
      </x:c>
      <x:c r="G103" s="1" t="n">
        <x:v>2</x:v>
      </x:c>
      <x:c r="H103" s="6" t="n">
        <x:v>56.45</x:v>
      </x:c>
      <x:c r="I103" s="1" t="n">
        <x:v>3</x:v>
      </x:c>
      <x:c r="J103" s="1" t="str">
        <x:v>web</x:v>
      </x:c>
      <x:c r="K103" s="7" t="n">
        <x:f>DATE(2026,10,1)-F103</x:f>
        <x:v>3</x:v>
      </x:c>
      <x:c r="L103" s="7" t="n">
        <x:f>IF(K103&lt;=30,3,IF(K103&lt;=90,2,1))</x:f>
        <x:v>3</x:v>
      </x:c>
      <x:c r="M103" s="7" t="n">
        <x:f>IF(G103&gt;=8,3,IF(G103&gt;=3,2,1))</x:f>
        <x:v>1</x:v>
      </x:c>
      <x:c r="N103" s="7" t="n">
        <x:f>IF(H103&gt;=600,3,IF(H103&gt;=200,2,1))</x:f>
        <x:v>1</x:v>
      </x:c>
      <x:c r="O103" s="1" t="str">
        <x:f>IF(AND(L103=3,M103=3),"Champions",IF(AND(L103=1,M103&gt;=2),"At risk",IF(AND(L103=3,M103=1),"New",IF(AND(L103=1,M103=1),"Hibernating",IF(AND(L103=2,M103=1),"Promising","Loyal")))))</x:f>
        <x:v>New</x:v>
      </x:c>
    </x:row>
    <x:row r="104">
      <x:c r="A104" s="1" t="str">
        <x:v>C0103</x:v>
      </x:c>
      <x:c r="B104" s="1" t="str">
        <x:v>Mateo</x:v>
      </x:c>
      <x:c r="C104" s="1" t="str">
        <x:v>customer0103@example.com</x:v>
      </x:c>
      <x:c r="D104" s="1" t="str">
        <x:v>USA</x:v>
      </x:c>
      <x:c r="E104" s="5" t="d">
        <x:v>2024-10-22T00:00:00.000Z</x:v>
      </x:c>
      <x:c r="F104" s="5" t="d">
        <x:v>2026-09-20T00:00:00.000Z</x:v>
      </x:c>
      <x:c r="G104" s="1" t="n">
        <x:v>19</x:v>
      </x:c>
      <x:c r="H104" s="6" t="n">
        <x:v>1272.89</x:v>
      </x:c>
      <x:c r="I104" s="1" t="n">
        <x:v>0</x:v>
      </x:c>
      <x:c r="J104" s="1" t="str">
        <x:v>web</x:v>
      </x:c>
      <x:c r="K104" s="7" t="n">
        <x:f>DATE(2026,10,1)-F104</x:f>
        <x:v>11</x:v>
      </x:c>
      <x:c r="L104" s="7" t="n">
        <x:f>IF(K104&lt;=30,3,IF(K104&lt;=90,2,1))</x:f>
        <x:v>3</x:v>
      </x:c>
      <x:c r="M104" s="7" t="n">
        <x:f>IF(G104&gt;=8,3,IF(G104&gt;=3,2,1))</x:f>
        <x:v>3</x:v>
      </x:c>
      <x:c r="N104" s="7" t="n">
        <x:f>IF(H104&gt;=600,3,IF(H104&gt;=200,2,1))</x:f>
        <x:v>3</x:v>
      </x:c>
      <x:c r="O104" s="1" t="str">
        <x:f>IF(AND(L104=3,M104=3),"Champions",IF(AND(L104=1,M104&gt;=2),"At risk",IF(AND(L104=3,M104=1),"New",IF(AND(L104=1,M104=1),"Hibernating",IF(AND(L104=2,M104=1),"Promising","Loyal")))))</x:f>
        <x:v>Champions</x:v>
      </x:c>
    </x:row>
    <x:row r="105">
      <x:c r="A105" s="1" t="str">
        <x:v>C0104</x:v>
      </x:c>
      <x:c r="B105" s="1" t="str">
        <x:v>Ines</x:v>
      </x:c>
      <x:c r="C105" s="1" t="str">
        <x:v>customer0104@example.com</x:v>
      </x:c>
      <x:c r="D105" s="1" t="str">
        <x:v>USA</x:v>
      </x:c>
      <x:c r="E105" s="5" t="d">
        <x:v>2026-09-02T00:00:00.000Z</x:v>
      </x:c>
      <x:c r="F105" s="5" t="d">
        <x:v>2026-09-14T00:00:00.000Z</x:v>
      </x:c>
      <x:c r="G105" s="1" t="n">
        <x:v>1</x:v>
      </x:c>
      <x:c r="H105" s="6" t="n">
        <x:v>52.83</x:v>
      </x:c>
      <x:c r="I105" s="1" t="n">
        <x:v>3</x:v>
      </x:c>
      <x:c r="J105" s="1" t="str">
        <x:v>web</x:v>
      </x:c>
      <x:c r="K105" s="7" t="n">
        <x:f>DATE(2026,10,1)-F105</x:f>
        <x:v>17</x:v>
      </x:c>
      <x:c r="L105" s="7" t="n">
        <x:f>IF(K105&lt;=30,3,IF(K105&lt;=90,2,1))</x:f>
        <x:v>3</x:v>
      </x:c>
      <x:c r="M105" s="7" t="n">
        <x:f>IF(G105&gt;=8,3,IF(G105&gt;=3,2,1))</x:f>
        <x:v>1</x:v>
      </x:c>
      <x:c r="N105" s="7" t="n">
        <x:f>IF(H105&gt;=600,3,IF(H105&gt;=200,2,1))</x:f>
        <x:v>1</x:v>
      </x:c>
      <x:c r="O105" s="1" t="str">
        <x:f>IF(AND(L105=3,M105=3),"Champions",IF(AND(L105=1,M105&gt;=2),"At risk",IF(AND(L105=3,M105=1),"New",IF(AND(L105=1,M105=1),"Hibernating",IF(AND(L105=2,M105=1),"Promising","Loyal")))))</x:f>
        <x:v>New</x:v>
      </x:c>
    </x:row>
    <x:row r="106">
      <x:c r="A106" s="1" t="str">
        <x:v>C0105</x:v>
      </x:c>
      <x:c r="B106" s="1" t="str">
        <x:v>Aisha</x:v>
      </x:c>
      <x:c r="C106" s="1" t="str">
        <x:v>customer0105@example.com</x:v>
      </x:c>
      <x:c r="D106" s="1" t="str">
        <x:v>UK</x:v>
      </x:c>
      <x:c r="E106" s="5" t="d">
        <x:v>2025-03-26T00:00:00.000Z</x:v>
      </x:c>
      <x:c r="F106" s="5" t="d">
        <x:v>2026-08-15T00:00:00.000Z</x:v>
      </x:c>
      <x:c r="G106" s="1" t="n">
        <x:v>3</x:v>
      </x:c>
      <x:c r="H106" s="6" t="n">
        <x:v>866.35</x:v>
      </x:c>
      <x:c r="I106" s="1" t="n">
        <x:v>3</x:v>
      </x:c>
      <x:c r="J106" s="1" t="str">
        <x:v>web</x:v>
      </x:c>
      <x:c r="K106" s="7" t="n">
        <x:f>DATE(2026,10,1)-F106</x:f>
        <x:v>47</x:v>
      </x:c>
      <x:c r="L106" s="7" t="n">
        <x:f>IF(K106&lt;=30,3,IF(K106&lt;=90,2,1))</x:f>
        <x:v>2</x:v>
      </x:c>
      <x:c r="M106" s="7" t="n">
        <x:f>IF(G106&gt;=8,3,IF(G106&gt;=3,2,1))</x:f>
        <x:v>2</x:v>
      </x:c>
      <x:c r="N106" s="7" t="n">
        <x:f>IF(H106&gt;=600,3,IF(H106&gt;=200,2,1))</x:f>
        <x:v>3</x:v>
      </x:c>
      <x:c r="O106" s="1" t="str">
        <x:f>IF(AND(L106=3,M106=3),"Champions",IF(AND(L106=1,M106&gt;=2),"At risk",IF(AND(L106=3,M106=1),"New",IF(AND(L106=1,M106=1),"Hibernating",IF(AND(L106=2,M106=1),"Promising","Loyal")))))</x:f>
        <x:v>Loyal</x:v>
      </x:c>
    </x:row>
    <x:row r="107">
      <x:c r="A107" s="1" t="str">
        <x:v>C0106</x:v>
      </x:c>
      <x:c r="B107" s="1" t="str">
        <x:v>Maya</x:v>
      </x:c>
      <x:c r="C107" s="1" t="str">
        <x:v>customer0106@example.com</x:v>
      </x:c>
      <x:c r="D107" s="1" t="str">
        <x:v>USA</x:v>
      </x:c>
      <x:c r="E107" s="5" t="d">
        <x:v>2025-05-08T00:00:00.000Z</x:v>
      </x:c>
      <x:c r="F107" s="5" t="d">
        <x:v>2026-06-14T00:00:00.000Z</x:v>
      </x:c>
      <x:c r="G107" s="1" t="n">
        <x:v>12</x:v>
      </x:c>
      <x:c r="H107" s="6" t="n">
        <x:v>418.34</x:v>
      </x:c>
      <x:c r="I107" s="1" t="n">
        <x:v>0</x:v>
      </x:c>
      <x:c r="J107" s="1" t="str">
        <x:v>store</x:v>
      </x:c>
      <x:c r="K107" s="7" t="n">
        <x:f>DATE(2026,10,1)-F107</x:f>
        <x:v>109</x:v>
      </x:c>
      <x:c r="L107" s="7" t="n">
        <x:f>IF(K107&lt;=30,3,IF(K107&lt;=90,2,1))</x:f>
        <x:v>1</x:v>
      </x:c>
      <x:c r="M107" s="7" t="n">
        <x:f>IF(G107&gt;=8,3,IF(G107&gt;=3,2,1))</x:f>
        <x:v>3</x:v>
      </x:c>
      <x:c r="N107" s="7" t="n">
        <x:f>IF(H107&gt;=600,3,IF(H107&gt;=200,2,1))</x:f>
        <x:v>2</x:v>
      </x:c>
      <x:c r="O107" s="1" t="str">
        <x:f>IF(AND(L107=3,M107=3),"Champions",IF(AND(L107=1,M107&gt;=2),"At risk",IF(AND(L107=3,M107=1),"New",IF(AND(L107=1,M107=1),"Hibernating",IF(AND(L107=2,M107=1),"Promising","Loyal")))))</x:f>
        <x:v>At risk</x:v>
      </x:c>
    </x:row>
    <x:row r="108">
      <x:c r="A108" s="1" t="str">
        <x:v>C0107</x:v>
      </x:c>
      <x:c r="B108" s="1" t="str">
        <x:v>Noah</x:v>
      </x:c>
      <x:c r="C108" s="1" t="str">
        <x:v>customer0107@example.com</x:v>
      </x:c>
      <x:c r="D108" s="1" t="str">
        <x:v>Brazil</x:v>
      </x:c>
      <x:c r="E108" s="5" t="d">
        <x:v>2025-08-09T00:00:00.000Z</x:v>
      </x:c>
      <x:c r="F108" s="5" t="d">
        <x:v>2026-09-15T00:00:00.000Z</x:v>
      </x:c>
      <x:c r="G108" s="1" t="n">
        <x:v>8</x:v>
      </x:c>
      <x:c r="H108" s="6" t="n">
        <x:v>242.09</x:v>
      </x:c>
      <x:c r="I108" s="1" t="n">
        <x:v>11</x:v>
      </x:c>
      <x:c r="J108" s="1" t="str">
        <x:v>app</x:v>
      </x:c>
      <x:c r="K108" s="7" t="n">
        <x:f>DATE(2026,10,1)-F108</x:f>
        <x:v>16</x:v>
      </x:c>
      <x:c r="L108" s="7" t="n">
        <x:f>IF(K108&lt;=30,3,IF(K108&lt;=90,2,1))</x:f>
        <x:v>3</x:v>
      </x:c>
      <x:c r="M108" s="7" t="n">
        <x:f>IF(G108&gt;=8,3,IF(G108&gt;=3,2,1))</x:f>
        <x:v>3</x:v>
      </x:c>
      <x:c r="N108" s="7" t="n">
        <x:f>IF(H108&gt;=600,3,IF(H108&gt;=200,2,1))</x:f>
        <x:v>2</x:v>
      </x:c>
      <x:c r="O108" s="1" t="str">
        <x:f>IF(AND(L108=3,M108=3),"Champions",IF(AND(L108=1,M108&gt;=2),"At risk",IF(AND(L108=3,M108=1),"New",IF(AND(L108=1,M108=1),"Hibernating",IF(AND(L108=2,M108=1),"Promising","Loyal")))))</x:f>
        <x:v>Champions</x:v>
      </x:c>
    </x:row>
    <x:row r="109">
      <x:c r="A109" s="1" t="str">
        <x:v>C0108</x:v>
      </x:c>
      <x:c r="B109" s="1" t="str">
        <x:v>Leila</x:v>
      </x:c>
      <x:c r="C109" s="1" t="str">
        <x:v>customer0108@example.com</x:v>
      </x:c>
      <x:c r="D109" s="1" t="str">
        <x:v>Japan</x:v>
      </x:c>
      <x:c r="E109" s="5" t="d">
        <x:v>2024-06-01T00:00:00.000Z</x:v>
      </x:c>
      <x:c r="F109" s="5" t="d">
        <x:v>2026-03-31T00:00:00.000Z</x:v>
      </x:c>
      <x:c r="G109" s="1" t="n">
        <x:v>2</x:v>
      </x:c>
      <x:c r="H109" s="6" t="n">
        <x:v>48.37</x:v>
      </x:c>
      <x:c r="I109" s="1" t="n">
        <x:v>11</x:v>
      </x:c>
      <x:c r="J109" s="1" t="str">
        <x:v>web</x:v>
      </x:c>
      <x:c r="K109" s="7" t="n">
        <x:f>DATE(2026,10,1)-F109</x:f>
        <x:v>184</x:v>
      </x:c>
      <x:c r="L109" s="7" t="n">
        <x:f>IF(K109&lt;=30,3,IF(K109&lt;=90,2,1))</x:f>
        <x:v>1</x:v>
      </x:c>
      <x:c r="M109" s="7" t="n">
        <x:f>IF(G109&gt;=8,3,IF(G109&gt;=3,2,1))</x:f>
        <x:v>1</x:v>
      </x:c>
      <x:c r="N109" s="7" t="n">
        <x:f>IF(H109&gt;=600,3,IF(H109&gt;=200,2,1))</x:f>
        <x:v>1</x:v>
      </x:c>
      <x:c r="O109" s="1" t="str">
        <x:f>IF(AND(L109=3,M109=3),"Champions",IF(AND(L109=1,M109&gt;=2),"At risk",IF(AND(L109=3,M109=1),"New",IF(AND(L109=1,M109=1),"Hibernating",IF(AND(L109=2,M109=1),"Promising","Loyal")))))</x:f>
        <x:v>Hibernating</x:v>
      </x:c>
    </x:row>
    <x:row r="110">
      <x:c r="A110" s="1" t="str">
        <x:v>C0109</x:v>
      </x:c>
      <x:c r="B110" s="1" t="str">
        <x:v>Ravi</x:v>
      </x:c>
      <x:c r="C110" s="1" t="str">
        <x:v>customer0109@example.com</x:v>
      </x:c>
      <x:c r="D110" s="1" t="str">
        <x:v>Australia</x:v>
      </x:c>
      <x:c r="E110" s="5" t="d">
        <x:v>2025-08-23T00:00:00.000Z</x:v>
      </x:c>
      <x:c r="F110" s="5" t="d">
        <x:v>2026-09-09T00:00:00.000Z</x:v>
      </x:c>
      <x:c r="G110" s="1" t="n">
        <x:v>19</x:v>
      </x:c>
      <x:c r="H110" s="6" t="n">
        <x:v>1205.79</x:v>
      </x:c>
      <x:c r="I110" s="1" t="n">
        <x:v>2</x:v>
      </x:c>
      <x:c r="J110" s="1" t="str">
        <x:v>app</x:v>
      </x:c>
      <x:c r="K110" s="7" t="n">
        <x:f>DATE(2026,10,1)-F110</x:f>
        <x:v>22</x:v>
      </x:c>
      <x:c r="L110" s="7" t="n">
        <x:f>IF(K110&lt;=30,3,IF(K110&lt;=90,2,1))</x:f>
        <x:v>3</x:v>
      </x:c>
      <x:c r="M110" s="7" t="n">
        <x:f>IF(G110&gt;=8,3,IF(G110&gt;=3,2,1))</x:f>
        <x:v>3</x:v>
      </x:c>
      <x:c r="N110" s="7" t="n">
        <x:f>IF(H110&gt;=600,3,IF(H110&gt;=200,2,1))</x:f>
        <x:v>3</x:v>
      </x:c>
      <x:c r="O110" s="1" t="str">
        <x:f>IF(AND(L110=3,M110=3),"Champions",IF(AND(L110=1,M110&gt;=2),"At risk",IF(AND(L110=3,M110=1),"New",IF(AND(L110=1,M110=1),"Hibernating",IF(AND(L110=2,M110=1),"Promising","Loyal")))))</x:f>
        <x:v>Champions</x:v>
      </x:c>
    </x:row>
    <x:row r="111">
      <x:c r="A111" s="1" t="str">
        <x:v>C0110</x:v>
      </x:c>
      <x:c r="B111" s="1" t="str">
        <x:v>Lina</x:v>
      </x:c>
      <x:c r="C111" s="1" t="str">
        <x:v>customer0110@example.com</x:v>
      </x:c>
      <x:c r="D111" s="1" t="str">
        <x:v>USA</x:v>
      </x:c>
      <x:c r="E111" s="5" t="d">
        <x:v>2026-05-19T00:00:00.000Z</x:v>
      </x:c>
      <x:c r="F111" s="5" t="d">
        <x:v>2026-09-22T00:00:00.000Z</x:v>
      </x:c>
      <x:c r="G111" s="1" t="n">
        <x:v>9</x:v>
      </x:c>
      <x:c r="H111" s="6" t="n">
        <x:v>1162.35</x:v>
      </x:c>
      <x:c r="I111" s="1" t="n">
        <x:v>6</x:v>
      </x:c>
      <x:c r="J111" s="1" t="str">
        <x:v>web</x:v>
      </x:c>
      <x:c r="K111" s="7" t="n">
        <x:f>DATE(2026,10,1)-F111</x:f>
        <x:v>9</x:v>
      </x:c>
      <x:c r="L111" s="7" t="n">
        <x:f>IF(K111&lt;=30,3,IF(K111&lt;=90,2,1))</x:f>
        <x:v>3</x:v>
      </x:c>
      <x:c r="M111" s="7" t="n">
        <x:f>IF(G111&gt;=8,3,IF(G111&gt;=3,2,1))</x:f>
        <x:v>3</x:v>
      </x:c>
      <x:c r="N111" s="7" t="n">
        <x:f>IF(H111&gt;=600,3,IF(H111&gt;=200,2,1))</x:f>
        <x:v>3</x:v>
      </x:c>
      <x:c r="O111" s="1" t="str">
        <x:f>IF(AND(L111=3,M111=3),"Champions",IF(AND(L111=1,M111&gt;=2),"At risk",IF(AND(L111=3,M111=1),"New",IF(AND(L111=1,M111=1),"Hibernating",IF(AND(L111=2,M111=1),"Promising","Loyal")))))</x:f>
        <x:v>Champions</x:v>
      </x:c>
    </x:row>
    <x:row r="112">
      <x:c r="A112" s="1" t="str">
        <x:v>C0111</x:v>
      </x:c>
      <x:c r="B112" s="1" t="str">
        <x:v>Lucas</x:v>
      </x:c>
      <x:c r="C112" s="1" t="str">
        <x:v>customer0111@example.com</x:v>
      </x:c>
      <x:c r="D112" s="1" t="str">
        <x:v>Brazil</x:v>
      </x:c>
      <x:c r="E112" s="5" t="d">
        <x:v>2024-09-19T00:00:00.000Z</x:v>
      </x:c>
      <x:c r="F112" s="5" t="d">
        <x:v>2026-01-16T00:00:00.000Z</x:v>
      </x:c>
      <x:c r="G112" s="1" t="n">
        <x:v>2</x:v>
      </x:c>
      <x:c r="H112" s="6" t="n">
        <x:v>30.36</x:v>
      </x:c>
      <x:c r="I112" s="1" t="n">
        <x:v>8</x:v>
      </x:c>
      <x:c r="J112" s="1" t="str">
        <x:v>web</x:v>
      </x:c>
      <x:c r="K112" s="7" t="n">
        <x:f>DATE(2026,10,1)-F112</x:f>
        <x:v>258</x:v>
      </x:c>
      <x:c r="L112" s="7" t="n">
        <x:f>IF(K112&lt;=30,3,IF(K112&lt;=90,2,1))</x:f>
        <x:v>1</x:v>
      </x:c>
      <x:c r="M112" s="7" t="n">
        <x:f>IF(G112&gt;=8,3,IF(G112&gt;=3,2,1))</x:f>
        <x:v>1</x:v>
      </x:c>
      <x:c r="N112" s="7" t="n">
        <x:f>IF(H112&gt;=600,3,IF(H112&gt;=200,2,1))</x:f>
        <x:v>1</x:v>
      </x:c>
      <x:c r="O112" s="1" t="str">
        <x:f>IF(AND(L112=3,M112=3),"Champions",IF(AND(L112=1,M112&gt;=2),"At risk",IF(AND(L112=3,M112=1),"New",IF(AND(L112=1,M112=1),"Hibernating",IF(AND(L112=2,M112=1),"Promising","Loyal")))))</x:f>
        <x:v>Hibernating</x:v>
      </x:c>
    </x:row>
    <x:row r="113">
      <x:c r="A113" s="1" t="str">
        <x:v>C0112</x:v>
      </x:c>
      <x:c r="B113" s="1" t="str">
        <x:v>Felix</x:v>
      </x:c>
      <x:c r="C113" s="1" t="str">
        <x:v>customer0112@example.com</x:v>
      </x:c>
      <x:c r="D113" s="1" t="str">
        <x:v>UAE</x:v>
      </x:c>
      <x:c r="E113" s="5" t="d">
        <x:v>2026-07-06T00:00:00.000Z</x:v>
      </x:c>
      <x:c r="F113" s="5" t="d">
        <x:v>2026-08-06T00:00:00.000Z</x:v>
      </x:c>
      <x:c r="G113" s="1" t="n">
        <x:v>8</x:v>
      </x:c>
      <x:c r="H113" s="6" t="n">
        <x:v>827.9</x:v>
      </x:c>
      <x:c r="I113" s="1" t="n">
        <x:v>3</x:v>
      </x:c>
      <x:c r="J113" s="1" t="str">
        <x:v>store</x:v>
      </x:c>
      <x:c r="K113" s="7" t="n">
        <x:f>DATE(2026,10,1)-F113</x:f>
        <x:v>56</x:v>
      </x:c>
      <x:c r="L113" s="7" t="n">
        <x:f>IF(K113&lt;=30,3,IF(K113&lt;=90,2,1))</x:f>
        <x:v>2</x:v>
      </x:c>
      <x:c r="M113" s="7" t="n">
        <x:f>IF(G113&gt;=8,3,IF(G113&gt;=3,2,1))</x:f>
        <x:v>3</x:v>
      </x:c>
      <x:c r="N113" s="7" t="n">
        <x:f>IF(H113&gt;=600,3,IF(H113&gt;=200,2,1))</x:f>
        <x:v>3</x:v>
      </x:c>
      <x:c r="O113" s="1" t="str">
        <x:f>IF(AND(L113=3,M113=3),"Champions",IF(AND(L113=1,M113&gt;=2),"At risk",IF(AND(L113=3,M113=1),"New",IF(AND(L113=1,M113=1),"Hibernating",IF(AND(L113=2,M113=1),"Promising","Loyal")))))</x:f>
        <x:v>Loyal</x:v>
      </x:c>
    </x:row>
    <x:row r="114">
      <x:c r="A114" s="1" t="str">
        <x:v>C0113</x:v>
      </x:c>
      <x:c r="B114" s="1" t="str">
        <x:v>Yara</x:v>
      </x:c>
      <x:c r="C114" s="1" t="str">
        <x:v>customer0113@example.com</x:v>
      </x:c>
      <x:c r="D114" s="1" t="str">
        <x:v>India</x:v>
      </x:c>
      <x:c r="E114" s="5" t="d">
        <x:v>2026-03-31T00:00:00.000Z</x:v>
      </x:c>
      <x:c r="F114" s="5" t="d">
        <x:v>2026-06-03T00:00:00.000Z</x:v>
      </x:c>
      <x:c r="G114" s="1" t="n">
        <x:v>2</x:v>
      </x:c>
      <x:c r="H114" s="6" t="n">
        <x:v>21.1</x:v>
      </x:c>
      <x:c r="I114" s="1" t="n">
        <x:v>4</x:v>
      </x:c>
      <x:c r="J114" s="1" t="str">
        <x:v>app</x:v>
      </x:c>
      <x:c r="K114" s="7" t="n">
        <x:f>DATE(2026,10,1)-F114</x:f>
        <x:v>120</x:v>
      </x:c>
      <x:c r="L114" s="7" t="n">
        <x:f>IF(K114&lt;=30,3,IF(K114&lt;=90,2,1))</x:f>
        <x:v>1</x:v>
      </x:c>
      <x:c r="M114" s="7" t="n">
        <x:f>IF(G114&gt;=8,3,IF(G114&gt;=3,2,1))</x:f>
        <x:v>1</x:v>
      </x:c>
      <x:c r="N114" s="7" t="n">
        <x:f>IF(H114&gt;=600,3,IF(H114&gt;=200,2,1))</x:f>
        <x:v>1</x:v>
      </x:c>
      <x:c r="O114" s="1" t="str">
        <x:f>IF(AND(L114=3,M114=3),"Champions",IF(AND(L114=1,M114&gt;=2),"At risk",IF(AND(L114=3,M114=1),"New",IF(AND(L114=1,M114=1),"Hibernating",IF(AND(L114=2,M114=1),"Promising","Loyal")))))</x:f>
        <x:v>Hibernating</x:v>
      </x:c>
    </x:row>
    <x:row r="115">
      <x:c r="A115" s="1" t="str">
        <x:v>C0114</x:v>
      </x:c>
      <x:c r="B115" s="1" t="str">
        <x:v>Aisha</x:v>
      </x:c>
      <x:c r="C115" s="1" t="str">
        <x:v>customer0114@example.com</x:v>
      </x:c>
      <x:c r="D115" s="1" t="str">
        <x:v>India</x:v>
      </x:c>
      <x:c r="E115" s="5" t="d">
        <x:v>2026-08-12T00:00:00.000Z</x:v>
      </x:c>
      <x:c r="F115" s="5" t="d">
        <x:v>2026-09-02T00:00:00.000Z</x:v>
      </x:c>
      <x:c r="G115" s="1" t="n">
        <x:v>2</x:v>
      </x:c>
      <x:c r="H115" s="6" t="n">
        <x:v>78.08</x:v>
      </x:c>
      <x:c r="I115" s="1" t="n">
        <x:v>4</x:v>
      </x:c>
      <x:c r="J115" s="1" t="str">
        <x:v>store</x:v>
      </x:c>
      <x:c r="K115" s="7" t="n">
        <x:f>DATE(2026,10,1)-F115</x:f>
        <x:v>29</x:v>
      </x:c>
      <x:c r="L115" s="7" t="n">
        <x:f>IF(K115&lt;=30,3,IF(K115&lt;=90,2,1))</x:f>
        <x:v>3</x:v>
      </x:c>
      <x:c r="M115" s="7" t="n">
        <x:f>IF(G115&gt;=8,3,IF(G115&gt;=3,2,1))</x:f>
        <x:v>1</x:v>
      </x:c>
      <x:c r="N115" s="7" t="n">
        <x:f>IF(H115&gt;=600,3,IF(H115&gt;=200,2,1))</x:f>
        <x:v>1</x:v>
      </x:c>
      <x:c r="O115" s="1" t="str">
        <x:f>IF(AND(L115=3,M115=3),"Champions",IF(AND(L115=1,M115&gt;=2),"At risk",IF(AND(L115=3,M115=1),"New",IF(AND(L115=1,M115=1),"Hibernating",IF(AND(L115=2,M115=1),"Promising","Loyal")))))</x:f>
        <x:v>New</x:v>
      </x:c>
    </x:row>
    <x:row r="116">
      <x:c r="A116" s="1" t="str">
        <x:v>C0115</x:v>
      </x:c>
      <x:c r="B116" s="1" t="str">
        <x:v>Leila</x:v>
      </x:c>
      <x:c r="C116" s="1" t="str">
        <x:v>customer0115@example.com</x:v>
      </x:c>
      <x:c r="D116" s="1" t="str">
        <x:v>Singapore</x:v>
      </x:c>
      <x:c r="E116" s="5" t="d">
        <x:v>2026-08-13T00:00:00.000Z</x:v>
      </x:c>
      <x:c r="F116" s="5" t="d">
        <x:v>2026-09-20T00:00:00.000Z</x:v>
      </x:c>
      <x:c r="G116" s="1" t="n">
        <x:v>2</x:v>
      </x:c>
      <x:c r="H116" s="6" t="n">
        <x:v>67.58</x:v>
      </x:c>
      <x:c r="I116" s="1" t="n">
        <x:v>0</x:v>
      </x:c>
      <x:c r="J116" s="1" t="str">
        <x:v>app</x:v>
      </x:c>
      <x:c r="K116" s="7" t="n">
        <x:f>DATE(2026,10,1)-F116</x:f>
        <x:v>11</x:v>
      </x:c>
      <x:c r="L116" s="7" t="n">
        <x:f>IF(K116&lt;=30,3,IF(K116&lt;=90,2,1))</x:f>
        <x:v>3</x:v>
      </x:c>
      <x:c r="M116" s="7" t="n">
        <x:f>IF(G116&gt;=8,3,IF(G116&gt;=3,2,1))</x:f>
        <x:v>1</x:v>
      </x:c>
      <x:c r="N116" s="7" t="n">
        <x:f>IF(H116&gt;=600,3,IF(H116&gt;=200,2,1))</x:f>
        <x:v>1</x:v>
      </x:c>
      <x:c r="O116" s="1" t="str">
        <x:f>IF(AND(L116=3,M116=3),"Champions",IF(AND(L116=1,M116&gt;=2),"At risk",IF(AND(L116=3,M116=1),"New",IF(AND(L116=1,M116=1),"Hibernating",IF(AND(L116=2,M116=1),"Promising","Loyal")))))</x:f>
        <x:v>New</x:v>
      </x:c>
    </x:row>
    <x:row r="117">
      <x:c r="A117" s="1" t="str">
        <x:v>C0116</x:v>
      </x:c>
      <x:c r="B117" s="1" t="str">
        <x:v>Yara</x:v>
      </x:c>
      <x:c r="C117" s="1" t="str">
        <x:v>customer0116@example.com</x:v>
      </x:c>
      <x:c r="D117" s="1" t="str">
        <x:v>Germany</x:v>
      </x:c>
      <x:c r="E117" s="5" t="d">
        <x:v>2025-08-09T00:00:00.000Z</x:v>
      </x:c>
      <x:c r="F117" s="5" t="d">
        <x:v>2026-09-08T00:00:00.000Z</x:v>
      </x:c>
      <x:c r="G117" s="1" t="n">
        <x:v>15</x:v>
      </x:c>
      <x:c r="H117" s="6" t="n">
        <x:v>2126.26</x:v>
      </x:c>
      <x:c r="I117" s="1" t="n">
        <x:v>6</x:v>
      </x:c>
      <x:c r="J117" s="1" t="str">
        <x:v>web</x:v>
      </x:c>
      <x:c r="K117" s="7" t="n">
        <x:f>DATE(2026,10,1)-F117</x:f>
        <x:v>23</x:v>
      </x:c>
      <x:c r="L117" s="7" t="n">
        <x:f>IF(K117&lt;=30,3,IF(K117&lt;=90,2,1))</x:f>
        <x:v>3</x:v>
      </x:c>
      <x:c r="M117" s="7" t="n">
        <x:f>IF(G117&gt;=8,3,IF(G117&gt;=3,2,1))</x:f>
        <x:v>3</x:v>
      </x:c>
      <x:c r="N117" s="7" t="n">
        <x:f>IF(H117&gt;=600,3,IF(H117&gt;=200,2,1))</x:f>
        <x:v>3</x:v>
      </x:c>
      <x:c r="O117" s="1" t="str">
        <x:f>IF(AND(L117=3,M117=3),"Champions",IF(AND(L117=1,M117&gt;=2),"At risk",IF(AND(L117=3,M117=1),"New",IF(AND(L117=1,M117=1),"Hibernating",IF(AND(L117=2,M117=1),"Promising","Loyal")))))</x:f>
        <x:v>Champions</x:v>
      </x:c>
    </x:row>
    <x:row r="118">
      <x:c r="A118" s="1" t="str">
        <x:v>C0117</x:v>
      </x:c>
      <x:c r="B118" s="1" t="str">
        <x:v>Samuel</x:v>
      </x:c>
      <x:c r="C118" s="1" t="str">
        <x:v>customer0117@example.com</x:v>
      </x:c>
      <x:c r="D118" s="1" t="str">
        <x:v>UK</x:v>
      </x:c>
      <x:c r="E118" s="5" t="d">
        <x:v>2025-09-13T00:00:00.000Z</x:v>
      </x:c>
      <x:c r="F118" s="5" t="d">
        <x:v>2026-07-20T00:00:00.000Z</x:v>
      </x:c>
      <x:c r="G118" s="1" t="n">
        <x:v>4</x:v>
      </x:c>
      <x:c r="H118" s="6" t="n">
        <x:v>206.09</x:v>
      </x:c>
      <x:c r="I118" s="1" t="n">
        <x:v>9</x:v>
      </x:c>
      <x:c r="J118" s="1" t="str">
        <x:v>app</x:v>
      </x:c>
      <x:c r="K118" s="7" t="n">
        <x:f>DATE(2026,10,1)-F118</x:f>
        <x:v>73</x:v>
      </x:c>
      <x:c r="L118" s="7" t="n">
        <x:f>IF(K118&lt;=30,3,IF(K118&lt;=90,2,1))</x:f>
        <x:v>2</x:v>
      </x:c>
      <x:c r="M118" s="7" t="n">
        <x:f>IF(G118&gt;=8,3,IF(G118&gt;=3,2,1))</x:f>
        <x:v>2</x:v>
      </x:c>
      <x:c r="N118" s="7" t="n">
        <x:f>IF(H118&gt;=600,3,IF(H118&gt;=200,2,1))</x:f>
        <x:v>2</x:v>
      </x:c>
      <x:c r="O118" s="1" t="str">
        <x:f>IF(AND(L118=3,M118=3),"Champions",IF(AND(L118=1,M118&gt;=2),"At risk",IF(AND(L118=3,M118=1),"New",IF(AND(L118=1,M118=1),"Hibernating",IF(AND(L118=2,M118=1),"Promising","Loyal")))))</x:f>
        <x:v>Loyal</x:v>
      </x:c>
    </x:row>
    <x:row r="119">
      <x:c r="A119" s="1" t="str">
        <x:v>C0118</x:v>
      </x:c>
      <x:c r="B119" s="1" t="str">
        <x:v>Leo</x:v>
      </x:c>
      <x:c r="C119" s="1" t="str">
        <x:v>customer0118@example.com</x:v>
      </x:c>
      <x:c r="D119" s="1" t="str">
        <x:v>Japan</x:v>
      </x:c>
      <x:c r="E119" s="5" t="d">
        <x:v>2024-12-10T00:00:00.000Z</x:v>
      </x:c>
      <x:c r="F119" s="5" t="d">
        <x:v>2026-08-12T00:00:00.000Z</x:v>
      </x:c>
      <x:c r="G119" s="1" t="n">
        <x:v>6</x:v>
      </x:c>
      <x:c r="H119" s="6" t="n">
        <x:v>453.3</x:v>
      </x:c>
      <x:c r="I119" s="1" t="n">
        <x:v>3</x:v>
      </x:c>
      <x:c r="J119" s="1" t="str">
        <x:v>web</x:v>
      </x:c>
      <x:c r="K119" s="7" t="n">
        <x:f>DATE(2026,10,1)-F119</x:f>
        <x:v>50</x:v>
      </x:c>
      <x:c r="L119" s="7" t="n">
        <x:f>IF(K119&lt;=30,3,IF(K119&lt;=90,2,1))</x:f>
        <x:v>2</x:v>
      </x:c>
      <x:c r="M119" s="7" t="n">
        <x:f>IF(G119&gt;=8,3,IF(G119&gt;=3,2,1))</x:f>
        <x:v>2</x:v>
      </x:c>
      <x:c r="N119" s="7" t="n">
        <x:f>IF(H119&gt;=600,3,IF(H119&gt;=200,2,1))</x:f>
        <x:v>2</x:v>
      </x:c>
      <x:c r="O119" s="1" t="str">
        <x:f>IF(AND(L119=3,M119=3),"Champions",IF(AND(L119=1,M119&gt;=2),"At risk",IF(AND(L119=3,M119=1),"New",IF(AND(L119=1,M119=1),"Hibernating",IF(AND(L119=2,M119=1),"Promising","Loyal")))))</x:f>
        <x:v>Loyal</x:v>
      </x:c>
    </x:row>
    <x:row r="120">
      <x:c r="A120" s="1" t="str">
        <x:v>C0119</x:v>
      </x:c>
      <x:c r="B120" s="1" t="str">
        <x:v>Priya</x:v>
      </x:c>
      <x:c r="C120" s="1" t="str">
        <x:v>customer0119@example.com</x:v>
      </x:c>
      <x:c r="D120" s="1" t="str">
        <x:v>Japan</x:v>
      </x:c>
      <x:c r="E120" s="5" t="d">
        <x:v>2026-01-14T00:00:00.000Z</x:v>
      </x:c>
      <x:c r="F120" s="5" t="d">
        <x:v>2026-02-17T00:00:00.000Z</x:v>
      </x:c>
      <x:c r="G120" s="1" t="n">
        <x:v>2</x:v>
      </x:c>
      <x:c r="H120" s="6" t="n">
        <x:v>26.33</x:v>
      </x:c>
      <x:c r="I120" s="1" t="n">
        <x:v>8</x:v>
      </x:c>
      <x:c r="J120" s="1" t="str">
        <x:v>web</x:v>
      </x:c>
      <x:c r="K120" s="7" t="n">
        <x:f>DATE(2026,10,1)-F120</x:f>
        <x:v>226</x:v>
      </x:c>
      <x:c r="L120" s="7" t="n">
        <x:f>IF(K120&lt;=30,3,IF(K120&lt;=90,2,1))</x:f>
        <x:v>1</x:v>
      </x:c>
      <x:c r="M120" s="7" t="n">
        <x:f>IF(G120&gt;=8,3,IF(G120&gt;=3,2,1))</x:f>
        <x:v>1</x:v>
      </x:c>
      <x:c r="N120" s="7" t="n">
        <x:f>IF(H120&gt;=600,3,IF(H120&gt;=200,2,1))</x:f>
        <x:v>1</x:v>
      </x:c>
      <x:c r="O120" s="1" t="str">
        <x:f>IF(AND(L120=3,M120=3),"Champions",IF(AND(L120=1,M120&gt;=2),"At risk",IF(AND(L120=3,M120=1),"New",IF(AND(L120=1,M120=1),"Hibernating",IF(AND(L120=2,M120=1),"Promising","Loyal")))))</x:f>
        <x:v>Hibernating</x:v>
      </x:c>
    </x:row>
    <x:row r="121">
      <x:c r="A121" s="1" t="str">
        <x:v>C0120</x:v>
      </x:c>
      <x:c r="B121" s="1" t="str">
        <x:v>Aisha</x:v>
      </x:c>
      <x:c r="C121" s="1" t="str">
        <x:v>customer0120@example.com</x:v>
      </x:c>
      <x:c r="D121" s="1" t="str">
        <x:v>Singapore</x:v>
      </x:c>
      <x:c r="E121" s="5" t="d">
        <x:v>2025-10-31T00:00:00.000Z</x:v>
      </x:c>
      <x:c r="F121" s="5" t="d">
        <x:v>2026-07-29T00:00:00.000Z</x:v>
      </x:c>
      <x:c r="G121" s="1" t="n">
        <x:v>3</x:v>
      </x:c>
      <x:c r="H121" s="6" t="n">
        <x:v>891.48</x:v>
      </x:c>
      <x:c r="I121" s="1" t="n">
        <x:v>3</x:v>
      </x:c>
      <x:c r="J121" s="1" t="str">
        <x:v>app</x:v>
      </x:c>
      <x:c r="K121" s="7" t="n">
        <x:f>DATE(2026,10,1)-F121</x:f>
        <x:v>64</x:v>
      </x:c>
      <x:c r="L121" s="7" t="n">
        <x:f>IF(K121&lt;=30,3,IF(K121&lt;=90,2,1))</x:f>
        <x:v>2</x:v>
      </x:c>
      <x:c r="M121" s="7" t="n">
        <x:f>IF(G121&gt;=8,3,IF(G121&gt;=3,2,1))</x:f>
        <x:v>2</x:v>
      </x:c>
      <x:c r="N121" s="7" t="n">
        <x:f>IF(H121&gt;=600,3,IF(H121&gt;=200,2,1))</x:f>
        <x:v>3</x:v>
      </x:c>
      <x:c r="O121" s="1" t="str">
        <x:f>IF(AND(L121=3,M121=3),"Champions",IF(AND(L121=1,M121&gt;=2),"At risk",IF(AND(L121=3,M121=1),"New",IF(AND(L121=1,M121=1),"Hibernating",IF(AND(L121=2,M121=1),"Promising","Loyal")))))</x:f>
        <x:v>Loyal</x:v>
      </x:c>
    </x:row>
    <x:row r="122">
      <x:c r="A122" s="1" t="str">
        <x:v>C0121</x:v>
      </x:c>
      <x:c r="B122" s="1" t="str">
        <x:v>Noah</x:v>
      </x:c>
      <x:c r="C122" s="1" t="str">
        <x:v>customer0121@example.com</x:v>
      </x:c>
      <x:c r="D122" s="1" t="str">
        <x:v>Nigeria</x:v>
      </x:c>
      <x:c r="E122" s="5" t="d">
        <x:v>2025-01-04T00:00:00.000Z</x:v>
      </x:c>
      <x:c r="F122" s="5" t="d">
        <x:v>2026-03-06T00:00:00.000Z</x:v>
      </x:c>
      <x:c r="G122" s="1" t="n">
        <x:v>5</x:v>
      </x:c>
      <x:c r="H122" s="6" t="n">
        <x:v>519.33</x:v>
      </x:c>
      <x:c r="I122" s="1" t="n">
        <x:v>10</x:v>
      </x:c>
      <x:c r="J122" s="1" t="str">
        <x:v>app</x:v>
      </x:c>
      <x:c r="K122" s="7" t="n">
        <x:f>DATE(2026,10,1)-F122</x:f>
        <x:v>209</x:v>
      </x:c>
      <x:c r="L122" s="7" t="n">
        <x:f>IF(K122&lt;=30,3,IF(K122&lt;=90,2,1))</x:f>
        <x:v>1</x:v>
      </x:c>
      <x:c r="M122" s="7" t="n">
        <x:f>IF(G122&gt;=8,3,IF(G122&gt;=3,2,1))</x:f>
        <x:v>2</x:v>
      </x:c>
      <x:c r="N122" s="7" t="n">
        <x:f>IF(H122&gt;=600,3,IF(H122&gt;=200,2,1))</x:f>
        <x:v>2</x:v>
      </x:c>
      <x:c r="O122" s="1" t="str">
        <x:f>IF(AND(L122=3,M122=3),"Champions",IF(AND(L122=1,M122&gt;=2),"At risk",IF(AND(L122=3,M122=1),"New",IF(AND(L122=1,M122=1),"Hibernating",IF(AND(L122=2,M122=1),"Promising","Loyal")))))</x:f>
        <x:v>At risk</x:v>
      </x:c>
    </x:row>
    <x:row r="123">
      <x:c r="A123" s="1" t="str">
        <x:v>C0122</x:v>
      </x:c>
      <x:c r="B123" s="1" t="str">
        <x:v>Ines</x:v>
      </x:c>
      <x:c r="C123" s="1" t="str">
        <x:v>customer0122@example.com</x:v>
      </x:c>
      <x:c r="D123" s="1" t="str">
        <x:v>Germany</x:v>
      </x:c>
      <x:c r="E123" s="5" t="d">
        <x:v>2026-08-16T00:00:00.000Z</x:v>
      </x:c>
      <x:c r="F123" s="5" t="d">
        <x:v>2026-09-03T00:00:00.000Z</x:v>
      </x:c>
      <x:c r="G123" s="1" t="n">
        <x:v>1</x:v>
      </x:c>
      <x:c r="H123" s="6" t="n">
        <x:v>144.76</x:v>
      </x:c>
      <x:c r="I123" s="1" t="n">
        <x:v>9</x:v>
      </x:c>
      <x:c r="J123" s="1" t="str">
        <x:v>web</x:v>
      </x:c>
      <x:c r="K123" s="7" t="n">
        <x:f>DATE(2026,10,1)-F123</x:f>
        <x:v>28</x:v>
      </x:c>
      <x:c r="L123" s="7" t="n">
        <x:f>IF(K123&lt;=30,3,IF(K123&lt;=90,2,1))</x:f>
        <x:v>3</x:v>
      </x:c>
      <x:c r="M123" s="7" t="n">
        <x:f>IF(G123&gt;=8,3,IF(G123&gt;=3,2,1))</x:f>
        <x:v>1</x:v>
      </x:c>
      <x:c r="N123" s="7" t="n">
        <x:f>IF(H123&gt;=600,3,IF(H123&gt;=200,2,1))</x:f>
        <x:v>1</x:v>
      </x:c>
      <x:c r="O123" s="1" t="str">
        <x:f>IF(AND(L123=3,M123=3),"Champions",IF(AND(L123=1,M123&gt;=2),"At risk",IF(AND(L123=3,M123=1),"New",IF(AND(L123=1,M123=1),"Hibernating",IF(AND(L123=2,M123=1),"Promising","Loyal")))))</x:f>
        <x:v>New</x:v>
      </x:c>
    </x:row>
    <x:row r="124">
      <x:c r="A124" s="1" t="str">
        <x:v>C0123</x:v>
      </x:c>
      <x:c r="B124" s="1" t="str">
        <x:v>Zara</x:v>
      </x:c>
      <x:c r="C124" s="1" t="str">
        <x:v>customer0123@example.com</x:v>
      </x:c>
      <x:c r="D124" s="1" t="str">
        <x:v>USA</x:v>
      </x:c>
      <x:c r="E124" s="5" t="d">
        <x:v>2025-10-15T00:00:00.000Z</x:v>
      </x:c>
      <x:c r="F124" s="5" t="d">
        <x:v>2026-04-23T00:00:00.000Z</x:v>
      </x:c>
      <x:c r="G124" s="1" t="n">
        <x:v>6</x:v>
      </x:c>
      <x:c r="H124" s="6" t="n">
        <x:v>755.31</x:v>
      </x:c>
      <x:c r="I124" s="1" t="n">
        <x:v>2</x:v>
      </x:c>
      <x:c r="J124" s="1" t="str">
        <x:v>web</x:v>
      </x:c>
      <x:c r="K124" s="7" t="n">
        <x:f>DATE(2026,10,1)-F124</x:f>
        <x:v>161</x:v>
      </x:c>
      <x:c r="L124" s="7" t="n">
        <x:f>IF(K124&lt;=30,3,IF(K124&lt;=90,2,1))</x:f>
        <x:v>1</x:v>
      </x:c>
      <x:c r="M124" s="7" t="n">
        <x:f>IF(G124&gt;=8,3,IF(G124&gt;=3,2,1))</x:f>
        <x:v>2</x:v>
      </x:c>
      <x:c r="N124" s="7" t="n">
        <x:f>IF(H124&gt;=600,3,IF(H124&gt;=200,2,1))</x:f>
        <x:v>3</x:v>
      </x:c>
      <x:c r="O124" s="1" t="str">
        <x:f>IF(AND(L124=3,M124=3),"Champions",IF(AND(L124=1,M124&gt;=2),"At risk",IF(AND(L124=3,M124=1),"New",IF(AND(L124=1,M124=1),"Hibernating",IF(AND(L124=2,M124=1),"Promising","Loyal")))))</x:f>
        <x:v>At risk</x:v>
      </x:c>
    </x:row>
    <x:row r="125">
      <x:c r="A125" s="1" t="str">
        <x:v>C0124</x:v>
      </x:c>
      <x:c r="B125" s="1" t="str">
        <x:v>Zara</x:v>
      </x:c>
      <x:c r="C125" s="1" t="str">
        <x:v>customer0124@example.com</x:v>
      </x:c>
      <x:c r="D125" s="1" t="str">
        <x:v>Japan</x:v>
      </x:c>
      <x:c r="E125" s="5" t="d">
        <x:v>2025-07-05T00:00:00.000Z</x:v>
      </x:c>
      <x:c r="F125" s="5" t="d">
        <x:v>2026-03-19T00:00:00.000Z</x:v>
      </x:c>
      <x:c r="G125" s="1" t="n">
        <x:v>2</x:v>
      </x:c>
      <x:c r="H125" s="6" t="n">
        <x:v>26.34</x:v>
      </x:c>
      <x:c r="I125" s="1" t="n">
        <x:v>8</x:v>
      </x:c>
      <x:c r="J125" s="1" t="str">
        <x:v>app</x:v>
      </x:c>
      <x:c r="K125" s="7" t="n">
        <x:f>DATE(2026,10,1)-F125</x:f>
        <x:v>196</x:v>
      </x:c>
      <x:c r="L125" s="7" t="n">
        <x:f>IF(K125&lt;=30,3,IF(K125&lt;=90,2,1))</x:f>
        <x:v>1</x:v>
      </x:c>
      <x:c r="M125" s="7" t="n">
        <x:f>IF(G125&gt;=8,3,IF(G125&gt;=3,2,1))</x:f>
        <x:v>1</x:v>
      </x:c>
      <x:c r="N125" s="7" t="n">
        <x:f>IF(H125&gt;=600,3,IF(H125&gt;=200,2,1))</x:f>
        <x:v>1</x:v>
      </x:c>
      <x:c r="O125" s="1" t="str">
        <x:f>IF(AND(L125=3,M125=3),"Champions",IF(AND(L125=1,M125&gt;=2),"At risk",IF(AND(L125=3,M125=1),"New",IF(AND(L125=1,M125=1),"Hibernating",IF(AND(L125=2,M125=1),"Promising","Loyal")))))</x:f>
        <x:v>Hibernating</x:v>
      </x:c>
    </x:row>
    <x:row r="126">
      <x:c r="A126" s="1" t="str">
        <x:v>C0125</x:v>
      </x:c>
      <x:c r="B126" s="1" t="str">
        <x:v>Aarav</x:v>
      </x:c>
      <x:c r="C126" s="1" t="str">
        <x:v>customer0125@example.com</x:v>
      </x:c>
      <x:c r="D126" s="1" t="str">
        <x:v>Australia</x:v>
      </x:c>
      <x:c r="E126" s="5" t="d">
        <x:v>2026-09-21T00:00:00.000Z</x:v>
      </x:c>
      <x:c r="F126" s="5" t="d">
        <x:v>2026-09-27T00:00:00.000Z</x:v>
      </x:c>
      <x:c r="G126" s="1" t="n">
        <x:v>2</x:v>
      </x:c>
      <x:c r="H126" s="6" t="n">
        <x:v>178.55</x:v>
      </x:c>
      <x:c r="I126" s="1" t="n">
        <x:v>3</x:v>
      </x:c>
      <x:c r="J126" s="1" t="str">
        <x:v>web</x:v>
      </x:c>
      <x:c r="K126" s="7" t="n">
        <x:f>DATE(2026,10,1)-F126</x:f>
        <x:v>4</x:v>
      </x:c>
      <x:c r="L126" s="7" t="n">
        <x:f>IF(K126&lt;=30,3,IF(K126&lt;=90,2,1))</x:f>
        <x:v>3</x:v>
      </x:c>
      <x:c r="M126" s="7" t="n">
        <x:f>IF(G126&gt;=8,3,IF(G126&gt;=3,2,1))</x:f>
        <x:v>1</x:v>
      </x:c>
      <x:c r="N126" s="7" t="n">
        <x:f>IF(H126&gt;=600,3,IF(H126&gt;=200,2,1))</x:f>
        <x:v>1</x:v>
      </x:c>
      <x:c r="O126" s="1" t="str">
        <x:f>IF(AND(L126=3,M126=3),"Champions",IF(AND(L126=1,M126&gt;=2),"At risk",IF(AND(L126=3,M126=1),"New",IF(AND(L126=1,M126=1),"Hibernating",IF(AND(L126=2,M126=1),"Promising","Loyal")))))</x:f>
        <x:v>New</x:v>
      </x:c>
    </x:row>
    <x:row r="127">
      <x:c r="A127" s="1" t="str">
        <x:v>C0126</x:v>
      </x:c>
      <x:c r="B127" s="1" t="str">
        <x:v>Lucas</x:v>
      </x:c>
      <x:c r="C127" s="1" t="str">
        <x:v>customer0126@example.com</x:v>
      </x:c>
      <x:c r="D127" s="1" t="str">
        <x:v>Nigeria</x:v>
      </x:c>
      <x:c r="E127" s="5" t="d">
        <x:v>2026-04-13T00:00:00.000Z</x:v>
      </x:c>
      <x:c r="F127" s="5" t="d">
        <x:v>2026-06-03T00:00:00.000Z</x:v>
      </x:c>
      <x:c r="G127" s="1" t="n">
        <x:v>2</x:v>
      </x:c>
      <x:c r="H127" s="6" t="n">
        <x:v>55.76</x:v>
      </x:c>
      <x:c r="I127" s="1" t="n">
        <x:v>9</x:v>
      </x:c>
      <x:c r="J127" s="1" t="str">
        <x:v>app</x:v>
      </x:c>
      <x:c r="K127" s="7" t="n">
        <x:f>DATE(2026,10,1)-F127</x:f>
        <x:v>120</x:v>
      </x:c>
      <x:c r="L127" s="7" t="n">
        <x:f>IF(K127&lt;=30,3,IF(K127&lt;=90,2,1))</x:f>
        <x:v>1</x:v>
      </x:c>
      <x:c r="M127" s="7" t="n">
        <x:f>IF(G127&gt;=8,3,IF(G127&gt;=3,2,1))</x:f>
        <x:v>1</x:v>
      </x:c>
      <x:c r="N127" s="7" t="n">
        <x:f>IF(H127&gt;=600,3,IF(H127&gt;=200,2,1))</x:f>
        <x:v>1</x:v>
      </x:c>
      <x:c r="O127" s="1" t="str">
        <x:f>IF(AND(L127=3,M127=3),"Champions",IF(AND(L127=1,M127&gt;=2),"At risk",IF(AND(L127=3,M127=1),"New",IF(AND(L127=1,M127=1),"Hibernating",IF(AND(L127=2,M127=1),"Promising","Loyal")))))</x:f>
        <x:v>Hibernating</x:v>
      </x:c>
    </x:row>
    <x:row r="128">
      <x:c r="A128" s="1" t="str">
        <x:v>C0127</x:v>
      </x:c>
      <x:c r="B128" s="1" t="str">
        <x:v>Kai</x:v>
      </x:c>
      <x:c r="C128" s="1" t="str">
        <x:v>customer0127@example.com</x:v>
      </x:c>
      <x:c r="D128" s="1" t="str">
        <x:v>India</x:v>
      </x:c>
      <x:c r="E128" s="5" t="d">
        <x:v>2025-03-24T00:00:00.000Z</x:v>
      </x:c>
      <x:c r="F128" s="5" t="d">
        <x:v>2025-12-15T00:00:00.000Z</x:v>
      </x:c>
      <x:c r="G128" s="1" t="n">
        <x:v>1</x:v>
      </x:c>
      <x:c r="H128" s="6" t="n">
        <x:v>93.59</x:v>
      </x:c>
      <x:c r="I128" s="1" t="n">
        <x:v>1</x:v>
      </x:c>
      <x:c r="J128" s="1" t="str">
        <x:v>store</x:v>
      </x:c>
      <x:c r="K128" s="7" t="n">
        <x:f>DATE(2026,10,1)-F128</x:f>
        <x:v>290</x:v>
      </x:c>
      <x:c r="L128" s="7" t="n">
        <x:f>IF(K128&lt;=30,3,IF(K128&lt;=90,2,1))</x:f>
        <x:v>1</x:v>
      </x:c>
      <x:c r="M128" s="7" t="n">
        <x:f>IF(G128&gt;=8,3,IF(G128&gt;=3,2,1))</x:f>
        <x:v>1</x:v>
      </x:c>
      <x:c r="N128" s="7" t="n">
        <x:f>IF(H128&gt;=600,3,IF(H128&gt;=200,2,1))</x:f>
        <x:v>1</x:v>
      </x:c>
      <x:c r="O128" s="1" t="str">
        <x:f>IF(AND(L128=3,M128=3),"Champions",IF(AND(L128=1,M128&gt;=2),"At risk",IF(AND(L128=3,M128=1),"New",IF(AND(L128=1,M128=1),"Hibernating",IF(AND(L128=2,M128=1),"Promising","Loyal")))))</x:f>
        <x:v>Hibernating</x:v>
      </x:c>
    </x:row>
    <x:row r="129">
      <x:c r="A129" s="1" t="str">
        <x:v>C0128</x:v>
      </x:c>
      <x:c r="B129" s="1" t="str">
        <x:v>Ravi</x:v>
      </x:c>
      <x:c r="C129" s="1" t="str">
        <x:v>customer0128@example.com</x:v>
      </x:c>
      <x:c r="D129" s="1" t="str">
        <x:v>UK</x:v>
      </x:c>
      <x:c r="E129" s="5" t="d">
        <x:v>2026-08-19T00:00:00.000Z</x:v>
      </x:c>
      <x:c r="F129" s="5" t="d">
        <x:v>2026-09-11T00:00:00.000Z</x:v>
      </x:c>
      <x:c r="G129" s="1" t="n">
        <x:v>2</x:v>
      </x:c>
      <x:c r="H129" s="6" t="n">
        <x:v>54.82</x:v>
      </x:c>
      <x:c r="I129" s="1" t="n">
        <x:v>0</x:v>
      </x:c>
      <x:c r="J129" s="1" t="str">
        <x:v>app</x:v>
      </x:c>
      <x:c r="K129" s="7" t="n">
        <x:f>DATE(2026,10,1)-F129</x:f>
        <x:v>20</x:v>
      </x:c>
      <x:c r="L129" s="7" t="n">
        <x:f>IF(K129&lt;=30,3,IF(K129&lt;=90,2,1))</x:f>
        <x:v>3</x:v>
      </x:c>
      <x:c r="M129" s="7" t="n">
        <x:f>IF(G129&gt;=8,3,IF(G129&gt;=3,2,1))</x:f>
        <x:v>1</x:v>
      </x:c>
      <x:c r="N129" s="7" t="n">
        <x:f>IF(H129&gt;=600,3,IF(H129&gt;=200,2,1))</x:f>
        <x:v>1</x:v>
      </x:c>
      <x:c r="O129" s="1" t="str">
        <x:f>IF(AND(L129=3,M129=3),"Champions",IF(AND(L129=1,M129&gt;=2),"At risk",IF(AND(L129=3,M129=1),"New",IF(AND(L129=1,M129=1),"Hibernating",IF(AND(L129=2,M129=1),"Promising","Loyal")))))</x:f>
        <x:v>New</x:v>
      </x:c>
    </x:row>
    <x:row r="130">
      <x:c r="A130" s="1" t="str">
        <x:v>C0129</x:v>
      </x:c>
      <x:c r="B130" s="1" t="str">
        <x:v>Hana</x:v>
      </x:c>
      <x:c r="C130" s="1" t="str">
        <x:v>customer0129@example.com</x:v>
      </x:c>
      <x:c r="D130" s="1" t="str">
        <x:v>Brazil</x:v>
      </x:c>
      <x:c r="E130" s="5" t="d">
        <x:v>2025-07-04T00:00:00.000Z</x:v>
      </x:c>
      <x:c r="F130" s="5" t="d">
        <x:v>2026-06-04T00:00:00.000Z</x:v>
      </x:c>
      <x:c r="G130" s="1" t="n">
        <x:v>1</x:v>
      </x:c>
      <x:c r="H130" s="6" t="n">
        <x:v>157.58</x:v>
      </x:c>
      <x:c r="I130" s="1" t="n">
        <x:v>2</x:v>
      </x:c>
      <x:c r="J130" s="1" t="str">
        <x:v>store</x:v>
      </x:c>
      <x:c r="K130" s="7" t="n">
        <x:f>DATE(2026,10,1)-F130</x:f>
        <x:v>119</x:v>
      </x:c>
      <x:c r="L130" s="7" t="n">
        <x:f>IF(K130&lt;=30,3,IF(K130&lt;=90,2,1))</x:f>
        <x:v>1</x:v>
      </x:c>
      <x:c r="M130" s="7" t="n">
        <x:f>IF(G130&gt;=8,3,IF(G130&gt;=3,2,1))</x:f>
        <x:v>1</x:v>
      </x:c>
      <x:c r="N130" s="7" t="n">
        <x:f>IF(H130&gt;=600,3,IF(H130&gt;=200,2,1))</x:f>
        <x:v>1</x:v>
      </x:c>
      <x:c r="O130" s="1" t="str">
        <x:f>IF(AND(L130=3,M130=3),"Champions",IF(AND(L130=1,M130&gt;=2),"At risk",IF(AND(L130=3,M130=1),"New",IF(AND(L130=1,M130=1),"Hibernating",IF(AND(L130=2,M130=1),"Promising","Loyal")))))</x:f>
        <x:v>Hibernating</x:v>
      </x:c>
    </x:row>
    <x:row r="131">
      <x:c r="A131" s="1" t="str">
        <x:v>C0130</x:v>
      </x:c>
      <x:c r="B131" s="1" t="str">
        <x:v>Priya</x:v>
      </x:c>
      <x:c r="C131" s="1" t="str">
        <x:v>customer0130@example.com</x:v>
      </x:c>
      <x:c r="D131" s="1" t="str">
        <x:v>Singapore</x:v>
      </x:c>
      <x:c r="E131" s="5" t="d">
        <x:v>2025-02-11T00:00:00.000Z</x:v>
      </x:c>
      <x:c r="F131" s="5" t="d">
        <x:v>2026-08-26T00:00:00.000Z</x:v>
      </x:c>
      <x:c r="G131" s="1" t="n">
        <x:v>3</x:v>
      </x:c>
      <x:c r="H131" s="6" t="n">
        <x:v>756.7</x:v>
      </x:c>
      <x:c r="I131" s="1" t="n">
        <x:v>6</x:v>
      </x:c>
      <x:c r="J131" s="1" t="str">
        <x:v>app</x:v>
      </x:c>
      <x:c r="K131" s="7" t="n">
        <x:f>DATE(2026,10,1)-F131</x:f>
        <x:v>36</x:v>
      </x:c>
      <x:c r="L131" s="7" t="n">
        <x:f>IF(K131&lt;=30,3,IF(K131&lt;=90,2,1))</x:f>
        <x:v>2</x:v>
      </x:c>
      <x:c r="M131" s="7" t="n">
        <x:f>IF(G131&gt;=8,3,IF(G131&gt;=3,2,1))</x:f>
        <x:v>2</x:v>
      </x:c>
      <x:c r="N131" s="7" t="n">
        <x:f>IF(H131&gt;=600,3,IF(H131&gt;=200,2,1))</x:f>
        <x:v>3</x:v>
      </x:c>
      <x:c r="O131" s="1" t="str">
        <x:f>IF(AND(L131=3,M131=3),"Champions",IF(AND(L131=1,M131&gt;=2),"At risk",IF(AND(L131=3,M131=1),"New",IF(AND(L131=1,M131=1),"Hibernating",IF(AND(L131=2,M131=1),"Promising","Loyal")))))</x:f>
        <x:v>Loyal</x:v>
      </x:c>
    </x:row>
    <x:row r="132">
      <x:c r="A132" s="1" t="str">
        <x:v>C0131</x:v>
      </x:c>
      <x:c r="B132" s="1" t="str">
        <x:v>Arjun</x:v>
      </x:c>
      <x:c r="C132" s="1" t="str">
        <x:v>customer0131@example.com</x:v>
      </x:c>
      <x:c r="D132" s="1" t="str">
        <x:v>Germany</x:v>
      </x:c>
      <x:c r="E132" s="5" t="d">
        <x:v>2025-02-22T00:00:00.000Z</x:v>
      </x:c>
      <x:c r="F132" s="5" t="d">
        <x:v>2026-04-05T00:00:00.000Z</x:v>
      </x:c>
      <x:c r="G132" s="1" t="n">
        <x:v>1</x:v>
      </x:c>
      <x:c r="H132" s="6" t="n">
        <x:v>129.29</x:v>
      </x:c>
      <x:c r="I132" s="1" t="n">
        <x:v>6</x:v>
      </x:c>
      <x:c r="J132" s="1" t="str">
        <x:v>web</x:v>
      </x:c>
      <x:c r="K132" s="7" t="n">
        <x:f>DATE(2026,10,1)-F132</x:f>
        <x:v>179</x:v>
      </x:c>
      <x:c r="L132" s="7" t="n">
        <x:f>IF(K132&lt;=30,3,IF(K132&lt;=90,2,1))</x:f>
        <x:v>1</x:v>
      </x:c>
      <x:c r="M132" s="7" t="n">
        <x:f>IF(G132&gt;=8,3,IF(G132&gt;=3,2,1))</x:f>
        <x:v>1</x:v>
      </x:c>
      <x:c r="N132" s="7" t="n">
        <x:f>IF(H132&gt;=600,3,IF(H132&gt;=200,2,1))</x:f>
        <x:v>1</x:v>
      </x:c>
      <x:c r="O132" s="1" t="str">
        <x:f>IF(AND(L132=3,M132=3),"Champions",IF(AND(L132=1,M132&gt;=2),"At risk",IF(AND(L132=3,M132=1),"New",IF(AND(L132=1,M132=1),"Hibernating",IF(AND(L132=2,M132=1),"Promising","Loyal")))))</x:f>
        <x:v>Hibernating</x:v>
      </x:c>
    </x:row>
    <x:row r="133">
      <x:c r="A133" s="1" t="str">
        <x:v>C0132</x:v>
      </x:c>
      <x:c r="B133" s="1" t="str">
        <x:v>Jonas</x:v>
      </x:c>
      <x:c r="C133" s="1" t="str">
        <x:v>customer0132@example.com</x:v>
      </x:c>
      <x:c r="D133" s="1" t="str">
        <x:v>Brazil</x:v>
      </x:c>
      <x:c r="E133" s="5" t="d">
        <x:v>2026-08-12T00:00:00.000Z</x:v>
      </x:c>
      <x:c r="F133" s="5" t="d">
        <x:v>2026-09-17T00:00:00.000Z</x:v>
      </x:c>
      <x:c r="G133" s="1" t="n">
        <x:v>1</x:v>
      </x:c>
      <x:c r="H133" s="6" t="n">
        <x:v>69.98</x:v>
      </x:c>
      <x:c r="I133" s="1" t="n">
        <x:v>6</x:v>
      </x:c>
      <x:c r="J133" s="1" t="str">
        <x:v>web</x:v>
      </x:c>
      <x:c r="K133" s="7" t="n">
        <x:f>DATE(2026,10,1)-F133</x:f>
        <x:v>14</x:v>
      </x:c>
      <x:c r="L133" s="7" t="n">
        <x:f>IF(K133&lt;=30,3,IF(K133&lt;=90,2,1))</x:f>
        <x:v>3</x:v>
      </x:c>
      <x:c r="M133" s="7" t="n">
        <x:f>IF(G133&gt;=8,3,IF(G133&gt;=3,2,1))</x:f>
        <x:v>1</x:v>
      </x:c>
      <x:c r="N133" s="7" t="n">
        <x:f>IF(H133&gt;=600,3,IF(H133&gt;=200,2,1))</x:f>
        <x:v>1</x:v>
      </x:c>
      <x:c r="O133" s="1" t="str">
        <x:f>IF(AND(L133=3,M133=3),"Champions",IF(AND(L133=1,M133&gt;=2),"At risk",IF(AND(L133=3,M133=1),"New",IF(AND(L133=1,M133=1),"Hibernating",IF(AND(L133=2,M133=1),"Promising","Loyal")))))</x:f>
        <x:v>New</x:v>
      </x:c>
    </x:row>
    <x:row r="134">
      <x:c r="A134" s="1" t="str">
        <x:v>C0133</x:v>
      </x:c>
      <x:c r="B134" s="1" t="str">
        <x:v>Mateo</x:v>
      </x:c>
      <x:c r="C134" s="1" t="str">
        <x:v>customer0133@example.com</x:v>
      </x:c>
      <x:c r="D134" s="1" t="str">
        <x:v>UAE</x:v>
      </x:c>
      <x:c r="E134" s="5" t="d">
        <x:v>2026-02-17T00:00:00.000Z</x:v>
      </x:c>
      <x:c r="F134" s="5" t="d">
        <x:v>2026-09-06T00:00:00.000Z</x:v>
      </x:c>
      <x:c r="G134" s="1" t="n">
        <x:v>20</x:v>
      </x:c>
      <x:c r="H134" s="6" t="n">
        <x:v>1182.05</x:v>
      </x:c>
      <x:c r="I134" s="1" t="n">
        <x:v>3</x:v>
      </x:c>
      <x:c r="J134" s="1" t="str">
        <x:v>app</x:v>
      </x:c>
      <x:c r="K134" s="7" t="n">
        <x:f>DATE(2026,10,1)-F134</x:f>
        <x:v>25</x:v>
      </x:c>
      <x:c r="L134" s="7" t="n">
        <x:f>IF(K134&lt;=30,3,IF(K134&lt;=90,2,1))</x:f>
        <x:v>3</x:v>
      </x:c>
      <x:c r="M134" s="7" t="n">
        <x:f>IF(G134&gt;=8,3,IF(G134&gt;=3,2,1))</x:f>
        <x:v>3</x:v>
      </x:c>
      <x:c r="N134" s="7" t="n">
        <x:f>IF(H134&gt;=600,3,IF(H134&gt;=200,2,1))</x:f>
        <x:v>3</x:v>
      </x:c>
      <x:c r="O134" s="1" t="str">
        <x:f>IF(AND(L134=3,M134=3),"Champions",IF(AND(L134=1,M134&gt;=2),"At risk",IF(AND(L134=3,M134=1),"New",IF(AND(L134=1,M134=1),"Hibernating",IF(AND(L134=2,M134=1),"Promising","Loyal")))))</x:f>
        <x:v>Champions</x:v>
      </x:c>
    </x:row>
    <x:row r="135">
      <x:c r="A135" s="1" t="str">
        <x:v>C0134</x:v>
      </x:c>
      <x:c r="B135" s="1" t="str">
        <x:v>Mateo</x:v>
      </x:c>
      <x:c r="C135" s="1" t="str">
        <x:v>customer0134@example.com</x:v>
      </x:c>
      <x:c r="D135" s="1" t="str">
        <x:v>Nigeria</x:v>
      </x:c>
      <x:c r="E135" s="5" t="d">
        <x:v>2026-02-16T00:00:00.000Z</x:v>
      </x:c>
      <x:c r="F135" s="5" t="d">
        <x:v>2026-05-19T00:00:00.000Z</x:v>
      </x:c>
      <x:c r="G135" s="1" t="n">
        <x:v>9</x:v>
      </x:c>
      <x:c r="H135" s="6" t="n">
        <x:v>380.57</x:v>
      </x:c>
      <x:c r="I135" s="1" t="n">
        <x:v>5</x:v>
      </x:c>
      <x:c r="J135" s="1" t="str">
        <x:v>web</x:v>
      </x:c>
      <x:c r="K135" s="7" t="n">
        <x:f>DATE(2026,10,1)-F135</x:f>
        <x:v>135</x:v>
      </x:c>
      <x:c r="L135" s="7" t="n">
        <x:f>IF(K135&lt;=30,3,IF(K135&lt;=90,2,1))</x:f>
        <x:v>1</x:v>
      </x:c>
      <x:c r="M135" s="7" t="n">
        <x:f>IF(G135&gt;=8,3,IF(G135&gt;=3,2,1))</x:f>
        <x:v>3</x:v>
      </x:c>
      <x:c r="N135" s="7" t="n">
        <x:f>IF(H135&gt;=600,3,IF(H135&gt;=200,2,1))</x:f>
        <x:v>2</x:v>
      </x:c>
      <x:c r="O135" s="1" t="str">
        <x:f>IF(AND(L135=3,M135=3),"Champions",IF(AND(L135=1,M135&gt;=2),"At risk",IF(AND(L135=3,M135=1),"New",IF(AND(L135=1,M135=1),"Hibernating",IF(AND(L135=2,M135=1),"Promising","Loyal")))))</x:f>
        <x:v>At risk</x:v>
      </x:c>
    </x:row>
    <x:row r="136">
      <x:c r="A136" s="1" t="str">
        <x:v>C0135</x:v>
      </x:c>
      <x:c r="B136" s="1" t="str">
        <x:v>Felix</x:v>
      </x:c>
      <x:c r="C136" s="1" t="str">
        <x:v>customer0135@example.com</x:v>
      </x:c>
      <x:c r="D136" s="1" t="str">
        <x:v>UAE</x:v>
      </x:c>
      <x:c r="E136" s="5" t="d">
        <x:v>2025-11-24T00:00:00.000Z</x:v>
      </x:c>
      <x:c r="F136" s="5" t="d">
        <x:v>2026-04-18T00:00:00.000Z</x:v>
      </x:c>
      <x:c r="G136" s="1" t="n">
        <x:v>1</x:v>
      </x:c>
      <x:c r="H136" s="6" t="n">
        <x:v>24.05</x:v>
      </x:c>
      <x:c r="I136" s="1" t="n">
        <x:v>1</x:v>
      </x:c>
      <x:c r="J136" s="1" t="str">
        <x:v>store</x:v>
      </x:c>
      <x:c r="K136" s="7" t="n">
        <x:f>DATE(2026,10,1)-F136</x:f>
        <x:v>166</x:v>
      </x:c>
      <x:c r="L136" s="7" t="n">
        <x:f>IF(K136&lt;=30,3,IF(K136&lt;=90,2,1))</x:f>
        <x:v>1</x:v>
      </x:c>
      <x:c r="M136" s="7" t="n">
        <x:f>IF(G136&gt;=8,3,IF(G136&gt;=3,2,1))</x:f>
        <x:v>1</x:v>
      </x:c>
      <x:c r="N136" s="7" t="n">
        <x:f>IF(H136&gt;=600,3,IF(H136&gt;=200,2,1))</x:f>
        <x:v>1</x:v>
      </x:c>
      <x:c r="O136" s="1" t="str">
        <x:f>IF(AND(L136=3,M136=3),"Champions",IF(AND(L136=1,M136&gt;=2),"At risk",IF(AND(L136=3,M136=1),"New",IF(AND(L136=1,M136=1),"Hibernating",IF(AND(L136=2,M136=1),"Promising","Loyal")))))</x:f>
        <x:v>Hibernating</x:v>
      </x:c>
    </x:row>
    <x:row r="137">
      <x:c r="A137" s="1" t="str">
        <x:v>C0136</x:v>
      </x:c>
      <x:c r="B137" s="1" t="str">
        <x:v>Amara</x:v>
      </x:c>
      <x:c r="C137" s="1" t="str">
        <x:v>customer0136@example.com</x:v>
      </x:c>
      <x:c r="D137" s="1" t="str">
        <x:v>Japan</x:v>
      </x:c>
      <x:c r="E137" s="5" t="d">
        <x:v>2026-09-01T00:00:00.000Z</x:v>
      </x:c>
      <x:c r="F137" s="5" t="d">
        <x:v>2026-09-19T00:00:00.000Z</x:v>
      </x:c>
      <x:c r="G137" s="1" t="n">
        <x:v>1</x:v>
      </x:c>
      <x:c r="H137" s="6" t="n">
        <x:v>43.34</x:v>
      </x:c>
      <x:c r="I137" s="1" t="n">
        <x:v>2</x:v>
      </x:c>
      <x:c r="J137" s="1" t="str">
        <x:v>app</x:v>
      </x:c>
      <x:c r="K137" s="7" t="n">
        <x:f>DATE(2026,10,1)-F137</x:f>
        <x:v>12</x:v>
      </x:c>
      <x:c r="L137" s="7" t="n">
        <x:f>IF(K137&lt;=30,3,IF(K137&lt;=90,2,1))</x:f>
        <x:v>3</x:v>
      </x:c>
      <x:c r="M137" s="7" t="n">
        <x:f>IF(G137&gt;=8,3,IF(G137&gt;=3,2,1))</x:f>
        <x:v>1</x:v>
      </x:c>
      <x:c r="N137" s="7" t="n">
        <x:f>IF(H137&gt;=600,3,IF(H137&gt;=200,2,1))</x:f>
        <x:v>1</x:v>
      </x:c>
      <x:c r="O137" s="1" t="str">
        <x:f>IF(AND(L137=3,M137=3),"Champions",IF(AND(L137=1,M137&gt;=2),"At risk",IF(AND(L137=3,M137=1),"New",IF(AND(L137=1,M137=1),"Hibernating",IF(AND(L137=2,M137=1),"Promising","Loyal")))))</x:f>
        <x:v>New</x:v>
      </x:c>
    </x:row>
    <x:row r="138">
      <x:c r="A138" s="1" t="str">
        <x:v>C0137</x:v>
      </x:c>
      <x:c r="B138" s="1" t="str">
        <x:v>Ines</x:v>
      </x:c>
      <x:c r="C138" s="1" t="str">
        <x:v>customer0137@example.com</x:v>
      </x:c>
      <x:c r="D138" s="1" t="str">
        <x:v>UK</x:v>
      </x:c>
      <x:c r="E138" s="5" t="d">
        <x:v>2026-02-25T00:00:00.000Z</x:v>
      </x:c>
      <x:c r="F138" s="5" t="d">
        <x:v>2026-09-15T00:00:00.000Z</x:v>
      </x:c>
      <x:c r="G138" s="1" t="n">
        <x:v>20</x:v>
      </x:c>
      <x:c r="H138" s="6" t="n">
        <x:v>1887.7</x:v>
      </x:c>
      <x:c r="I138" s="1" t="n">
        <x:v>0</x:v>
      </x:c>
      <x:c r="J138" s="1" t="str">
        <x:v>web</x:v>
      </x:c>
      <x:c r="K138" s="7" t="n">
        <x:f>DATE(2026,10,1)-F138</x:f>
        <x:v>16</x:v>
      </x:c>
      <x:c r="L138" s="7" t="n">
        <x:f>IF(K138&lt;=30,3,IF(K138&lt;=90,2,1))</x:f>
        <x:v>3</x:v>
      </x:c>
      <x:c r="M138" s="7" t="n">
        <x:f>IF(G138&gt;=8,3,IF(G138&gt;=3,2,1))</x:f>
        <x:v>3</x:v>
      </x:c>
      <x:c r="N138" s="7" t="n">
        <x:f>IF(H138&gt;=600,3,IF(H138&gt;=200,2,1))</x:f>
        <x:v>3</x:v>
      </x:c>
      <x:c r="O138" s="1" t="str">
        <x:f>IF(AND(L138=3,M138=3),"Champions",IF(AND(L138=1,M138&gt;=2),"At risk",IF(AND(L138=3,M138=1),"New",IF(AND(L138=1,M138=1),"Hibernating",IF(AND(L138=2,M138=1),"Promising","Loyal")))))</x:f>
        <x:v>Champions</x:v>
      </x:c>
    </x:row>
    <x:row r="139">
      <x:c r="A139" s="1" t="str">
        <x:v>C0138</x:v>
      </x:c>
      <x:c r="B139" s="1" t="str">
        <x:v>Arjun</x:v>
      </x:c>
      <x:c r="C139" s="1" t="str">
        <x:v>customer0138@example.com</x:v>
      </x:c>
      <x:c r="D139" s="1" t="str">
        <x:v>UK</x:v>
      </x:c>
      <x:c r="E139" s="5" t="d">
        <x:v>2024-11-06T00:00:00.000Z</x:v>
      </x:c>
      <x:c r="F139" s="5" t="d">
        <x:v>2026-08-03T00:00:00.000Z</x:v>
      </x:c>
      <x:c r="G139" s="1" t="n">
        <x:v>3</x:v>
      </x:c>
      <x:c r="H139" s="6" t="n">
        <x:v>832.95</x:v>
      </x:c>
      <x:c r="I139" s="1" t="n">
        <x:v>10</x:v>
      </x:c>
      <x:c r="J139" s="1" t="str">
        <x:v>app</x:v>
      </x:c>
      <x:c r="K139" s="7" t="n">
        <x:f>DATE(2026,10,1)-F139</x:f>
        <x:v>59</x:v>
      </x:c>
      <x:c r="L139" s="7" t="n">
        <x:f>IF(K139&lt;=30,3,IF(K139&lt;=90,2,1))</x:f>
        <x:v>2</x:v>
      </x:c>
      <x:c r="M139" s="7" t="n">
        <x:f>IF(G139&gt;=8,3,IF(G139&gt;=3,2,1))</x:f>
        <x:v>2</x:v>
      </x:c>
      <x:c r="N139" s="7" t="n">
        <x:f>IF(H139&gt;=600,3,IF(H139&gt;=200,2,1))</x:f>
        <x:v>3</x:v>
      </x:c>
      <x:c r="O139" s="1" t="str">
        <x:f>IF(AND(L139=3,M139=3),"Champions",IF(AND(L139=1,M139&gt;=2),"At risk",IF(AND(L139=3,M139=1),"New",IF(AND(L139=1,M139=1),"Hibernating",IF(AND(L139=2,M139=1),"Promising","Loyal")))))</x:f>
        <x:v>Loyal</x:v>
      </x:c>
    </x:row>
    <x:row r="140">
      <x:c r="A140" s="1" t="str">
        <x:v>C0139</x:v>
      </x:c>
      <x:c r="B140" s="1" t="str">
        <x:v>Diego</x:v>
      </x:c>
      <x:c r="C140" s="1" t="str">
        <x:v>customer0139@example.com</x:v>
      </x:c>
      <x:c r="D140" s="1" t="str">
        <x:v>USA</x:v>
      </x:c>
      <x:c r="E140" s="5" t="d">
        <x:v>2026-08-31T00:00:00.000Z</x:v>
      </x:c>
      <x:c r="F140" s="5" t="d">
        <x:v>2026-09-11T00:00:00.000Z</x:v>
      </x:c>
      <x:c r="G140" s="1" t="n">
        <x:v>1</x:v>
      </x:c>
      <x:c r="H140" s="6" t="n">
        <x:v>152.67</x:v>
      </x:c>
      <x:c r="I140" s="1" t="n">
        <x:v>0</x:v>
      </x:c>
      <x:c r="J140" s="1" t="str">
        <x:v>web</x:v>
      </x:c>
      <x:c r="K140" s="7" t="n">
        <x:f>DATE(2026,10,1)-F140</x:f>
        <x:v>20</x:v>
      </x:c>
      <x:c r="L140" s="7" t="n">
        <x:f>IF(K140&lt;=30,3,IF(K140&lt;=90,2,1))</x:f>
        <x:v>3</x:v>
      </x:c>
      <x:c r="M140" s="7" t="n">
        <x:f>IF(G140&gt;=8,3,IF(G140&gt;=3,2,1))</x:f>
        <x:v>1</x:v>
      </x:c>
      <x:c r="N140" s="7" t="n">
        <x:f>IF(H140&gt;=600,3,IF(H140&gt;=200,2,1))</x:f>
        <x:v>1</x:v>
      </x:c>
      <x:c r="O140" s="1" t="str">
        <x:f>IF(AND(L140=3,M140=3),"Champions",IF(AND(L140=1,M140&gt;=2),"At risk",IF(AND(L140=3,M140=1),"New",IF(AND(L140=1,M140=1),"Hibernating",IF(AND(L140=2,M140=1),"Promising","Loyal")))))</x:f>
        <x:v>New</x:v>
      </x:c>
    </x:row>
    <x:row r="141">
      <x:c r="A141" s="1" t="str">
        <x:v>C0140</x:v>
      </x:c>
      <x:c r="B141" s="1" t="str">
        <x:v>Zara</x:v>
      </x:c>
      <x:c r="C141" s="1" t="str">
        <x:v>customer0140@example.com</x:v>
      </x:c>
      <x:c r="D141" s="1" t="str">
        <x:v>USA</x:v>
      </x:c>
      <x:c r="E141" s="5" t="d">
        <x:v>2025-11-02T00:00:00.000Z</x:v>
      </x:c>
      <x:c r="F141" s="5" t="d">
        <x:v>2026-04-04T00:00:00.000Z</x:v>
      </x:c>
      <x:c r="G141" s="1" t="n">
        <x:v>2</x:v>
      </x:c>
      <x:c r="H141" s="6" t="n">
        <x:v>77.86</x:v>
      </x:c>
      <x:c r="I141" s="1" t="n">
        <x:v>0</x:v>
      </x:c>
      <x:c r="J141" s="1" t="str">
        <x:v>store</x:v>
      </x:c>
      <x:c r="K141" s="7" t="n">
        <x:f>DATE(2026,10,1)-F141</x:f>
        <x:v>180</x:v>
      </x:c>
      <x:c r="L141" s="7" t="n">
        <x:f>IF(K141&lt;=30,3,IF(K141&lt;=90,2,1))</x:f>
        <x:v>1</x:v>
      </x:c>
      <x:c r="M141" s="7" t="n">
        <x:f>IF(G141&gt;=8,3,IF(G141&gt;=3,2,1))</x:f>
        <x:v>1</x:v>
      </x:c>
      <x:c r="N141" s="7" t="n">
        <x:f>IF(H141&gt;=600,3,IF(H141&gt;=200,2,1))</x:f>
        <x:v>1</x:v>
      </x:c>
      <x:c r="O141" s="1" t="str">
        <x:f>IF(AND(L141=3,M141=3),"Champions",IF(AND(L141=1,M141&gt;=2),"At risk",IF(AND(L141=3,M141=1),"New",IF(AND(L141=1,M141=1),"Hibernating",IF(AND(L141=2,M141=1),"Promising","Loyal")))))</x:f>
        <x:v>Hibernating</x:v>
      </x:c>
    </x:row>
    <x:row r="142">
      <x:c r="A142" s="1" t="str">
        <x:v>C0141</x:v>
      </x:c>
      <x:c r="B142" s="1" t="str">
        <x:v>Noah</x:v>
      </x:c>
      <x:c r="C142" s="1" t="str">
        <x:v>customer0141@example.com</x:v>
      </x:c>
      <x:c r="D142" s="1" t="str">
        <x:v>Japan</x:v>
      </x:c>
      <x:c r="E142" s="5" t="d">
        <x:v>2024-09-29T00:00:00.000Z</x:v>
      </x:c>
      <x:c r="F142" s="5" t="d">
        <x:v>2026-06-04T00:00:00.000Z</x:v>
      </x:c>
      <x:c r="G142" s="1" t="n">
        <x:v>2</x:v>
      </x:c>
      <x:c r="H142" s="6" t="n">
        <x:v>35.6</x:v>
      </x:c>
      <x:c r="I142" s="1" t="n">
        <x:v>10</x:v>
      </x:c>
      <x:c r="J142" s="1" t="str">
        <x:v>web</x:v>
      </x:c>
      <x:c r="K142" s="7" t="n">
        <x:f>DATE(2026,10,1)-F142</x:f>
        <x:v>119</x:v>
      </x:c>
      <x:c r="L142" s="7" t="n">
        <x:f>IF(K142&lt;=30,3,IF(K142&lt;=90,2,1))</x:f>
        <x:v>1</x:v>
      </x:c>
      <x:c r="M142" s="7" t="n">
        <x:f>IF(G142&gt;=8,3,IF(G142&gt;=3,2,1))</x:f>
        <x:v>1</x:v>
      </x:c>
      <x:c r="N142" s="7" t="n">
        <x:f>IF(H142&gt;=600,3,IF(H142&gt;=200,2,1))</x:f>
        <x:v>1</x:v>
      </x:c>
      <x:c r="O142" s="1" t="str">
        <x:f>IF(AND(L142=3,M142=3),"Champions",IF(AND(L142=1,M142&gt;=2),"At risk",IF(AND(L142=3,M142=1),"New",IF(AND(L142=1,M142=1),"Hibernating",IF(AND(L142=2,M142=1),"Promising","Loyal")))))</x:f>
        <x:v>Hibernating</x:v>
      </x:c>
    </x:row>
    <x:row r="143">
      <x:c r="A143" s="1" t="str">
        <x:v>C0142</x:v>
      </x:c>
      <x:c r="B143" s="1" t="str">
        <x:v>Noah</x:v>
      </x:c>
      <x:c r="C143" s="1" t="str">
        <x:v>customer0142@example.com</x:v>
      </x:c>
      <x:c r="D143" s="1" t="str">
        <x:v>Japan</x:v>
      </x:c>
      <x:c r="E143" s="5" t="d">
        <x:v>2026-08-29T00:00:00.000Z</x:v>
      </x:c>
      <x:c r="F143" s="5" t="d">
        <x:v>2026-09-21T00:00:00.000Z</x:v>
      </x:c>
      <x:c r="G143" s="1" t="n">
        <x:v>1</x:v>
      </x:c>
      <x:c r="H143" s="6" t="n">
        <x:v>88.12</x:v>
      </x:c>
      <x:c r="I143" s="1" t="n">
        <x:v>7</x:v>
      </x:c>
      <x:c r="J143" s="1" t="str">
        <x:v>app</x:v>
      </x:c>
      <x:c r="K143" s="7" t="n">
        <x:f>DATE(2026,10,1)-F143</x:f>
        <x:v>10</x:v>
      </x:c>
      <x:c r="L143" s="7" t="n">
        <x:f>IF(K143&lt;=30,3,IF(K143&lt;=90,2,1))</x:f>
        <x:v>3</x:v>
      </x:c>
      <x:c r="M143" s="7" t="n">
        <x:f>IF(G143&gt;=8,3,IF(G143&gt;=3,2,1))</x:f>
        <x:v>1</x:v>
      </x:c>
      <x:c r="N143" s="7" t="n">
        <x:f>IF(H143&gt;=600,3,IF(H143&gt;=200,2,1))</x:f>
        <x:v>1</x:v>
      </x:c>
      <x:c r="O143" s="1" t="str">
        <x:f>IF(AND(L143=3,M143=3),"Champions",IF(AND(L143=1,M143&gt;=2),"At risk",IF(AND(L143=3,M143=1),"New",IF(AND(L143=1,M143=1),"Hibernating",IF(AND(L143=2,M143=1),"Promising","Loyal")))))</x:f>
        <x:v>New</x:v>
      </x:c>
    </x:row>
    <x:row r="144">
      <x:c r="A144" s="1" t="str">
        <x:v>C0143</x:v>
      </x:c>
      <x:c r="B144" s="1" t="str">
        <x:v>Kai</x:v>
      </x:c>
      <x:c r="C144" s="1" t="str">
        <x:v>customer0143@example.com</x:v>
      </x:c>
      <x:c r="D144" s="1" t="str">
        <x:v>Nigeria</x:v>
      </x:c>
      <x:c r="E144" s="5" t="d">
        <x:v>2025-06-11T00:00:00.000Z</x:v>
      </x:c>
      <x:c r="F144" s="5" t="d">
        <x:v>2026-09-11T00:00:00.000Z</x:v>
      </x:c>
      <x:c r="G144" s="1" t="n">
        <x:v>15</x:v>
      </x:c>
      <x:c r="H144" s="6" t="n">
        <x:v>1344.44</x:v>
      </x:c>
      <x:c r="I144" s="1" t="n">
        <x:v>12</x:v>
      </x:c>
      <x:c r="J144" s="1" t="str">
        <x:v>web</x:v>
      </x:c>
      <x:c r="K144" s="7" t="n">
        <x:f>DATE(2026,10,1)-F144</x:f>
        <x:v>20</x:v>
      </x:c>
      <x:c r="L144" s="7" t="n">
        <x:f>IF(K144&lt;=30,3,IF(K144&lt;=90,2,1))</x:f>
        <x:v>3</x:v>
      </x:c>
      <x:c r="M144" s="7" t="n">
        <x:f>IF(G144&gt;=8,3,IF(G144&gt;=3,2,1))</x:f>
        <x:v>3</x:v>
      </x:c>
      <x:c r="N144" s="7" t="n">
        <x:f>IF(H144&gt;=600,3,IF(H144&gt;=200,2,1))</x:f>
        <x:v>3</x:v>
      </x:c>
      <x:c r="O144" s="1" t="str">
        <x:f>IF(AND(L144=3,M144=3),"Champions",IF(AND(L144=1,M144&gt;=2),"At risk",IF(AND(L144=3,M144=1),"New",IF(AND(L144=1,M144=1),"Hibernating",IF(AND(L144=2,M144=1),"Promising","Loyal")))))</x:f>
        <x:v>Champions</x:v>
      </x:c>
    </x:row>
    <x:row r="145">
      <x:c r="A145" s="1" t="str">
        <x:v>C0144</x:v>
      </x:c>
      <x:c r="B145" s="1" t="str">
        <x:v>Chloe</x:v>
      </x:c>
      <x:c r="C145" s="1" t="str">
        <x:v>customer0144@example.com</x:v>
      </x:c>
      <x:c r="D145" s="1" t="str">
        <x:v>UAE</x:v>
      </x:c>
      <x:c r="E145" s="5" t="d">
        <x:v>2025-06-15T00:00:00.000Z</x:v>
      </x:c>
      <x:c r="F145" s="5" t="d">
        <x:v>2025-10-24T00:00:00.000Z</x:v>
      </x:c>
      <x:c r="G145" s="1" t="n">
        <x:v>2</x:v>
      </x:c>
      <x:c r="H145" s="6" t="n">
        <x:v>33.74</x:v>
      </x:c>
      <x:c r="I145" s="1" t="n">
        <x:v>5</x:v>
      </x:c>
      <x:c r="J145" s="1" t="str">
        <x:v>app</x:v>
      </x:c>
      <x:c r="K145" s="7" t="n">
        <x:f>DATE(2026,10,1)-F145</x:f>
        <x:v>342</x:v>
      </x:c>
      <x:c r="L145" s="7" t="n">
        <x:f>IF(K145&lt;=30,3,IF(K145&lt;=90,2,1))</x:f>
        <x:v>1</x:v>
      </x:c>
      <x:c r="M145" s="7" t="n">
        <x:f>IF(G145&gt;=8,3,IF(G145&gt;=3,2,1))</x:f>
        <x:v>1</x:v>
      </x:c>
      <x:c r="N145" s="7" t="n">
        <x:f>IF(H145&gt;=600,3,IF(H145&gt;=200,2,1))</x:f>
        <x:v>1</x:v>
      </x:c>
      <x:c r="O145" s="1" t="str">
        <x:f>IF(AND(L145=3,M145=3),"Champions",IF(AND(L145=1,M145&gt;=2),"At risk",IF(AND(L145=3,M145=1),"New",IF(AND(L145=1,M145=1),"Hibernating",IF(AND(L145=2,M145=1),"Promising","Loyal")))))</x:f>
        <x:v>Hibernating</x:v>
      </x:c>
    </x:row>
    <x:row r="146">
      <x:c r="A146" s="1" t="str">
        <x:v>C0145</x:v>
      </x:c>
      <x:c r="B146" s="1" t="str">
        <x:v>Leo</x:v>
      </x:c>
      <x:c r="C146" s="1" t="str">
        <x:v>customer0145@example.com</x:v>
      </x:c>
      <x:c r="D146" s="1" t="str">
        <x:v>Brazil</x:v>
      </x:c>
      <x:c r="E146" s="5" t="d">
        <x:v>2025-05-28T00:00:00.000Z</x:v>
      </x:c>
      <x:c r="F146" s="5" t="d">
        <x:v>2025-10-08T00:00:00.000Z</x:v>
      </x:c>
      <x:c r="G146" s="1" t="n">
        <x:v>1</x:v>
      </x:c>
      <x:c r="H146" s="6" t="n">
        <x:v>22.11</x:v>
      </x:c>
      <x:c r="I146" s="1" t="n">
        <x:v>12</x:v>
      </x:c>
      <x:c r="J146" s="1" t="str">
        <x:v>store</x:v>
      </x:c>
      <x:c r="K146" s="7" t="n">
        <x:f>DATE(2026,10,1)-F146</x:f>
        <x:v>358</x:v>
      </x:c>
      <x:c r="L146" s="7" t="n">
        <x:f>IF(K146&lt;=30,3,IF(K146&lt;=90,2,1))</x:f>
        <x:v>1</x:v>
      </x:c>
      <x:c r="M146" s="7" t="n">
        <x:f>IF(G146&gt;=8,3,IF(G146&gt;=3,2,1))</x:f>
        <x:v>1</x:v>
      </x:c>
      <x:c r="N146" s="7" t="n">
        <x:f>IF(H146&gt;=600,3,IF(H146&gt;=200,2,1))</x:f>
        <x:v>1</x:v>
      </x:c>
      <x:c r="O146" s="1" t="str">
        <x:f>IF(AND(L146=3,M146=3),"Champions",IF(AND(L146=1,M146&gt;=2),"At risk",IF(AND(L146=3,M146=1),"New",IF(AND(L146=1,M146=1),"Hibernating",IF(AND(L146=2,M146=1),"Promising","Loyal")))))</x:f>
        <x:v>Hibernating</x:v>
      </x:c>
    </x:row>
    <x:row r="147">
      <x:c r="A147" s="1" t="str">
        <x:v>C0146</x:v>
      </x:c>
      <x:c r="B147" s="1" t="str">
        <x:v>Yara</x:v>
      </x:c>
      <x:c r="C147" s="1" t="str">
        <x:v>customer0146@example.com</x:v>
      </x:c>
      <x:c r="D147" s="1" t="str">
        <x:v>UK</x:v>
      </x:c>
      <x:c r="E147" s="5" t="d">
        <x:v>2024-08-16T00:00:00.000Z</x:v>
      </x:c>
      <x:c r="F147" s="5" t="d">
        <x:v>2026-06-15T00:00:00.000Z</x:v>
      </x:c>
      <x:c r="G147" s="1" t="n">
        <x:v>11</x:v>
      </x:c>
      <x:c r="H147" s="6" t="n">
        <x:v>1279.1</x:v>
      </x:c>
      <x:c r="I147" s="1" t="n">
        <x:v>0</x:v>
      </x:c>
      <x:c r="J147" s="1" t="str">
        <x:v>app</x:v>
      </x:c>
      <x:c r="K147" s="7" t="n">
        <x:f>DATE(2026,10,1)-F147</x:f>
        <x:v>108</x:v>
      </x:c>
      <x:c r="L147" s="7" t="n">
        <x:f>IF(K147&lt;=30,3,IF(K147&lt;=90,2,1))</x:f>
        <x:v>1</x:v>
      </x:c>
      <x:c r="M147" s="7" t="n">
        <x:f>IF(G147&gt;=8,3,IF(G147&gt;=3,2,1))</x:f>
        <x:v>3</x:v>
      </x:c>
      <x:c r="N147" s="7" t="n">
        <x:f>IF(H147&gt;=600,3,IF(H147&gt;=200,2,1))</x:f>
        <x:v>3</x:v>
      </x:c>
      <x:c r="O147" s="1" t="str">
        <x:f>IF(AND(L147=3,M147=3),"Champions",IF(AND(L147=1,M147&gt;=2),"At risk",IF(AND(L147=3,M147=1),"New",IF(AND(L147=1,M147=1),"Hibernating",IF(AND(L147=2,M147=1),"Promising","Loyal")))))</x:f>
        <x:v>At risk</x:v>
      </x:c>
    </x:row>
    <x:row r="148">
      <x:c r="A148" s="1" t="str">
        <x:v>C0147</x:v>
      </x:c>
      <x:c r="B148" s="1" t="str">
        <x:v>Ines</x:v>
      </x:c>
      <x:c r="C148" s="1" t="str">
        <x:v>customer0147@example.com</x:v>
      </x:c>
      <x:c r="D148" s="1" t="str">
        <x:v>UK</x:v>
      </x:c>
      <x:c r="E148" s="5" t="d">
        <x:v>2024-12-11T00:00:00.000Z</x:v>
      </x:c>
      <x:c r="F148" s="5" t="d">
        <x:v>2026-04-28T00:00:00.000Z</x:v>
      </x:c>
      <x:c r="G148" s="1" t="n">
        <x:v>1</x:v>
      </x:c>
      <x:c r="H148" s="6" t="n">
        <x:v>38.03</x:v>
      </x:c>
      <x:c r="I148" s="1" t="n">
        <x:v>10</x:v>
      </x:c>
      <x:c r="J148" s="1" t="str">
        <x:v>store</x:v>
      </x:c>
      <x:c r="K148" s="7" t="n">
        <x:f>DATE(2026,10,1)-F148</x:f>
        <x:v>156</x:v>
      </x:c>
      <x:c r="L148" s="7" t="n">
        <x:f>IF(K148&lt;=30,3,IF(K148&lt;=90,2,1))</x:f>
        <x:v>1</x:v>
      </x:c>
      <x:c r="M148" s="7" t="n">
        <x:f>IF(G148&gt;=8,3,IF(G148&gt;=3,2,1))</x:f>
        <x:v>1</x:v>
      </x:c>
      <x:c r="N148" s="7" t="n">
        <x:f>IF(H148&gt;=600,3,IF(H148&gt;=200,2,1))</x:f>
        <x:v>1</x:v>
      </x:c>
      <x:c r="O148" s="1" t="str">
        <x:f>IF(AND(L148=3,M148=3),"Champions",IF(AND(L148=1,M148&gt;=2),"At risk",IF(AND(L148=3,M148=1),"New",IF(AND(L148=1,M148=1),"Hibernating",IF(AND(L148=2,M148=1),"Promising","Loyal")))))</x:f>
        <x:v>Hibernating</x:v>
      </x:c>
    </x:row>
    <x:row r="149">
      <x:c r="A149" s="1" t="str">
        <x:v>C0148</x:v>
      </x:c>
      <x:c r="B149" s="1" t="str">
        <x:v>Amara</x:v>
      </x:c>
      <x:c r="C149" s="1" t="str">
        <x:v>customer0148@example.com</x:v>
      </x:c>
      <x:c r="D149" s="1" t="str">
        <x:v>Brazil</x:v>
      </x:c>
      <x:c r="E149" s="5" t="d">
        <x:v>2025-09-05T00:00:00.000Z</x:v>
      </x:c>
      <x:c r="F149" s="5" t="d">
        <x:v>2026-05-21T00:00:00.000Z</x:v>
      </x:c>
      <x:c r="G149" s="1" t="n">
        <x:v>2</x:v>
      </x:c>
      <x:c r="H149" s="6" t="n">
        <x:v>121.83</x:v>
      </x:c>
      <x:c r="I149" s="1" t="n">
        <x:v>9</x:v>
      </x:c>
      <x:c r="J149" s="1" t="str">
        <x:v>web</x:v>
      </x:c>
      <x:c r="K149" s="7" t="n">
        <x:f>DATE(2026,10,1)-F149</x:f>
        <x:v>133</x:v>
      </x:c>
      <x:c r="L149" s="7" t="n">
        <x:f>IF(K149&lt;=30,3,IF(K149&lt;=90,2,1))</x:f>
        <x:v>1</x:v>
      </x:c>
      <x:c r="M149" s="7" t="n">
        <x:f>IF(G149&gt;=8,3,IF(G149&gt;=3,2,1))</x:f>
        <x:v>1</x:v>
      </x:c>
      <x:c r="N149" s="7" t="n">
        <x:f>IF(H149&gt;=600,3,IF(H149&gt;=200,2,1))</x:f>
        <x:v>1</x:v>
      </x:c>
      <x:c r="O149" s="1" t="str">
        <x:f>IF(AND(L149=3,M149=3),"Champions",IF(AND(L149=1,M149&gt;=2),"At risk",IF(AND(L149=3,M149=1),"New",IF(AND(L149=1,M149=1),"Hibernating",IF(AND(L149=2,M149=1),"Promising","Loyal")))))</x:f>
        <x:v>Hibernating</x:v>
      </x:c>
    </x:row>
    <x:row r="150">
      <x:c r="A150" s="1" t="str">
        <x:v>C0149</x:v>
      </x:c>
      <x:c r="B150" s="1" t="str">
        <x:v>Lucas</x:v>
      </x:c>
      <x:c r="C150" s="1" t="str">
        <x:v>customer0149@example.com</x:v>
      </x:c>
      <x:c r="D150" s="1" t="str">
        <x:v>Nigeria</x:v>
      </x:c>
      <x:c r="E150" s="5" t="d">
        <x:v>2024-06-29T00:00:00.000Z</x:v>
      </x:c>
      <x:c r="F150" s="5" t="d">
        <x:v>2025-11-02T00:00:00.000Z</x:v>
      </x:c>
      <x:c r="G150" s="1" t="n">
        <x:v>1</x:v>
      </x:c>
      <x:c r="H150" s="6" t="n">
        <x:v>59.48</x:v>
      </x:c>
      <x:c r="I150" s="1" t="n">
        <x:v>4</x:v>
      </x:c>
      <x:c r="J150" s="1" t="str">
        <x:v>store</x:v>
      </x:c>
      <x:c r="K150" s="7" t="n">
        <x:f>DATE(2026,10,1)-F150</x:f>
        <x:v>333</x:v>
      </x:c>
      <x:c r="L150" s="7" t="n">
        <x:f>IF(K150&lt;=30,3,IF(K150&lt;=90,2,1))</x:f>
        <x:v>1</x:v>
      </x:c>
      <x:c r="M150" s="7" t="n">
        <x:f>IF(G150&gt;=8,3,IF(G150&gt;=3,2,1))</x:f>
        <x:v>1</x:v>
      </x:c>
      <x:c r="N150" s="7" t="n">
        <x:f>IF(H150&gt;=600,3,IF(H150&gt;=200,2,1))</x:f>
        <x:v>1</x:v>
      </x:c>
      <x:c r="O150" s="1" t="str">
        <x:f>IF(AND(L150=3,M150=3),"Champions",IF(AND(L150=1,M150&gt;=2),"At risk",IF(AND(L150=3,M150=1),"New",IF(AND(L150=1,M150=1),"Hibernating",IF(AND(L150=2,M150=1),"Promising","Loyal")))))</x:f>
        <x:v>Hibernating</x:v>
      </x:c>
    </x:row>
    <x:row r="151">
      <x:c r="A151" s="1" t="str">
        <x:v>C0150</x:v>
      </x:c>
      <x:c r="B151" s="1" t="str">
        <x:v>Mateo</x:v>
      </x:c>
      <x:c r="C151" s="1" t="str">
        <x:v>customer0150@example.com</x:v>
      </x:c>
      <x:c r="D151" s="1" t="str">
        <x:v>UK</x:v>
      </x:c>
      <x:c r="E151" s="5" t="d">
        <x:v>2025-10-04T00:00:00.000Z</x:v>
      </x:c>
      <x:c r="F151" s="5" t="d">
        <x:v>2026-04-08T00:00:00.000Z</x:v>
      </x:c>
      <x:c r="G151" s="1" t="n">
        <x:v>8</x:v>
      </x:c>
      <x:c r="H151" s="6" t="n">
        <x:v>292.36</x:v>
      </x:c>
      <x:c r="I151" s="1" t="n">
        <x:v>10</x:v>
      </x:c>
      <x:c r="J151" s="1" t="str">
        <x:v>web</x:v>
      </x:c>
      <x:c r="K151" s="7" t="n">
        <x:f>DATE(2026,10,1)-F151</x:f>
        <x:v>176</x:v>
      </x:c>
      <x:c r="L151" s="7" t="n">
        <x:f>IF(K151&lt;=30,3,IF(K151&lt;=90,2,1))</x:f>
        <x:v>1</x:v>
      </x:c>
      <x:c r="M151" s="7" t="n">
        <x:f>IF(G151&gt;=8,3,IF(G151&gt;=3,2,1))</x:f>
        <x:v>3</x:v>
      </x:c>
      <x:c r="N151" s="7" t="n">
        <x:f>IF(H151&gt;=600,3,IF(H151&gt;=200,2,1))</x:f>
        <x:v>2</x:v>
      </x:c>
      <x:c r="O151" s="1" t="str">
        <x:f>IF(AND(L151=3,M151=3),"Champions",IF(AND(L151=1,M151&gt;=2),"At risk",IF(AND(L151=3,M151=1),"New",IF(AND(L151=1,M151=1),"Hibernating",IF(AND(L151=2,M151=1),"Promising","Loyal")))))</x:f>
        <x:v>At risk</x:v>
      </x:c>
    </x:row>
    <x:row r="152">
      <x:c r="A152" s="1" t="str">
        <x:v>C0151</x:v>
      </x:c>
      <x:c r="B152" s="1" t="str">
        <x:v>Sofia</x:v>
      </x:c>
      <x:c r="C152" s="1" t="str">
        <x:v>customer0151@example.com</x:v>
      </x:c>
      <x:c r="D152" s="1" t="str">
        <x:v>Japan</x:v>
      </x:c>
      <x:c r="E152" s="5" t="d">
        <x:v>2026-08-17T00:00:00.000Z</x:v>
      </x:c>
      <x:c r="F152" s="5" t="d">
        <x:v>2026-09-02T00:00:00.000Z</x:v>
      </x:c>
      <x:c r="G152" s="1" t="n">
        <x:v>2</x:v>
      </x:c>
      <x:c r="H152" s="6" t="n">
        <x:v>47</x:v>
      </x:c>
      <x:c r="I152" s="1" t="n">
        <x:v>0</x:v>
      </x:c>
      <x:c r="J152" s="1" t="str">
        <x:v>store</x:v>
      </x:c>
      <x:c r="K152" s="7" t="n">
        <x:f>DATE(2026,10,1)-F152</x:f>
        <x:v>29</x:v>
      </x:c>
      <x:c r="L152" s="7" t="n">
        <x:f>IF(K152&lt;=30,3,IF(K152&lt;=90,2,1))</x:f>
        <x:v>3</x:v>
      </x:c>
      <x:c r="M152" s="7" t="n">
        <x:f>IF(G152&gt;=8,3,IF(G152&gt;=3,2,1))</x:f>
        <x:v>1</x:v>
      </x:c>
      <x:c r="N152" s="7" t="n">
        <x:f>IF(H152&gt;=600,3,IF(H152&gt;=200,2,1))</x:f>
        <x:v>1</x:v>
      </x:c>
      <x:c r="O152" s="1" t="str">
        <x:f>IF(AND(L152=3,M152=3),"Champions",IF(AND(L152=1,M152&gt;=2),"At risk",IF(AND(L152=3,M152=1),"New",IF(AND(L152=1,M152=1),"Hibernating",IF(AND(L152=2,M152=1),"Promising","Loyal")))))</x:f>
        <x:v>New</x:v>
      </x:c>
    </x:row>
    <x:row r="153">
      <x:c r="A153" s="1" t="str">
        <x:v>C0152</x:v>
      </x:c>
      <x:c r="B153" s="1" t="str">
        <x:v>Felix</x:v>
      </x:c>
      <x:c r="C153" s="1" t="str">
        <x:v>customer0152@example.com</x:v>
      </x:c>
      <x:c r="D153" s="1" t="str">
        <x:v>UAE</x:v>
      </x:c>
      <x:c r="E153" s="5" t="d">
        <x:v>2024-05-05T00:00:00.000Z</x:v>
      </x:c>
      <x:c r="F153" s="5" t="d">
        <x:v>2025-11-04T00:00:00.000Z</x:v>
      </x:c>
      <x:c r="G153" s="1" t="n">
        <x:v>1</x:v>
      </x:c>
      <x:c r="H153" s="6" t="n">
        <x:v>59.11</x:v>
      </x:c>
      <x:c r="I153" s="1" t="n">
        <x:v>11</x:v>
      </x:c>
      <x:c r="J153" s="1" t="str">
        <x:v>web</x:v>
      </x:c>
      <x:c r="K153" s="7" t="n">
        <x:f>DATE(2026,10,1)-F153</x:f>
        <x:v>331</x:v>
      </x:c>
      <x:c r="L153" s="7" t="n">
        <x:f>IF(K153&lt;=30,3,IF(K153&lt;=90,2,1))</x:f>
        <x:v>1</x:v>
      </x:c>
      <x:c r="M153" s="7" t="n">
        <x:f>IF(G153&gt;=8,3,IF(G153&gt;=3,2,1))</x:f>
        <x:v>1</x:v>
      </x:c>
      <x:c r="N153" s="7" t="n">
        <x:f>IF(H153&gt;=600,3,IF(H153&gt;=200,2,1))</x:f>
        <x:v>1</x:v>
      </x:c>
      <x:c r="O153" s="1" t="str">
        <x:f>IF(AND(L153=3,M153=3),"Champions",IF(AND(L153=1,M153&gt;=2),"At risk",IF(AND(L153=3,M153=1),"New",IF(AND(L153=1,M153=1),"Hibernating",IF(AND(L153=2,M153=1),"Promising","Loyal")))))</x:f>
        <x:v>Hibernating</x:v>
      </x:c>
    </x:row>
    <x:row r="154">
      <x:c r="A154" s="1" t="str">
        <x:v>C0153</x:v>
      </x:c>
      <x:c r="B154" s="1" t="str">
        <x:v>Kai</x:v>
      </x:c>
      <x:c r="C154" s="1" t="str">
        <x:v>customer0153@example.com</x:v>
      </x:c>
      <x:c r="D154" s="1" t="str">
        <x:v>Singapore</x:v>
      </x:c>
      <x:c r="E154" s="5" t="d">
        <x:v>2025-09-01T00:00:00.000Z</x:v>
      </x:c>
      <x:c r="F154" s="5" t="d">
        <x:v>2026-08-05T00:00:00.000Z</x:v>
      </x:c>
      <x:c r="G154" s="1" t="n">
        <x:v>7</x:v>
      </x:c>
      <x:c r="H154" s="6" t="n">
        <x:v>302.34</x:v>
      </x:c>
      <x:c r="I154" s="1" t="n">
        <x:v>7</x:v>
      </x:c>
      <x:c r="J154" s="1" t="str">
        <x:v>app</x:v>
      </x:c>
      <x:c r="K154" s="7" t="n">
        <x:f>DATE(2026,10,1)-F154</x:f>
        <x:v>57</x:v>
      </x:c>
      <x:c r="L154" s="7" t="n">
        <x:f>IF(K154&lt;=30,3,IF(K154&lt;=90,2,1))</x:f>
        <x:v>2</x:v>
      </x:c>
      <x:c r="M154" s="7" t="n">
        <x:f>IF(G154&gt;=8,3,IF(G154&gt;=3,2,1))</x:f>
        <x:v>2</x:v>
      </x:c>
      <x:c r="N154" s="7" t="n">
        <x:f>IF(H154&gt;=600,3,IF(H154&gt;=200,2,1))</x:f>
        <x:v>2</x:v>
      </x:c>
      <x:c r="O154" s="1" t="str">
        <x:f>IF(AND(L154=3,M154=3),"Champions",IF(AND(L154=1,M154&gt;=2),"At risk",IF(AND(L154=3,M154=1),"New",IF(AND(L154=1,M154=1),"Hibernating",IF(AND(L154=2,M154=1),"Promising","Loyal")))))</x:f>
        <x:v>Loyal</x:v>
      </x:c>
    </x:row>
    <x:row r="155">
      <x:c r="A155" s="1" t="str">
        <x:v>C0154</x:v>
      </x:c>
      <x:c r="B155" s="1" t="str">
        <x:v>Ines</x:v>
      </x:c>
      <x:c r="C155" s="1" t="str">
        <x:v>customer0154@example.com</x:v>
      </x:c>
      <x:c r="D155" s="1" t="str">
        <x:v>Nigeria</x:v>
      </x:c>
      <x:c r="E155" s="5" t="d">
        <x:v>2025-12-30T00:00:00.000Z</x:v>
      </x:c>
      <x:c r="F155" s="5" t="d">
        <x:v>2026-09-15T00:00:00.000Z</x:v>
      </x:c>
      <x:c r="G155" s="1" t="n">
        <x:v>5</x:v>
      </x:c>
      <x:c r="H155" s="6" t="n">
        <x:v>773.88</x:v>
      </x:c>
      <x:c r="I155" s="1" t="n">
        <x:v>10</x:v>
      </x:c>
      <x:c r="J155" s="1" t="str">
        <x:v>web</x:v>
      </x:c>
      <x:c r="K155" s="7" t="n">
        <x:f>DATE(2026,10,1)-F155</x:f>
        <x:v>16</x:v>
      </x:c>
      <x:c r="L155" s="7" t="n">
        <x:f>IF(K155&lt;=30,3,IF(K155&lt;=90,2,1))</x:f>
        <x:v>3</x:v>
      </x:c>
      <x:c r="M155" s="7" t="n">
        <x:f>IF(G155&gt;=8,3,IF(G155&gt;=3,2,1))</x:f>
        <x:v>2</x:v>
      </x:c>
      <x:c r="N155" s="7" t="n">
        <x:f>IF(H155&gt;=600,3,IF(H155&gt;=200,2,1))</x:f>
        <x:v>3</x:v>
      </x:c>
      <x:c r="O155" s="1" t="str">
        <x:f>IF(AND(L155=3,M155=3),"Champions",IF(AND(L155=1,M155&gt;=2),"At risk",IF(AND(L155=3,M155=1),"New",IF(AND(L155=1,M155=1),"Hibernating",IF(AND(L155=2,M155=1),"Promising","Loyal")))))</x:f>
        <x:v>Loyal</x:v>
      </x:c>
    </x:row>
    <x:row r="156">
      <x:c r="A156" s="1" t="str">
        <x:v>C0155</x:v>
      </x:c>
      <x:c r="B156" s="1" t="str">
        <x:v>Aisha</x:v>
      </x:c>
      <x:c r="C156" s="1" t="str">
        <x:v>customer0155@example.com</x:v>
      </x:c>
      <x:c r="D156" s="1" t="str">
        <x:v>UAE</x:v>
      </x:c>
      <x:c r="E156" s="5" t="d">
        <x:v>2026-08-20T00:00:00.000Z</x:v>
      </x:c>
      <x:c r="F156" s="5" t="d">
        <x:v>2026-09-07T00:00:00.000Z</x:v>
      </x:c>
      <x:c r="G156" s="1" t="n">
        <x:v>1</x:v>
      </x:c>
      <x:c r="H156" s="6" t="n">
        <x:v>55.46</x:v>
      </x:c>
      <x:c r="I156" s="1" t="n">
        <x:v>6</x:v>
      </x:c>
      <x:c r="J156" s="1" t="str">
        <x:v>store</x:v>
      </x:c>
      <x:c r="K156" s="7" t="n">
        <x:f>DATE(2026,10,1)-F156</x:f>
        <x:v>24</x:v>
      </x:c>
      <x:c r="L156" s="7" t="n">
        <x:f>IF(K156&lt;=30,3,IF(K156&lt;=90,2,1))</x:f>
        <x:v>3</x:v>
      </x:c>
      <x:c r="M156" s="7" t="n">
        <x:f>IF(G156&gt;=8,3,IF(G156&gt;=3,2,1))</x:f>
        <x:v>1</x:v>
      </x:c>
      <x:c r="N156" s="7" t="n">
        <x:f>IF(H156&gt;=600,3,IF(H156&gt;=200,2,1))</x:f>
        <x:v>1</x:v>
      </x:c>
      <x:c r="O156" s="1" t="str">
        <x:f>IF(AND(L156=3,M156=3),"Champions",IF(AND(L156=1,M156&gt;=2),"At risk",IF(AND(L156=3,M156=1),"New",IF(AND(L156=1,M156=1),"Hibernating",IF(AND(L156=2,M156=1),"Promising","Loyal")))))</x:f>
        <x:v>New</x:v>
      </x:c>
    </x:row>
    <x:row r="157">
      <x:c r="A157" s="1" t="str">
        <x:v>C0156</x:v>
      </x:c>
      <x:c r="B157" s="1" t="str">
        <x:v>Felix</x:v>
      </x:c>
      <x:c r="C157" s="1" t="str">
        <x:v>customer0156@example.com</x:v>
      </x:c>
      <x:c r="D157" s="1" t="str">
        <x:v>India</x:v>
      </x:c>
      <x:c r="E157" s="5" t="d">
        <x:v>2024-12-27T00:00:00.000Z</x:v>
      </x:c>
      <x:c r="F157" s="5" t="d">
        <x:v>2026-09-15T00:00:00.000Z</x:v>
      </x:c>
      <x:c r="G157" s="1" t="n">
        <x:v>4</x:v>
      </x:c>
      <x:c r="H157" s="6" t="n">
        <x:v>541.88</x:v>
      </x:c>
      <x:c r="I157" s="1" t="n">
        <x:v>0</x:v>
      </x:c>
      <x:c r="J157" s="1" t="str">
        <x:v>app</x:v>
      </x:c>
      <x:c r="K157" s="7" t="n">
        <x:f>DATE(2026,10,1)-F157</x:f>
        <x:v>16</x:v>
      </x:c>
      <x:c r="L157" s="7" t="n">
        <x:f>IF(K157&lt;=30,3,IF(K157&lt;=90,2,1))</x:f>
        <x:v>3</x:v>
      </x:c>
      <x:c r="M157" s="7" t="n">
        <x:f>IF(G157&gt;=8,3,IF(G157&gt;=3,2,1))</x:f>
        <x:v>2</x:v>
      </x:c>
      <x:c r="N157" s="7" t="n">
        <x:f>IF(H157&gt;=600,3,IF(H157&gt;=200,2,1))</x:f>
        <x:v>2</x:v>
      </x:c>
      <x:c r="O157" s="1" t="str">
        <x:f>IF(AND(L157=3,M157=3),"Champions",IF(AND(L157=1,M157&gt;=2),"At risk",IF(AND(L157=3,M157=1),"New",IF(AND(L157=1,M157=1),"Hibernating",IF(AND(L157=2,M157=1),"Promising","Loyal")))))</x:f>
        <x:v>Loyal</x:v>
      </x:c>
    </x:row>
    <x:row r="158">
      <x:c r="A158" s="1" t="str">
        <x:v>C0157</x:v>
      </x:c>
      <x:c r="B158" s="1" t="str">
        <x:v>Lina</x:v>
      </x:c>
      <x:c r="C158" s="1" t="str">
        <x:v>customer0157@example.com</x:v>
      </x:c>
      <x:c r="D158" s="1" t="str">
        <x:v>USA</x:v>
      </x:c>
      <x:c r="E158" s="5" t="d">
        <x:v>2025-09-19T00:00:00.000Z</x:v>
      </x:c>
      <x:c r="F158" s="5" t="d">
        <x:v>2026-09-19T00:00:00.000Z</x:v>
      </x:c>
      <x:c r="G158" s="1" t="n">
        <x:v>12</x:v>
      </x:c>
      <x:c r="H158" s="6" t="n">
        <x:v>770.18</x:v>
      </x:c>
      <x:c r="I158" s="1" t="n">
        <x:v>6</x:v>
      </x:c>
      <x:c r="J158" s="1" t="str">
        <x:v>store</x:v>
      </x:c>
      <x:c r="K158" s="7" t="n">
        <x:f>DATE(2026,10,1)-F158</x:f>
        <x:v>12</x:v>
      </x:c>
      <x:c r="L158" s="7" t="n">
        <x:f>IF(K158&lt;=30,3,IF(K158&lt;=90,2,1))</x:f>
        <x:v>3</x:v>
      </x:c>
      <x:c r="M158" s="7" t="n">
        <x:f>IF(G158&gt;=8,3,IF(G158&gt;=3,2,1))</x:f>
        <x:v>3</x:v>
      </x:c>
      <x:c r="N158" s="7" t="n">
        <x:f>IF(H158&gt;=600,3,IF(H158&gt;=200,2,1))</x:f>
        <x:v>3</x:v>
      </x:c>
      <x:c r="O158" s="1" t="str">
        <x:f>IF(AND(L158=3,M158=3),"Champions",IF(AND(L158=1,M158&gt;=2),"At risk",IF(AND(L158=3,M158=1),"New",IF(AND(L158=1,M158=1),"Hibernating",IF(AND(L158=2,M158=1),"Promising","Loyal")))))</x:f>
        <x:v>Champions</x:v>
      </x:c>
    </x:row>
    <x:row r="159">
      <x:c r="A159" s="1" t="str">
        <x:v>C0158</x:v>
      </x:c>
      <x:c r="B159" s="1" t="str">
        <x:v>Amara</x:v>
      </x:c>
      <x:c r="C159" s="1" t="str">
        <x:v>customer0158@example.com</x:v>
      </x:c>
      <x:c r="D159" s="1" t="str">
        <x:v>UK</x:v>
      </x:c>
      <x:c r="E159" s="5" t="d">
        <x:v>2025-05-06T00:00:00.000Z</x:v>
      </x:c>
      <x:c r="F159" s="5" t="d">
        <x:v>2026-09-04T00:00:00.000Z</x:v>
      </x:c>
      <x:c r="G159" s="1" t="n">
        <x:v>4</x:v>
      </x:c>
      <x:c r="H159" s="6" t="n">
        <x:v>456.36</x:v>
      </x:c>
      <x:c r="I159" s="1" t="n">
        <x:v>0</x:v>
      </x:c>
      <x:c r="J159" s="1" t="str">
        <x:v>app</x:v>
      </x:c>
      <x:c r="K159" s="7" t="n">
        <x:f>DATE(2026,10,1)-F159</x:f>
        <x:v>27</x:v>
      </x:c>
      <x:c r="L159" s="7" t="n">
        <x:f>IF(K159&lt;=30,3,IF(K159&lt;=90,2,1))</x:f>
        <x:v>3</x:v>
      </x:c>
      <x:c r="M159" s="7" t="n">
        <x:f>IF(G159&gt;=8,3,IF(G159&gt;=3,2,1))</x:f>
        <x:v>2</x:v>
      </x:c>
      <x:c r="N159" s="7" t="n">
        <x:f>IF(H159&gt;=600,3,IF(H159&gt;=200,2,1))</x:f>
        <x:v>2</x:v>
      </x:c>
      <x:c r="O159" s="1" t="str">
        <x:f>IF(AND(L159=3,M159=3),"Champions",IF(AND(L159=1,M159&gt;=2),"At risk",IF(AND(L159=3,M159=1),"New",IF(AND(L159=1,M159=1),"Hibernating",IF(AND(L159=2,M159=1),"Promising","Loyal")))))</x:f>
        <x:v>Loyal</x:v>
      </x:c>
    </x:row>
    <x:row r="160">
      <x:c r="A160" s="1" t="str">
        <x:v>C0159</x:v>
      </x:c>
      <x:c r="B160" s="1" t="str">
        <x:v>Mei</x:v>
      </x:c>
      <x:c r="C160" s="1" t="str">
        <x:v>customer0159@example.com</x:v>
      </x:c>
      <x:c r="D160" s="1" t="str">
        <x:v>Germany</x:v>
      </x:c>
      <x:c r="E160" s="5" t="d">
        <x:v>2026-09-07T00:00:00.000Z</x:v>
      </x:c>
      <x:c r="F160" s="5" t="d">
        <x:v>2026-09-16T00:00:00.000Z</x:v>
      </x:c>
      <x:c r="G160" s="1" t="n">
        <x:v>1</x:v>
      </x:c>
      <x:c r="H160" s="6" t="n">
        <x:v>30.19</x:v>
      </x:c>
      <x:c r="I160" s="1" t="n">
        <x:v>6</x:v>
      </x:c>
      <x:c r="J160" s="1" t="str">
        <x:v>web</x:v>
      </x:c>
      <x:c r="K160" s="7" t="n">
        <x:f>DATE(2026,10,1)-F160</x:f>
        <x:v>15</x:v>
      </x:c>
      <x:c r="L160" s="7" t="n">
        <x:f>IF(K160&lt;=30,3,IF(K160&lt;=90,2,1))</x:f>
        <x:v>3</x:v>
      </x:c>
      <x:c r="M160" s="7" t="n">
        <x:f>IF(G160&gt;=8,3,IF(G160&gt;=3,2,1))</x:f>
        <x:v>1</x:v>
      </x:c>
      <x:c r="N160" s="7" t="n">
        <x:f>IF(H160&gt;=600,3,IF(H160&gt;=200,2,1))</x:f>
        <x:v>1</x:v>
      </x:c>
      <x:c r="O160" s="1" t="str">
        <x:f>IF(AND(L160=3,M160=3),"Champions",IF(AND(L160=1,M160&gt;=2),"At risk",IF(AND(L160=3,M160=1),"New",IF(AND(L160=1,M160=1),"Hibernating",IF(AND(L160=2,M160=1),"Promising","Loyal")))))</x:f>
        <x:v>New</x:v>
      </x:c>
    </x:row>
    <x:row r="161">
      <x:c r="A161" s="1" t="str">
        <x:v>C0160</x:v>
      </x:c>
      <x:c r="B161" s="1" t="str">
        <x:v>Noah</x:v>
      </x:c>
      <x:c r="C161" s="1" t="str">
        <x:v>customer0160@example.com</x:v>
      </x:c>
      <x:c r="D161" s="1" t="str">
        <x:v>Nigeria</x:v>
      </x:c>
      <x:c r="E161" s="5" t="d">
        <x:v>2024-10-11T00:00:00.000Z</x:v>
      </x:c>
      <x:c r="F161" s="5" t="d">
        <x:v>2026-05-26T00:00:00.000Z</x:v>
      </x:c>
      <x:c r="G161" s="1" t="n">
        <x:v>2</x:v>
      </x:c>
      <x:c r="H161" s="6" t="n">
        <x:v>119.08</x:v>
      </x:c>
      <x:c r="I161" s="1" t="n">
        <x:v>8</x:v>
      </x:c>
      <x:c r="J161" s="1" t="str">
        <x:v>store</x:v>
      </x:c>
      <x:c r="K161" s="7" t="n">
        <x:f>DATE(2026,10,1)-F161</x:f>
        <x:v>128</x:v>
      </x:c>
      <x:c r="L161" s="7" t="n">
        <x:f>IF(K161&lt;=30,3,IF(K161&lt;=90,2,1))</x:f>
        <x:v>1</x:v>
      </x:c>
      <x:c r="M161" s="7" t="n">
        <x:f>IF(G161&gt;=8,3,IF(G161&gt;=3,2,1))</x:f>
        <x:v>1</x:v>
      </x:c>
      <x:c r="N161" s="7" t="n">
        <x:f>IF(H161&gt;=600,3,IF(H161&gt;=200,2,1))</x:f>
        <x:v>1</x:v>
      </x:c>
      <x:c r="O161" s="1" t="str">
        <x:f>IF(AND(L161=3,M161=3),"Champions",IF(AND(L161=1,M161&gt;=2),"At risk",IF(AND(L161=3,M161=1),"New",IF(AND(L161=1,M161=1),"Hibernating",IF(AND(L161=2,M161=1),"Promising","Loyal")))))</x:f>
        <x:v>Hibernating</x:v>
      </x:c>
    </x:row>
    <x:row r="162">
      <x:c r="A162" s="1" t="str">
        <x:v>C0161</x:v>
      </x:c>
      <x:c r="B162" s="1" t="str">
        <x:v>Aarav</x:v>
      </x:c>
      <x:c r="C162" s="1" t="str">
        <x:v>customer0161@example.com</x:v>
      </x:c>
      <x:c r="D162" s="1" t="str">
        <x:v>UAE</x:v>
      </x:c>
      <x:c r="E162" s="5" t="d">
        <x:v>2024-11-19T00:00:00.000Z</x:v>
      </x:c>
      <x:c r="F162" s="5" t="d">
        <x:v>2026-05-17T00:00:00.000Z</x:v>
      </x:c>
      <x:c r="G162" s="1" t="n">
        <x:v>3</x:v>
      </x:c>
      <x:c r="H162" s="6" t="n">
        <x:v>300.6</x:v>
      </x:c>
      <x:c r="I162" s="1" t="n">
        <x:v>2</x:v>
      </x:c>
      <x:c r="J162" s="1" t="str">
        <x:v>app</x:v>
      </x:c>
      <x:c r="K162" s="7" t="n">
        <x:f>DATE(2026,10,1)-F162</x:f>
        <x:v>137</x:v>
      </x:c>
      <x:c r="L162" s="7" t="n">
        <x:f>IF(K162&lt;=30,3,IF(K162&lt;=90,2,1))</x:f>
        <x:v>1</x:v>
      </x:c>
      <x:c r="M162" s="7" t="n">
        <x:f>IF(G162&gt;=8,3,IF(G162&gt;=3,2,1))</x:f>
        <x:v>2</x:v>
      </x:c>
      <x:c r="N162" s="7" t="n">
        <x:f>IF(H162&gt;=600,3,IF(H162&gt;=200,2,1))</x:f>
        <x:v>2</x:v>
      </x:c>
      <x:c r="O162" s="1" t="str">
        <x:f>IF(AND(L162=3,M162=3),"Champions",IF(AND(L162=1,M162&gt;=2),"At risk",IF(AND(L162=3,M162=1),"New",IF(AND(L162=1,M162=1),"Hibernating",IF(AND(L162=2,M162=1),"Promising","Loyal")))))</x:f>
        <x:v>At risk</x:v>
      </x:c>
    </x:row>
    <x:row r="163">
      <x:c r="A163" s="1" t="str">
        <x:v>C0162</x:v>
      </x:c>
      <x:c r="B163" s="1" t="str">
        <x:v>Lucas</x:v>
      </x:c>
      <x:c r="C163" s="1" t="str">
        <x:v>customer0162@example.com</x:v>
      </x:c>
      <x:c r="D163" s="1" t="str">
        <x:v>UK</x:v>
      </x:c>
      <x:c r="E163" s="5" t="d">
        <x:v>2024-11-05T00:00:00.000Z</x:v>
      </x:c>
      <x:c r="F163" s="5" t="d">
        <x:v>2026-09-08T00:00:00.000Z</x:v>
      </x:c>
      <x:c r="G163" s="1" t="n">
        <x:v>3</x:v>
      </x:c>
      <x:c r="H163" s="6" t="n">
        <x:v>628.85</x:v>
      </x:c>
      <x:c r="I163" s="1" t="n">
        <x:v>6</x:v>
      </x:c>
      <x:c r="J163" s="1" t="str">
        <x:v>app</x:v>
      </x:c>
      <x:c r="K163" s="7" t="n">
        <x:f>DATE(2026,10,1)-F163</x:f>
        <x:v>23</x:v>
      </x:c>
      <x:c r="L163" s="7" t="n">
        <x:f>IF(K163&lt;=30,3,IF(K163&lt;=90,2,1))</x:f>
        <x:v>3</x:v>
      </x:c>
      <x:c r="M163" s="7" t="n">
        <x:f>IF(G163&gt;=8,3,IF(G163&gt;=3,2,1))</x:f>
        <x:v>2</x:v>
      </x:c>
      <x:c r="N163" s="7" t="n">
        <x:f>IF(H163&gt;=600,3,IF(H163&gt;=200,2,1))</x:f>
        <x:v>3</x:v>
      </x:c>
      <x:c r="O163" s="1" t="str">
        <x:f>IF(AND(L163=3,M163=3),"Champions",IF(AND(L163=1,M163&gt;=2),"At risk",IF(AND(L163=3,M163=1),"New",IF(AND(L163=1,M163=1),"Hibernating",IF(AND(L163=2,M163=1),"Promising","Loyal")))))</x:f>
        <x:v>Loyal</x:v>
      </x:c>
    </x:row>
    <x:row r="164">
      <x:c r="A164" s="1" t="str">
        <x:v>C0163</x:v>
      </x:c>
      <x:c r="B164" s="1" t="str">
        <x:v>Ethan</x:v>
      </x:c>
      <x:c r="C164" s="1" t="str">
        <x:v>customer0163@example.com</x:v>
      </x:c>
      <x:c r="D164" s="1" t="str">
        <x:v>Germany</x:v>
      </x:c>
      <x:c r="E164" s="5" t="d">
        <x:v>2025-08-25T00:00:00.000Z</x:v>
      </x:c>
      <x:c r="F164" s="5" t="d">
        <x:v>2026-02-19T00:00:00.000Z</x:v>
      </x:c>
      <x:c r="G164" s="1" t="n">
        <x:v>9</x:v>
      </x:c>
      <x:c r="H164" s="6" t="n">
        <x:v>1185.39</x:v>
      </x:c>
      <x:c r="I164" s="1" t="n">
        <x:v>1</x:v>
      </x:c>
      <x:c r="J164" s="1" t="str">
        <x:v>web</x:v>
      </x:c>
      <x:c r="K164" s="7" t="n">
        <x:f>DATE(2026,10,1)-F164</x:f>
        <x:v>224</x:v>
      </x:c>
      <x:c r="L164" s="7" t="n">
        <x:f>IF(K164&lt;=30,3,IF(K164&lt;=90,2,1))</x:f>
        <x:v>1</x:v>
      </x:c>
      <x:c r="M164" s="7" t="n">
        <x:f>IF(G164&gt;=8,3,IF(G164&gt;=3,2,1))</x:f>
        <x:v>3</x:v>
      </x:c>
      <x:c r="N164" s="7" t="n">
        <x:f>IF(H164&gt;=600,3,IF(H164&gt;=200,2,1))</x:f>
        <x:v>3</x:v>
      </x:c>
      <x:c r="O164" s="1" t="str">
        <x:f>IF(AND(L164=3,M164=3),"Champions",IF(AND(L164=1,M164&gt;=2),"At risk",IF(AND(L164=3,M164=1),"New",IF(AND(L164=1,M164=1),"Hibernating",IF(AND(L164=2,M164=1),"Promising","Loyal")))))</x:f>
        <x:v>At risk</x:v>
      </x:c>
    </x:row>
    <x:row r="165">
      <x:c r="A165" s="1" t="str">
        <x:v>C0164</x:v>
      </x:c>
      <x:c r="B165" s="1" t="str">
        <x:v>Mateo</x:v>
      </x:c>
      <x:c r="C165" s="1" t="str">
        <x:v>customer0164@example.com</x:v>
      </x:c>
      <x:c r="D165" s="1" t="str">
        <x:v>UAE</x:v>
      </x:c>
      <x:c r="E165" s="5" t="d">
        <x:v>2026-09-02T00:00:00.000Z</x:v>
      </x:c>
      <x:c r="F165" s="5" t="d">
        <x:v>2026-09-02T00:00:00.000Z</x:v>
      </x:c>
      <x:c r="G165" s="1" t="n">
        <x:v>2</x:v>
      </x:c>
      <x:c r="H165" s="6" t="n">
        <x:v>134.46</x:v>
      </x:c>
      <x:c r="I165" s="1" t="n">
        <x:v>11</x:v>
      </x:c>
      <x:c r="J165" s="1" t="str">
        <x:v>web</x:v>
      </x:c>
      <x:c r="K165" s="7" t="n">
        <x:f>DATE(2026,10,1)-F165</x:f>
        <x:v>29</x:v>
      </x:c>
      <x:c r="L165" s="7" t="n">
        <x:f>IF(K165&lt;=30,3,IF(K165&lt;=90,2,1))</x:f>
        <x:v>3</x:v>
      </x:c>
      <x:c r="M165" s="7" t="n">
        <x:f>IF(G165&gt;=8,3,IF(G165&gt;=3,2,1))</x:f>
        <x:v>1</x:v>
      </x:c>
      <x:c r="N165" s="7" t="n">
        <x:f>IF(H165&gt;=600,3,IF(H165&gt;=200,2,1))</x:f>
        <x:v>1</x:v>
      </x:c>
      <x:c r="O165" s="1" t="str">
        <x:f>IF(AND(L165=3,M165=3),"Champions",IF(AND(L165=1,M165&gt;=2),"At risk",IF(AND(L165=3,M165=1),"New",IF(AND(L165=1,M165=1),"Hibernating",IF(AND(L165=2,M165=1),"Promising","Loyal")))))</x:f>
        <x:v>New</x:v>
      </x:c>
    </x:row>
    <x:row r="166">
      <x:c r="A166" s="1" t="str">
        <x:v>C0165</x:v>
      </x:c>
      <x:c r="B166" s="1" t="str">
        <x:v>Omar</x:v>
      </x:c>
      <x:c r="C166" s="1" t="str">
        <x:v>customer0165@example.com</x:v>
      </x:c>
      <x:c r="D166" s="1" t="str">
        <x:v>USA</x:v>
      </x:c>
      <x:c r="E166" s="5" t="d">
        <x:v>2026-05-26T00:00:00.000Z</x:v>
      </x:c>
      <x:c r="F166" s="5" t="d">
        <x:v>2026-09-10T00:00:00.000Z</x:v>
      </x:c>
      <x:c r="G166" s="1" t="n">
        <x:v>15</x:v>
      </x:c>
      <x:c r="H166" s="6" t="n">
        <x:v>880.63</x:v>
      </x:c>
      <x:c r="I166" s="1" t="n">
        <x:v>10</x:v>
      </x:c>
      <x:c r="J166" s="1" t="str">
        <x:v>app</x:v>
      </x:c>
      <x:c r="K166" s="7" t="n">
        <x:f>DATE(2026,10,1)-F166</x:f>
        <x:v>21</x:v>
      </x:c>
      <x:c r="L166" s="7" t="n">
        <x:f>IF(K166&lt;=30,3,IF(K166&lt;=90,2,1))</x:f>
        <x:v>3</x:v>
      </x:c>
      <x:c r="M166" s="7" t="n">
        <x:f>IF(G166&gt;=8,3,IF(G166&gt;=3,2,1))</x:f>
        <x:v>3</x:v>
      </x:c>
      <x:c r="N166" s="7" t="n">
        <x:f>IF(H166&gt;=600,3,IF(H166&gt;=200,2,1))</x:f>
        <x:v>3</x:v>
      </x:c>
      <x:c r="O166" s="1" t="str">
        <x:f>IF(AND(L166=3,M166=3),"Champions",IF(AND(L166=1,M166&gt;=2),"At risk",IF(AND(L166=3,M166=1),"New",IF(AND(L166=1,M166=1),"Hibernating",IF(AND(L166=2,M166=1),"Promising","Loyal")))))</x:f>
        <x:v>Champions</x:v>
      </x:c>
    </x:row>
    <x:row r="167">
      <x:c r="A167" s="1" t="str">
        <x:v>C0166</x:v>
      </x:c>
      <x:c r="B167" s="1" t="str">
        <x:v>Lina</x:v>
      </x:c>
      <x:c r="C167" s="1" t="str">
        <x:v>customer0166@example.com</x:v>
      </x:c>
      <x:c r="D167" s="1" t="str">
        <x:v>UAE</x:v>
      </x:c>
      <x:c r="E167" s="5" t="d">
        <x:v>2024-11-06T00:00:00.000Z</x:v>
      </x:c>
      <x:c r="F167" s="5" t="d">
        <x:v>2026-08-19T00:00:00.000Z</x:v>
      </x:c>
      <x:c r="G167" s="1" t="n">
        <x:v>8</x:v>
      </x:c>
      <x:c r="H167" s="6" t="n">
        <x:v>236.77</x:v>
      </x:c>
      <x:c r="I167" s="1" t="n">
        <x:v>10</x:v>
      </x:c>
      <x:c r="J167" s="1" t="str">
        <x:v>store</x:v>
      </x:c>
      <x:c r="K167" s="7" t="n">
        <x:f>DATE(2026,10,1)-F167</x:f>
        <x:v>43</x:v>
      </x:c>
      <x:c r="L167" s="7" t="n">
        <x:f>IF(K167&lt;=30,3,IF(K167&lt;=90,2,1))</x:f>
        <x:v>2</x:v>
      </x:c>
      <x:c r="M167" s="7" t="n">
        <x:f>IF(G167&gt;=8,3,IF(G167&gt;=3,2,1))</x:f>
        <x:v>3</x:v>
      </x:c>
      <x:c r="N167" s="7" t="n">
        <x:f>IF(H167&gt;=600,3,IF(H167&gt;=200,2,1))</x:f>
        <x:v>2</x:v>
      </x:c>
      <x:c r="O167" s="1" t="str">
        <x:f>IF(AND(L167=3,M167=3),"Champions",IF(AND(L167=1,M167&gt;=2),"At risk",IF(AND(L167=3,M167=1),"New",IF(AND(L167=1,M167=1),"Hibernating",IF(AND(L167=2,M167=1),"Promising","Loyal")))))</x:f>
        <x:v>Loyal</x:v>
      </x:c>
    </x:row>
    <x:row r="168">
      <x:c r="A168" s="1" t="str">
        <x:v>C0167</x:v>
      </x:c>
      <x:c r="B168" s="1" t="str">
        <x:v>Aarav</x:v>
      </x:c>
      <x:c r="C168" s="1" t="str">
        <x:v>customer0167@example.com</x:v>
      </x:c>
      <x:c r="D168" s="1" t="str">
        <x:v>UK</x:v>
      </x:c>
      <x:c r="E168" s="5" t="d">
        <x:v>2024-08-22T00:00:00.000Z</x:v>
      </x:c>
      <x:c r="F168" s="5" t="d">
        <x:v>2026-01-23T00:00:00.000Z</x:v>
      </x:c>
      <x:c r="G168" s="1" t="n">
        <x:v>1</x:v>
      </x:c>
      <x:c r="H168" s="6" t="n">
        <x:v>29.95</x:v>
      </x:c>
      <x:c r="I168" s="1" t="n">
        <x:v>4</x:v>
      </x:c>
      <x:c r="J168" s="1" t="str">
        <x:v>app</x:v>
      </x:c>
      <x:c r="K168" s="7" t="n">
        <x:f>DATE(2026,10,1)-F168</x:f>
        <x:v>251</x:v>
      </x:c>
      <x:c r="L168" s="7" t="n">
        <x:f>IF(K168&lt;=30,3,IF(K168&lt;=90,2,1))</x:f>
        <x:v>1</x:v>
      </x:c>
      <x:c r="M168" s="7" t="n">
        <x:f>IF(G168&gt;=8,3,IF(G168&gt;=3,2,1))</x:f>
        <x:v>1</x:v>
      </x:c>
      <x:c r="N168" s="7" t="n">
        <x:f>IF(H168&gt;=600,3,IF(H168&gt;=200,2,1))</x:f>
        <x:v>1</x:v>
      </x:c>
      <x:c r="O168" s="1" t="str">
        <x:f>IF(AND(L168=3,M168=3),"Champions",IF(AND(L168=1,M168&gt;=2),"At risk",IF(AND(L168=3,M168=1),"New",IF(AND(L168=1,M168=1),"Hibernating",IF(AND(L168=2,M168=1),"Promising","Loyal")))))</x:f>
        <x:v>Hibernating</x:v>
      </x:c>
    </x:row>
    <x:row r="169">
      <x:c r="A169" s="1" t="str">
        <x:v>C0168</x:v>
      </x:c>
      <x:c r="B169" s="1" t="str">
        <x:v>Lucas</x:v>
      </x:c>
      <x:c r="C169" s="1" t="str">
        <x:v>customer0168@example.com</x:v>
      </x:c>
      <x:c r="D169" s="1" t="str">
        <x:v>UAE</x:v>
      </x:c>
      <x:c r="E169" s="5" t="d">
        <x:v>2025-04-12T00:00:00.000Z</x:v>
      </x:c>
      <x:c r="F169" s="5" t="d">
        <x:v>2026-03-12T00:00:00.000Z</x:v>
      </x:c>
      <x:c r="G169" s="1" t="n">
        <x:v>1</x:v>
      </x:c>
      <x:c r="H169" s="6" t="n">
        <x:v>145.58</x:v>
      </x:c>
      <x:c r="I169" s="1" t="n">
        <x:v>5</x:v>
      </x:c>
      <x:c r="J169" s="1" t="str">
        <x:v>store</x:v>
      </x:c>
      <x:c r="K169" s="7" t="n">
        <x:f>DATE(2026,10,1)-F169</x:f>
        <x:v>203</x:v>
      </x:c>
      <x:c r="L169" s="7" t="n">
        <x:f>IF(K169&lt;=30,3,IF(K169&lt;=90,2,1))</x:f>
        <x:v>1</x:v>
      </x:c>
      <x:c r="M169" s="7" t="n">
        <x:f>IF(G169&gt;=8,3,IF(G169&gt;=3,2,1))</x:f>
        <x:v>1</x:v>
      </x:c>
      <x:c r="N169" s="7" t="n">
        <x:f>IF(H169&gt;=600,3,IF(H169&gt;=200,2,1))</x:f>
        <x:v>1</x:v>
      </x:c>
      <x:c r="O169" s="1" t="str">
        <x:f>IF(AND(L169=3,M169=3),"Champions",IF(AND(L169=1,M169&gt;=2),"At risk",IF(AND(L169=3,M169=1),"New",IF(AND(L169=1,M169=1),"Hibernating",IF(AND(L169=2,M169=1),"Promising","Loyal")))))</x:f>
        <x:v>Hibernating</x:v>
      </x:c>
    </x:row>
    <x:row r="170">
      <x:c r="A170" s="1" t="str">
        <x:v>C0169</x:v>
      </x:c>
      <x:c r="B170" s="1" t="str">
        <x:v>Arjun</x:v>
      </x:c>
      <x:c r="C170" s="1" t="str">
        <x:v>customer0169@example.com</x:v>
      </x:c>
      <x:c r="D170" s="1" t="str">
        <x:v>India</x:v>
      </x:c>
      <x:c r="E170" s="5" t="d">
        <x:v>2025-01-18T00:00:00.000Z</x:v>
      </x:c>
      <x:c r="F170" s="5" t="d">
        <x:v>2026-07-15T00:00:00.000Z</x:v>
      </x:c>
      <x:c r="G170" s="1" t="n">
        <x:v>6</x:v>
      </x:c>
      <x:c r="H170" s="6" t="n">
        <x:v>530.5</x:v>
      </x:c>
      <x:c r="I170" s="1" t="n">
        <x:v>0</x:v>
      </x:c>
      <x:c r="J170" s="1" t="str">
        <x:v>web</x:v>
      </x:c>
      <x:c r="K170" s="7" t="n">
        <x:f>DATE(2026,10,1)-F170</x:f>
        <x:v>78</x:v>
      </x:c>
      <x:c r="L170" s="7" t="n">
        <x:f>IF(K170&lt;=30,3,IF(K170&lt;=90,2,1))</x:f>
        <x:v>2</x:v>
      </x:c>
      <x:c r="M170" s="7" t="n">
        <x:f>IF(G170&gt;=8,3,IF(G170&gt;=3,2,1))</x:f>
        <x:v>2</x:v>
      </x:c>
      <x:c r="N170" s="7" t="n">
        <x:f>IF(H170&gt;=600,3,IF(H170&gt;=200,2,1))</x:f>
        <x:v>2</x:v>
      </x:c>
      <x:c r="O170" s="1" t="str">
        <x:f>IF(AND(L170=3,M170=3),"Champions",IF(AND(L170=1,M170&gt;=2),"At risk",IF(AND(L170=3,M170=1),"New",IF(AND(L170=1,M170=1),"Hibernating",IF(AND(L170=2,M170=1),"Promising","Loyal")))))</x:f>
        <x:v>Loyal</x:v>
      </x:c>
    </x:row>
    <x:row r="171">
      <x:c r="A171" s="1" t="str">
        <x:v>C0170</x:v>
      </x:c>
      <x:c r="B171" s="1" t="str">
        <x:v>Aisha</x:v>
      </x:c>
      <x:c r="C171" s="1" t="str">
        <x:v>customer0170@example.com</x:v>
      </x:c>
      <x:c r="D171" s="1" t="str">
        <x:v>Nigeria</x:v>
      </x:c>
      <x:c r="E171" s="5" t="d">
        <x:v>2025-01-20T00:00:00.000Z</x:v>
      </x:c>
      <x:c r="F171" s="5" t="d">
        <x:v>2026-02-24T00:00:00.000Z</x:v>
      </x:c>
      <x:c r="G171" s="1" t="n">
        <x:v>2</x:v>
      </x:c>
      <x:c r="H171" s="6" t="n">
        <x:v>153.11</x:v>
      </x:c>
      <x:c r="I171" s="1" t="n">
        <x:v>1</x:v>
      </x:c>
      <x:c r="J171" s="1" t="str">
        <x:v>store</x:v>
      </x:c>
      <x:c r="K171" s="7" t="n">
        <x:f>DATE(2026,10,1)-F171</x:f>
        <x:v>219</x:v>
      </x:c>
      <x:c r="L171" s="7" t="n">
        <x:f>IF(K171&lt;=30,3,IF(K171&lt;=90,2,1))</x:f>
        <x:v>1</x:v>
      </x:c>
      <x:c r="M171" s="7" t="n">
        <x:f>IF(G171&gt;=8,3,IF(G171&gt;=3,2,1))</x:f>
        <x:v>1</x:v>
      </x:c>
      <x:c r="N171" s="7" t="n">
        <x:f>IF(H171&gt;=600,3,IF(H171&gt;=200,2,1))</x:f>
        <x:v>1</x:v>
      </x:c>
      <x:c r="O171" s="1" t="str">
        <x:f>IF(AND(L171=3,M171=3),"Champions",IF(AND(L171=1,M171&gt;=2),"At risk",IF(AND(L171=3,M171=1),"New",IF(AND(L171=1,M171=1),"Hibernating",IF(AND(L171=2,M171=1),"Promising","Loyal")))))</x:f>
        <x:v>Hibernating</x:v>
      </x:c>
    </x:row>
    <x:row r="172">
      <x:c r="A172" s="1" t="str">
        <x:v>C0171</x:v>
      </x:c>
      <x:c r="B172" s="1" t="str">
        <x:v>Aisha</x:v>
      </x:c>
      <x:c r="C172" s="1" t="str">
        <x:v>customer0171@example.com</x:v>
      </x:c>
      <x:c r="D172" s="1" t="str">
        <x:v>UK</x:v>
      </x:c>
      <x:c r="E172" s="5" t="d">
        <x:v>2025-12-22T00:00:00.000Z</x:v>
      </x:c>
      <x:c r="F172" s="5" t="d">
        <x:v>2026-04-10T00:00:00.000Z</x:v>
      </x:c>
      <x:c r="G172" s="1" t="n">
        <x:v>1</x:v>
      </x:c>
      <x:c r="H172" s="6" t="n">
        <x:v>19.71</x:v>
      </x:c>
      <x:c r="I172" s="1" t="n">
        <x:v>5</x:v>
      </x:c>
      <x:c r="J172" s="1" t="str">
        <x:v>app</x:v>
      </x:c>
      <x:c r="K172" s="7" t="n">
        <x:f>DATE(2026,10,1)-F172</x:f>
        <x:v>174</x:v>
      </x:c>
      <x:c r="L172" s="7" t="n">
        <x:f>IF(K172&lt;=30,3,IF(K172&lt;=90,2,1))</x:f>
        <x:v>1</x:v>
      </x:c>
      <x:c r="M172" s="7" t="n">
        <x:f>IF(G172&gt;=8,3,IF(G172&gt;=3,2,1))</x:f>
        <x:v>1</x:v>
      </x:c>
      <x:c r="N172" s="7" t="n">
        <x:f>IF(H172&gt;=600,3,IF(H172&gt;=200,2,1))</x:f>
        <x:v>1</x:v>
      </x:c>
      <x:c r="O172" s="1" t="str">
        <x:f>IF(AND(L172=3,M172=3),"Champions",IF(AND(L172=1,M172&gt;=2),"At risk",IF(AND(L172=3,M172=1),"New",IF(AND(L172=1,M172=1),"Hibernating",IF(AND(L172=2,M172=1),"Promising","Loyal")))))</x:f>
        <x:v>Hibernating</x:v>
      </x:c>
    </x:row>
    <x:row r="173">
      <x:c r="A173" s="1" t="str">
        <x:v>C0172</x:v>
      </x:c>
      <x:c r="B173" s="1" t="str">
        <x:v>Maya</x:v>
      </x:c>
      <x:c r="C173" s="1" t="str">
        <x:v>customer0172@example.com</x:v>
      </x:c>
      <x:c r="D173" s="1" t="str">
        <x:v>Singapore</x:v>
      </x:c>
      <x:c r="E173" s="5" t="d">
        <x:v>2026-08-21T00:00:00.000Z</x:v>
      </x:c>
      <x:c r="F173" s="5" t="d">
        <x:v>2026-09-30T00:00:00.000Z</x:v>
      </x:c>
      <x:c r="G173" s="1" t="n">
        <x:v>1</x:v>
      </x:c>
      <x:c r="H173" s="6" t="n">
        <x:v>42.14</x:v>
      </x:c>
      <x:c r="I173" s="1" t="n">
        <x:v>11</x:v>
      </x:c>
      <x:c r="J173" s="1" t="str">
        <x:v>app</x:v>
      </x:c>
      <x:c r="K173" s="7" t="n">
        <x:f>DATE(2026,10,1)-F173</x:f>
        <x:v>1</x:v>
      </x:c>
      <x:c r="L173" s="7" t="n">
        <x:f>IF(K173&lt;=30,3,IF(K173&lt;=90,2,1))</x:f>
        <x:v>3</x:v>
      </x:c>
      <x:c r="M173" s="7" t="n">
        <x:f>IF(G173&gt;=8,3,IF(G173&gt;=3,2,1))</x:f>
        <x:v>1</x:v>
      </x:c>
      <x:c r="N173" s="7" t="n">
        <x:f>IF(H173&gt;=600,3,IF(H173&gt;=200,2,1))</x:f>
        <x:v>1</x:v>
      </x:c>
      <x:c r="O173" s="1" t="str">
        <x:f>IF(AND(L173=3,M173=3),"Champions",IF(AND(L173=1,M173&gt;=2),"At risk",IF(AND(L173=3,M173=1),"New",IF(AND(L173=1,M173=1),"Hibernating",IF(AND(L173=2,M173=1),"Promising","Loyal")))))</x:f>
        <x:v>New</x:v>
      </x:c>
    </x:row>
    <x:row r="174">
      <x:c r="A174" s="1" t="str">
        <x:v>C0173</x:v>
      </x:c>
      <x:c r="B174" s="1" t="str">
        <x:v>Jonas</x:v>
      </x:c>
      <x:c r="C174" s="1" t="str">
        <x:v>customer0173@example.com</x:v>
      </x:c>
      <x:c r="D174" s="1" t="str">
        <x:v>Singapore</x:v>
      </x:c>
      <x:c r="E174" s="5" t="d">
        <x:v>2025-03-15T00:00:00.000Z</x:v>
      </x:c>
      <x:c r="F174" s="5" t="d">
        <x:v>2026-09-12T00:00:00.000Z</x:v>
      </x:c>
      <x:c r="G174" s="1" t="n">
        <x:v>20</x:v>
      </x:c>
      <x:c r="H174" s="6" t="n">
        <x:v>1181.45</x:v>
      </x:c>
      <x:c r="I174" s="1" t="n">
        <x:v>12</x:v>
      </x:c>
      <x:c r="J174" s="1" t="str">
        <x:v>store</x:v>
      </x:c>
      <x:c r="K174" s="7" t="n">
        <x:f>DATE(2026,10,1)-F174</x:f>
        <x:v>19</x:v>
      </x:c>
      <x:c r="L174" s="7" t="n">
        <x:f>IF(K174&lt;=30,3,IF(K174&lt;=90,2,1))</x:f>
        <x:v>3</x:v>
      </x:c>
      <x:c r="M174" s="7" t="n">
        <x:f>IF(G174&gt;=8,3,IF(G174&gt;=3,2,1))</x:f>
        <x:v>3</x:v>
      </x:c>
      <x:c r="N174" s="7" t="n">
        <x:f>IF(H174&gt;=600,3,IF(H174&gt;=200,2,1))</x:f>
        <x:v>3</x:v>
      </x:c>
      <x:c r="O174" s="1" t="str">
        <x:f>IF(AND(L174=3,M174=3),"Champions",IF(AND(L174=1,M174&gt;=2),"At risk",IF(AND(L174=3,M174=1),"New",IF(AND(L174=1,M174=1),"Hibernating",IF(AND(L174=2,M174=1),"Promising","Loyal")))))</x:f>
        <x:v>Champions</x:v>
      </x:c>
    </x:row>
    <x:row r="175">
      <x:c r="A175" s="1" t="str">
        <x:v>C0174</x:v>
      </x:c>
      <x:c r="B175" s="1" t="str">
        <x:v>Maya</x:v>
      </x:c>
      <x:c r="C175" s="1" t="str">
        <x:v>customer0174@example.com</x:v>
      </x:c>
      <x:c r="D175" s="1" t="str">
        <x:v>India</x:v>
      </x:c>
      <x:c r="E175" s="5" t="d">
        <x:v>2026-01-06T00:00:00.000Z</x:v>
      </x:c>
      <x:c r="F175" s="5" t="d">
        <x:v>2026-04-30T00:00:00.000Z</x:v>
      </x:c>
      <x:c r="G175" s="1" t="n">
        <x:v>1</x:v>
      </x:c>
      <x:c r="H175" s="6" t="n">
        <x:v>51</x:v>
      </x:c>
      <x:c r="I175" s="1" t="n">
        <x:v>12</x:v>
      </x:c>
      <x:c r="J175" s="1" t="str">
        <x:v>store</x:v>
      </x:c>
      <x:c r="K175" s="7" t="n">
        <x:f>DATE(2026,10,1)-F175</x:f>
        <x:v>154</x:v>
      </x:c>
      <x:c r="L175" s="7" t="n">
        <x:f>IF(K175&lt;=30,3,IF(K175&lt;=90,2,1))</x:f>
        <x:v>1</x:v>
      </x:c>
      <x:c r="M175" s="7" t="n">
        <x:f>IF(G175&gt;=8,3,IF(G175&gt;=3,2,1))</x:f>
        <x:v>1</x:v>
      </x:c>
      <x:c r="N175" s="7" t="n">
        <x:f>IF(H175&gt;=600,3,IF(H175&gt;=200,2,1))</x:f>
        <x:v>1</x:v>
      </x:c>
      <x:c r="O175" s="1" t="str">
        <x:f>IF(AND(L175=3,M175=3),"Champions",IF(AND(L175=1,M175&gt;=2),"At risk",IF(AND(L175=3,M175=1),"New",IF(AND(L175=1,M175=1),"Hibernating",IF(AND(L175=2,M175=1),"Promising","Loyal")))))</x:f>
        <x:v>Hibernating</x:v>
      </x:c>
    </x:row>
    <x:row r="176">
      <x:c r="A176" s="1" t="str">
        <x:v>C0175</x:v>
      </x:c>
      <x:c r="B176" s="1" t="str">
        <x:v>Sofia</x:v>
      </x:c>
      <x:c r="C176" s="1" t="str">
        <x:v>customer0175@example.com</x:v>
      </x:c>
      <x:c r="D176" s="1" t="str">
        <x:v>UK</x:v>
      </x:c>
      <x:c r="E176" s="5" t="d">
        <x:v>2025-05-06T00:00:00.000Z</x:v>
      </x:c>
      <x:c r="F176" s="5" t="d">
        <x:v>2026-09-06T00:00:00.000Z</x:v>
      </x:c>
      <x:c r="G176" s="1" t="n">
        <x:v>18</x:v>
      </x:c>
      <x:c r="H176" s="6" t="n">
        <x:v>1611.61</x:v>
      </x:c>
      <x:c r="I176" s="1" t="n">
        <x:v>1</x:v>
      </x:c>
      <x:c r="J176" s="1" t="str">
        <x:v>store</x:v>
      </x:c>
      <x:c r="K176" s="7" t="n">
        <x:f>DATE(2026,10,1)-F176</x:f>
        <x:v>25</x:v>
      </x:c>
      <x:c r="L176" s="7" t="n">
        <x:f>IF(K176&lt;=30,3,IF(K176&lt;=90,2,1))</x:f>
        <x:v>3</x:v>
      </x:c>
      <x:c r="M176" s="7" t="n">
        <x:f>IF(G176&gt;=8,3,IF(G176&gt;=3,2,1))</x:f>
        <x:v>3</x:v>
      </x:c>
      <x:c r="N176" s="7" t="n">
        <x:f>IF(H176&gt;=600,3,IF(H176&gt;=200,2,1))</x:f>
        <x:v>3</x:v>
      </x:c>
      <x:c r="O176" s="1" t="str">
        <x:f>IF(AND(L176=3,M176=3),"Champions",IF(AND(L176=1,M176&gt;=2),"At risk",IF(AND(L176=3,M176=1),"New",IF(AND(L176=1,M176=1),"Hibernating",IF(AND(L176=2,M176=1),"Promising","Loyal")))))</x:f>
        <x:v>Champions</x:v>
      </x:c>
    </x:row>
    <x:row r="177">
      <x:c r="A177" s="1" t="str">
        <x:v>C0176</x:v>
      </x:c>
      <x:c r="B177" s="1" t="str">
        <x:v>Chloe</x:v>
      </x:c>
      <x:c r="C177" s="1" t="str">
        <x:v>customer0176@example.com</x:v>
      </x:c>
      <x:c r="D177" s="1" t="str">
        <x:v>Germany</x:v>
      </x:c>
      <x:c r="E177" s="5" t="d">
        <x:v>2026-07-22T00:00:00.000Z</x:v>
      </x:c>
      <x:c r="F177" s="5" t="d">
        <x:v>2026-08-12T00:00:00.000Z</x:v>
      </x:c>
      <x:c r="G177" s="1" t="n">
        <x:v>5</x:v>
      </x:c>
      <x:c r="H177" s="6" t="n">
        <x:v>496.64</x:v>
      </x:c>
      <x:c r="I177" s="1" t="n">
        <x:v>4</x:v>
      </x:c>
      <x:c r="J177" s="1" t="str">
        <x:v>app</x:v>
      </x:c>
      <x:c r="K177" s="7" t="n">
        <x:f>DATE(2026,10,1)-F177</x:f>
        <x:v>50</x:v>
      </x:c>
      <x:c r="L177" s="7" t="n">
        <x:f>IF(K177&lt;=30,3,IF(K177&lt;=90,2,1))</x:f>
        <x:v>2</x:v>
      </x:c>
      <x:c r="M177" s="7" t="n">
        <x:f>IF(G177&gt;=8,3,IF(G177&gt;=3,2,1))</x:f>
        <x:v>2</x:v>
      </x:c>
      <x:c r="N177" s="7" t="n">
        <x:f>IF(H177&gt;=600,3,IF(H177&gt;=200,2,1))</x:f>
        <x:v>2</x:v>
      </x:c>
      <x:c r="O177" s="1" t="str">
        <x:f>IF(AND(L177=3,M177=3),"Champions",IF(AND(L177=1,M177&gt;=2),"At risk",IF(AND(L177=3,M177=1),"New",IF(AND(L177=1,M177=1),"Hibernating",IF(AND(L177=2,M177=1),"Promising","Loyal")))))</x:f>
        <x:v>Loyal</x:v>
      </x:c>
    </x:row>
    <x:row r="178">
      <x:c r="A178" s="1" t="str">
        <x:v>C0177</x:v>
      </x:c>
      <x:c r="B178" s="1" t="str">
        <x:v>Ethan</x:v>
      </x:c>
      <x:c r="C178" s="1" t="str">
        <x:v>customer0177@example.com</x:v>
      </x:c>
      <x:c r="D178" s="1" t="str">
        <x:v>Australia</x:v>
      </x:c>
      <x:c r="E178" s="5" t="d">
        <x:v>2026-08-12T00:00:00.000Z</x:v>
      </x:c>
      <x:c r="F178" s="5" t="d">
        <x:v>2026-09-19T00:00:00.000Z</x:v>
      </x:c>
      <x:c r="G178" s="1" t="n">
        <x:v>2</x:v>
      </x:c>
      <x:c r="H178" s="6" t="n">
        <x:v>143.08</x:v>
      </x:c>
      <x:c r="I178" s="1" t="n">
        <x:v>4</x:v>
      </x:c>
      <x:c r="J178" s="1" t="str">
        <x:v>store</x:v>
      </x:c>
      <x:c r="K178" s="7" t="n">
        <x:f>DATE(2026,10,1)-F178</x:f>
        <x:v>12</x:v>
      </x:c>
      <x:c r="L178" s="7" t="n">
        <x:f>IF(K178&lt;=30,3,IF(K178&lt;=90,2,1))</x:f>
        <x:v>3</x:v>
      </x:c>
      <x:c r="M178" s="7" t="n">
        <x:f>IF(G178&gt;=8,3,IF(G178&gt;=3,2,1))</x:f>
        <x:v>1</x:v>
      </x:c>
      <x:c r="N178" s="7" t="n">
        <x:f>IF(H178&gt;=600,3,IF(H178&gt;=200,2,1))</x:f>
        <x:v>1</x:v>
      </x:c>
      <x:c r="O178" s="1" t="str">
        <x:f>IF(AND(L178=3,M178=3),"Champions",IF(AND(L178=1,M178&gt;=2),"At risk",IF(AND(L178=3,M178=1),"New",IF(AND(L178=1,M178=1),"Hibernating",IF(AND(L178=2,M178=1),"Promising","Loyal")))))</x:f>
        <x:v>New</x:v>
      </x:c>
    </x:row>
    <x:row r="179">
      <x:c r="A179" s="1" t="str">
        <x:v>C0178</x:v>
      </x:c>
      <x:c r="B179" s="1" t="str">
        <x:v>Kai</x:v>
      </x:c>
      <x:c r="C179" s="1" t="str">
        <x:v>customer0178@example.com</x:v>
      </x:c>
      <x:c r="D179" s="1" t="str">
        <x:v>Singapore</x:v>
      </x:c>
      <x:c r="E179" s="5" t="d">
        <x:v>2026-08-03T00:00:00.000Z</x:v>
      </x:c>
      <x:c r="F179" s="5" t="d">
        <x:v>2026-09-05T00:00:00.000Z</x:v>
      </x:c>
      <x:c r="G179" s="1" t="n">
        <x:v>2</x:v>
      </x:c>
      <x:c r="H179" s="6" t="n">
        <x:v>25</x:v>
      </x:c>
      <x:c r="I179" s="1" t="n">
        <x:v>5</x:v>
      </x:c>
      <x:c r="J179" s="1" t="str">
        <x:v>web</x:v>
      </x:c>
      <x:c r="K179" s="7" t="n">
        <x:f>DATE(2026,10,1)-F179</x:f>
        <x:v>26</x:v>
      </x:c>
      <x:c r="L179" s="7" t="n">
        <x:f>IF(K179&lt;=30,3,IF(K179&lt;=90,2,1))</x:f>
        <x:v>3</x:v>
      </x:c>
      <x:c r="M179" s="7" t="n">
        <x:f>IF(G179&gt;=8,3,IF(G179&gt;=3,2,1))</x:f>
        <x:v>1</x:v>
      </x:c>
      <x:c r="N179" s="7" t="n">
        <x:f>IF(H179&gt;=600,3,IF(H179&gt;=200,2,1))</x:f>
        <x:v>1</x:v>
      </x:c>
      <x:c r="O179" s="1" t="str">
        <x:f>IF(AND(L179=3,M179=3),"Champions",IF(AND(L179=1,M179&gt;=2),"At risk",IF(AND(L179=3,M179=1),"New",IF(AND(L179=1,M179=1),"Hibernating",IF(AND(L179=2,M179=1),"Promising","Loyal")))))</x:f>
        <x:v>New</x:v>
      </x:c>
    </x:row>
    <x:row r="180">
      <x:c r="A180" s="1" t="str">
        <x:v>C0179</x:v>
      </x:c>
      <x:c r="B180" s="1" t="str">
        <x:v>Diego</x:v>
      </x:c>
      <x:c r="C180" s="1" t="str">
        <x:v>customer0179@example.com</x:v>
      </x:c>
      <x:c r="D180" s="1" t="str">
        <x:v>Germany</x:v>
      </x:c>
      <x:c r="E180" s="5" t="d">
        <x:v>2026-09-08T00:00:00.000Z</x:v>
      </x:c>
      <x:c r="F180" s="5" t="d">
        <x:v>2026-09-13T00:00:00.000Z</x:v>
      </x:c>
      <x:c r="G180" s="1" t="n">
        <x:v>1</x:v>
      </x:c>
      <x:c r="H180" s="6" t="n">
        <x:v>134.3</x:v>
      </x:c>
      <x:c r="I180" s="1" t="n">
        <x:v>2</x:v>
      </x:c>
      <x:c r="J180" s="1" t="str">
        <x:v>web</x:v>
      </x:c>
      <x:c r="K180" s="7" t="n">
        <x:f>DATE(2026,10,1)-F180</x:f>
        <x:v>18</x:v>
      </x:c>
      <x:c r="L180" s="7" t="n">
        <x:f>IF(K180&lt;=30,3,IF(K180&lt;=90,2,1))</x:f>
        <x:v>3</x:v>
      </x:c>
      <x:c r="M180" s="7" t="n">
        <x:f>IF(G180&gt;=8,3,IF(G180&gt;=3,2,1))</x:f>
        <x:v>1</x:v>
      </x:c>
      <x:c r="N180" s="7" t="n">
        <x:f>IF(H180&gt;=600,3,IF(H180&gt;=200,2,1))</x:f>
        <x:v>1</x:v>
      </x:c>
      <x:c r="O180" s="1" t="str">
        <x:f>IF(AND(L180=3,M180=3),"Champions",IF(AND(L180=1,M180&gt;=2),"At risk",IF(AND(L180=3,M180=1),"New",IF(AND(L180=1,M180=1),"Hibernating",IF(AND(L180=2,M180=1),"Promising","Loyal")))))</x:f>
        <x:v>New</x:v>
      </x:c>
    </x:row>
    <x:row r="181">
      <x:c r="A181" s="1" t="str">
        <x:v>C0180</x:v>
      </x:c>
      <x:c r="B181" s="1" t="str">
        <x:v>Aarav</x:v>
      </x:c>
      <x:c r="C181" s="1" t="str">
        <x:v>customer0180@example.com</x:v>
      </x:c>
      <x:c r="D181" s="1" t="str">
        <x:v>Brazil</x:v>
      </x:c>
      <x:c r="E181" s="5" t="d">
        <x:v>2026-07-31T00:00:00.000Z</x:v>
      </x:c>
      <x:c r="F181" s="5" t="d">
        <x:v>2026-09-24T00:00:00.000Z</x:v>
      </x:c>
      <x:c r="G181" s="1" t="n">
        <x:v>12</x:v>
      </x:c>
      <x:c r="H181" s="6" t="n">
        <x:v>1819.49</x:v>
      </x:c>
      <x:c r="I181" s="1" t="n">
        <x:v>7</x:v>
      </x:c>
      <x:c r="J181" s="1" t="str">
        <x:v>app</x:v>
      </x:c>
      <x:c r="K181" s="7" t="n">
        <x:f>DATE(2026,10,1)-F181</x:f>
        <x:v>7</x:v>
      </x:c>
      <x:c r="L181" s="7" t="n">
        <x:f>IF(K181&lt;=30,3,IF(K181&lt;=90,2,1))</x:f>
        <x:v>3</x:v>
      </x:c>
      <x:c r="M181" s="7" t="n">
        <x:f>IF(G181&gt;=8,3,IF(G181&gt;=3,2,1))</x:f>
        <x:v>3</x:v>
      </x:c>
      <x:c r="N181" s="7" t="n">
        <x:f>IF(H181&gt;=600,3,IF(H181&gt;=200,2,1))</x:f>
        <x:v>3</x:v>
      </x:c>
      <x:c r="O181" s="1" t="str">
        <x:f>IF(AND(L181=3,M181=3),"Champions",IF(AND(L181=1,M181&gt;=2),"At risk",IF(AND(L181=3,M181=1),"New",IF(AND(L181=1,M181=1),"Hibernating",IF(AND(L181=2,M181=1),"Promising","Loyal")))))</x:f>
        <x:v>Champions</x:v>
      </x:c>
    </x:row>
    <x:row r="182">
      <x:c r="A182" s="1" t="str">
        <x:v>C0181</x:v>
      </x:c>
      <x:c r="B182" s="1" t="str">
        <x:v>Omar</x:v>
      </x:c>
      <x:c r="C182" s="1" t="str">
        <x:v>customer0181@example.com</x:v>
      </x:c>
      <x:c r="D182" s="1" t="str">
        <x:v>Nigeria</x:v>
      </x:c>
      <x:c r="E182" s="5" t="d">
        <x:v>2024-12-01T00:00:00.000Z</x:v>
      </x:c>
      <x:c r="F182" s="5" t="d">
        <x:v>2026-05-12T00:00:00.000Z</x:v>
      </x:c>
      <x:c r="G182" s="1" t="n">
        <x:v>10</x:v>
      </x:c>
      <x:c r="H182" s="6" t="n">
        <x:v>931.44</x:v>
      </x:c>
      <x:c r="I182" s="1" t="n">
        <x:v>2</x:v>
      </x:c>
      <x:c r="J182" s="1" t="str">
        <x:v>web</x:v>
      </x:c>
      <x:c r="K182" s="7" t="n">
        <x:f>DATE(2026,10,1)-F182</x:f>
        <x:v>142</x:v>
      </x:c>
      <x:c r="L182" s="7" t="n">
        <x:f>IF(K182&lt;=30,3,IF(K182&lt;=90,2,1))</x:f>
        <x:v>1</x:v>
      </x:c>
      <x:c r="M182" s="7" t="n">
        <x:f>IF(G182&gt;=8,3,IF(G182&gt;=3,2,1))</x:f>
        <x:v>3</x:v>
      </x:c>
      <x:c r="N182" s="7" t="n">
        <x:f>IF(H182&gt;=600,3,IF(H182&gt;=200,2,1))</x:f>
        <x:v>3</x:v>
      </x:c>
      <x:c r="O182" s="1" t="str">
        <x:f>IF(AND(L182=3,M182=3),"Champions",IF(AND(L182=1,M182&gt;=2),"At risk",IF(AND(L182=3,M182=1),"New",IF(AND(L182=1,M182=1),"Hibernating",IF(AND(L182=2,M182=1),"Promising","Loyal")))))</x:f>
        <x:v>At risk</x:v>
      </x:c>
    </x:row>
    <x:row r="183">
      <x:c r="A183" s="1" t="str">
        <x:v>C0182</x:v>
      </x:c>
      <x:c r="B183" s="1" t="str">
        <x:v>Kai</x:v>
      </x:c>
      <x:c r="C183" s="1" t="str">
        <x:v>customer0182@example.com</x:v>
      </x:c>
      <x:c r="D183" s="1" t="str">
        <x:v>Singapore</x:v>
      </x:c>
      <x:c r="E183" s="5" t="d">
        <x:v>2024-05-15T00:00:00.000Z</x:v>
      </x:c>
      <x:c r="F183" s="5" t="d">
        <x:v>2026-02-25T00:00:00.000Z</x:v>
      </x:c>
      <x:c r="G183" s="1" t="n">
        <x:v>2</x:v>
      </x:c>
      <x:c r="H183" s="6" t="n">
        <x:v>44.01</x:v>
      </x:c>
      <x:c r="I183" s="1" t="n">
        <x:v>7</x:v>
      </x:c>
      <x:c r="J183" s="1" t="str">
        <x:v>store</x:v>
      </x:c>
      <x:c r="K183" s="7" t="n">
        <x:f>DATE(2026,10,1)-F183</x:f>
        <x:v>218</x:v>
      </x:c>
      <x:c r="L183" s="7" t="n">
        <x:f>IF(K183&lt;=30,3,IF(K183&lt;=90,2,1))</x:f>
        <x:v>1</x:v>
      </x:c>
      <x:c r="M183" s="7" t="n">
        <x:f>IF(G183&gt;=8,3,IF(G183&gt;=3,2,1))</x:f>
        <x:v>1</x:v>
      </x:c>
      <x:c r="N183" s="7" t="n">
        <x:f>IF(H183&gt;=600,3,IF(H183&gt;=200,2,1))</x:f>
        <x:v>1</x:v>
      </x:c>
      <x:c r="O183" s="1" t="str">
        <x:f>IF(AND(L183=3,M183=3),"Champions",IF(AND(L183=1,M183&gt;=2),"At risk",IF(AND(L183=3,M183=1),"New",IF(AND(L183=1,M183=1),"Hibernating",IF(AND(L183=2,M183=1),"Promising","Loyal")))))</x:f>
        <x:v>Hibernating</x:v>
      </x:c>
    </x:row>
    <x:row r="184">
      <x:c r="A184" s="1" t="str">
        <x:v>C0183</x:v>
      </x:c>
      <x:c r="B184" s="1" t="str">
        <x:v>Leila</x:v>
      </x:c>
      <x:c r="C184" s="1" t="str">
        <x:v>customer0183@example.com</x:v>
      </x:c>
      <x:c r="D184" s="1" t="str">
        <x:v>UAE</x:v>
      </x:c>
      <x:c r="E184" s="5" t="d">
        <x:v>2025-04-18T00:00:00.000Z</x:v>
      </x:c>
      <x:c r="F184" s="5" t="d">
        <x:v>2026-06-02T00:00:00.000Z</x:v>
      </x:c>
      <x:c r="G184" s="1" t="n">
        <x:v>8</x:v>
      </x:c>
      <x:c r="H184" s="6" t="n">
        <x:v>658.96</x:v>
      </x:c>
      <x:c r="I184" s="1" t="n">
        <x:v>11</x:v>
      </x:c>
      <x:c r="J184" s="1" t="str">
        <x:v>app</x:v>
      </x:c>
      <x:c r="K184" s="7" t="n">
        <x:f>DATE(2026,10,1)-F184</x:f>
        <x:v>121</x:v>
      </x:c>
      <x:c r="L184" s="7" t="n">
        <x:f>IF(K184&lt;=30,3,IF(K184&lt;=90,2,1))</x:f>
        <x:v>1</x:v>
      </x:c>
      <x:c r="M184" s="7" t="n">
        <x:f>IF(G184&gt;=8,3,IF(G184&gt;=3,2,1))</x:f>
        <x:v>3</x:v>
      </x:c>
      <x:c r="N184" s="7" t="n">
        <x:f>IF(H184&gt;=600,3,IF(H184&gt;=200,2,1))</x:f>
        <x:v>3</x:v>
      </x:c>
      <x:c r="O184" s="1" t="str">
        <x:f>IF(AND(L184=3,M184=3),"Champions",IF(AND(L184=1,M184&gt;=2),"At risk",IF(AND(L184=3,M184=1),"New",IF(AND(L184=1,M184=1),"Hibernating",IF(AND(L184=2,M184=1),"Promising","Loyal")))))</x:f>
        <x:v>At risk</x:v>
      </x:c>
    </x:row>
    <x:row r="185">
      <x:c r="A185" s="1" t="str">
        <x:v>C0184</x:v>
      </x:c>
      <x:c r="B185" s="1" t="str">
        <x:v>Hana</x:v>
      </x:c>
      <x:c r="C185" s="1" t="str">
        <x:v>customer0184@example.com</x:v>
      </x:c>
      <x:c r="D185" s="1" t="str">
        <x:v>Japan</x:v>
      </x:c>
      <x:c r="E185" s="5" t="d">
        <x:v>2025-09-26T00:00:00.000Z</x:v>
      </x:c>
      <x:c r="F185" s="5" t="d">
        <x:v>2026-06-22T00:00:00.000Z</x:v>
      </x:c>
      <x:c r="G185" s="1" t="n">
        <x:v>8</x:v>
      </x:c>
      <x:c r="H185" s="6" t="n">
        <x:v>487.03</x:v>
      </x:c>
      <x:c r="I185" s="1" t="n">
        <x:v>8</x:v>
      </x:c>
      <x:c r="J185" s="1" t="str">
        <x:v>app</x:v>
      </x:c>
      <x:c r="K185" s="7" t="n">
        <x:f>DATE(2026,10,1)-F185</x:f>
        <x:v>101</x:v>
      </x:c>
      <x:c r="L185" s="7" t="n">
        <x:f>IF(K185&lt;=30,3,IF(K185&lt;=90,2,1))</x:f>
        <x:v>1</x:v>
      </x:c>
      <x:c r="M185" s="7" t="n">
        <x:f>IF(G185&gt;=8,3,IF(G185&gt;=3,2,1))</x:f>
        <x:v>3</x:v>
      </x:c>
      <x:c r="N185" s="7" t="n">
        <x:f>IF(H185&gt;=600,3,IF(H185&gt;=200,2,1))</x:f>
        <x:v>2</x:v>
      </x:c>
      <x:c r="O185" s="1" t="str">
        <x:f>IF(AND(L185=3,M185=3),"Champions",IF(AND(L185=1,M185&gt;=2),"At risk",IF(AND(L185=3,M185=1),"New",IF(AND(L185=1,M185=1),"Hibernating",IF(AND(L185=2,M185=1),"Promising","Loyal")))))</x:f>
        <x:v>At risk</x:v>
      </x:c>
    </x:row>
    <x:row r="186">
      <x:c r="A186" s="1" t="str">
        <x:v>C0185</x:v>
      </x:c>
      <x:c r="B186" s="1" t="str">
        <x:v>Kai</x:v>
      </x:c>
      <x:c r="C186" s="1" t="str">
        <x:v>customer0185@example.com</x:v>
      </x:c>
      <x:c r="D186" s="1" t="str">
        <x:v>Nigeria</x:v>
      </x:c>
      <x:c r="E186" s="5" t="d">
        <x:v>2024-08-30T00:00:00.000Z</x:v>
      </x:c>
      <x:c r="F186" s="5" t="d">
        <x:v>2026-04-30T00:00:00.000Z</x:v>
      </x:c>
      <x:c r="G186" s="1" t="n">
        <x:v>10</x:v>
      </x:c>
      <x:c r="H186" s="6" t="n">
        <x:v>395.91</x:v>
      </x:c>
      <x:c r="I186" s="1" t="n">
        <x:v>10</x:v>
      </x:c>
      <x:c r="J186" s="1" t="str">
        <x:v>app</x:v>
      </x:c>
      <x:c r="K186" s="7" t="n">
        <x:f>DATE(2026,10,1)-F186</x:f>
        <x:v>154</x:v>
      </x:c>
      <x:c r="L186" s="7" t="n">
        <x:f>IF(K186&lt;=30,3,IF(K186&lt;=90,2,1))</x:f>
        <x:v>1</x:v>
      </x:c>
      <x:c r="M186" s="7" t="n">
        <x:f>IF(G186&gt;=8,3,IF(G186&gt;=3,2,1))</x:f>
        <x:v>3</x:v>
      </x:c>
      <x:c r="N186" s="7" t="n">
        <x:f>IF(H186&gt;=600,3,IF(H186&gt;=200,2,1))</x:f>
        <x:v>2</x:v>
      </x:c>
      <x:c r="O186" s="1" t="str">
        <x:f>IF(AND(L186=3,M186=3),"Champions",IF(AND(L186=1,M186&gt;=2),"At risk",IF(AND(L186=3,M186=1),"New",IF(AND(L186=1,M186=1),"Hibernating",IF(AND(L186=2,M186=1),"Promising","Loyal")))))</x:f>
        <x:v>At risk</x:v>
      </x:c>
    </x:row>
    <x:row r="187">
      <x:c r="A187" s="1" t="str">
        <x:v>C0186</x:v>
      </x:c>
      <x:c r="B187" s="1" t="str">
        <x:v>Nia</x:v>
      </x:c>
      <x:c r="C187" s="1" t="str">
        <x:v>customer0186@example.com</x:v>
      </x:c>
      <x:c r="D187" s="1" t="str">
        <x:v>Japan</x:v>
      </x:c>
      <x:c r="E187" s="5" t="d">
        <x:v>2025-05-07T00:00:00.000Z</x:v>
      </x:c>
      <x:c r="F187" s="5" t="d">
        <x:v>2026-08-11T00:00:00.000Z</x:v>
      </x:c>
      <x:c r="G187" s="1" t="n">
        <x:v>7</x:v>
      </x:c>
      <x:c r="H187" s="6" t="n">
        <x:v>308.73</x:v>
      </x:c>
      <x:c r="I187" s="1" t="n">
        <x:v>11</x:v>
      </x:c>
      <x:c r="J187" s="1" t="str">
        <x:v>web</x:v>
      </x:c>
      <x:c r="K187" s="7" t="n">
        <x:f>DATE(2026,10,1)-F187</x:f>
        <x:v>51</x:v>
      </x:c>
      <x:c r="L187" s="7" t="n">
        <x:f>IF(K187&lt;=30,3,IF(K187&lt;=90,2,1))</x:f>
        <x:v>2</x:v>
      </x:c>
      <x:c r="M187" s="7" t="n">
        <x:f>IF(G187&gt;=8,3,IF(G187&gt;=3,2,1))</x:f>
        <x:v>2</x:v>
      </x:c>
      <x:c r="N187" s="7" t="n">
        <x:f>IF(H187&gt;=600,3,IF(H187&gt;=200,2,1))</x:f>
        <x:v>2</x:v>
      </x:c>
      <x:c r="O187" s="1" t="str">
        <x:f>IF(AND(L187=3,M187=3),"Champions",IF(AND(L187=1,M187&gt;=2),"At risk",IF(AND(L187=3,M187=1),"New",IF(AND(L187=1,M187=1),"Hibernating",IF(AND(L187=2,M187=1),"Promising","Loyal")))))</x:f>
        <x:v>Loyal</x:v>
      </x:c>
    </x:row>
    <x:row r="188">
      <x:c r="A188" s="1" t="str">
        <x:v>C0187</x:v>
      </x:c>
      <x:c r="B188" s="1" t="str">
        <x:v>Zara</x:v>
      </x:c>
      <x:c r="C188" s="1" t="str">
        <x:v>customer0187@example.com</x:v>
      </x:c>
      <x:c r="D188" s="1" t="str">
        <x:v>UK</x:v>
      </x:c>
      <x:c r="E188" s="5" t="d">
        <x:v>2024-12-11T00:00:00.000Z</x:v>
      </x:c>
      <x:c r="F188" s="5" t="d">
        <x:v>2026-07-27T00:00:00.000Z</x:v>
      </x:c>
      <x:c r="G188" s="1" t="n">
        <x:v>8</x:v>
      </x:c>
      <x:c r="H188" s="6" t="n">
        <x:v>741.4</x:v>
      </x:c>
      <x:c r="I188" s="1" t="n">
        <x:v>5</x:v>
      </x:c>
      <x:c r="J188" s="1" t="str">
        <x:v>web</x:v>
      </x:c>
      <x:c r="K188" s="7" t="n">
        <x:f>DATE(2026,10,1)-F188</x:f>
        <x:v>66</x:v>
      </x:c>
      <x:c r="L188" s="7" t="n">
        <x:f>IF(K188&lt;=30,3,IF(K188&lt;=90,2,1))</x:f>
        <x:v>2</x:v>
      </x:c>
      <x:c r="M188" s="7" t="n">
        <x:f>IF(G188&gt;=8,3,IF(G188&gt;=3,2,1))</x:f>
        <x:v>3</x:v>
      </x:c>
      <x:c r="N188" s="7" t="n">
        <x:f>IF(H188&gt;=600,3,IF(H188&gt;=200,2,1))</x:f>
        <x:v>3</x:v>
      </x:c>
      <x:c r="O188" s="1" t="str">
        <x:f>IF(AND(L188=3,M188=3),"Champions",IF(AND(L188=1,M188&gt;=2),"At risk",IF(AND(L188=3,M188=1),"New",IF(AND(L188=1,M188=1),"Hibernating",IF(AND(L188=2,M188=1),"Promising","Loyal")))))</x:f>
        <x:v>Loyal</x:v>
      </x:c>
    </x:row>
    <x:row r="189">
      <x:c r="A189" s="1" t="str">
        <x:v>C0188</x:v>
      </x:c>
      <x:c r="B189" s="1" t="str">
        <x:v>Ines</x:v>
      </x:c>
      <x:c r="C189" s="1" t="str">
        <x:v>customer0188@example.com</x:v>
      </x:c>
      <x:c r="D189" s="1" t="str">
        <x:v>Nigeria</x:v>
      </x:c>
      <x:c r="E189" s="5" t="d">
        <x:v>2026-08-22T00:00:00.000Z</x:v>
      </x:c>
      <x:c r="F189" s="5" t="d">
        <x:v>2026-09-08T00:00:00.000Z</x:v>
      </x:c>
      <x:c r="G189" s="1" t="n">
        <x:v>1</x:v>
      </x:c>
      <x:c r="H189" s="6" t="n">
        <x:v>101.23</x:v>
      </x:c>
      <x:c r="I189" s="1" t="n">
        <x:v>2</x:v>
      </x:c>
      <x:c r="J189" s="1" t="str">
        <x:v>store</x:v>
      </x:c>
      <x:c r="K189" s="7" t="n">
        <x:f>DATE(2026,10,1)-F189</x:f>
        <x:v>23</x:v>
      </x:c>
      <x:c r="L189" s="7" t="n">
        <x:f>IF(K189&lt;=30,3,IF(K189&lt;=90,2,1))</x:f>
        <x:v>3</x:v>
      </x:c>
      <x:c r="M189" s="7" t="n">
        <x:f>IF(G189&gt;=8,3,IF(G189&gt;=3,2,1))</x:f>
        <x:v>1</x:v>
      </x:c>
      <x:c r="N189" s="7" t="n">
        <x:f>IF(H189&gt;=600,3,IF(H189&gt;=200,2,1))</x:f>
        <x:v>1</x:v>
      </x:c>
      <x:c r="O189" s="1" t="str">
        <x:f>IF(AND(L189=3,M189=3),"Champions",IF(AND(L189=1,M189&gt;=2),"At risk",IF(AND(L189=3,M189=1),"New",IF(AND(L189=1,M189=1),"Hibernating",IF(AND(L189=2,M189=1),"Promising","Loyal")))))</x:f>
        <x:v>New</x:v>
      </x:c>
    </x:row>
    <x:row r="190">
      <x:c r="A190" s="1" t="str">
        <x:v>C0189</x:v>
      </x:c>
      <x:c r="B190" s="1" t="str">
        <x:v>Chloe</x:v>
      </x:c>
      <x:c r="C190" s="1" t="str">
        <x:v>customer0189@example.com</x:v>
      </x:c>
      <x:c r="D190" s="1" t="str">
        <x:v>UK</x:v>
      </x:c>
      <x:c r="E190" s="5" t="d">
        <x:v>2025-03-05T00:00:00.000Z</x:v>
      </x:c>
      <x:c r="F190" s="5" t="d">
        <x:v>2026-08-21T00:00:00.000Z</x:v>
      </x:c>
      <x:c r="G190" s="1" t="n">
        <x:v>8</x:v>
      </x:c>
      <x:c r="H190" s="6" t="n">
        <x:v>428.59</x:v>
      </x:c>
      <x:c r="I190" s="1" t="n">
        <x:v>3</x:v>
      </x:c>
      <x:c r="J190" s="1" t="str">
        <x:v>web</x:v>
      </x:c>
      <x:c r="K190" s="7" t="n">
        <x:f>DATE(2026,10,1)-F190</x:f>
        <x:v>41</x:v>
      </x:c>
      <x:c r="L190" s="7" t="n">
        <x:f>IF(K190&lt;=30,3,IF(K190&lt;=90,2,1))</x:f>
        <x:v>2</x:v>
      </x:c>
      <x:c r="M190" s="7" t="n">
        <x:f>IF(G190&gt;=8,3,IF(G190&gt;=3,2,1))</x:f>
        <x:v>3</x:v>
      </x:c>
      <x:c r="N190" s="7" t="n">
        <x:f>IF(H190&gt;=600,3,IF(H190&gt;=200,2,1))</x:f>
        <x:v>2</x:v>
      </x:c>
      <x:c r="O190" s="1" t="str">
        <x:f>IF(AND(L190=3,M190=3),"Champions",IF(AND(L190=1,M190&gt;=2),"At risk",IF(AND(L190=3,M190=1),"New",IF(AND(L190=1,M190=1),"Hibernating",IF(AND(L190=2,M190=1),"Promising","Loyal")))))</x:f>
        <x:v>Loyal</x:v>
      </x:c>
    </x:row>
    <x:row r="191">
      <x:c r="A191" s="1" t="str">
        <x:v>C0190</x:v>
      </x:c>
      <x:c r="B191" s="1" t="str">
        <x:v>Sofia</x:v>
      </x:c>
      <x:c r="C191" s="1" t="str">
        <x:v>customer0190@example.com</x:v>
      </x:c>
      <x:c r="D191" s="1" t="str">
        <x:v>USA</x:v>
      </x:c>
      <x:c r="E191" s="5" t="d">
        <x:v>2024-04-09T00:00:00.000Z</x:v>
      </x:c>
      <x:c r="F191" s="5" t="d">
        <x:v>2026-02-11T00:00:00.000Z</x:v>
      </x:c>
      <x:c r="G191" s="1" t="n">
        <x:v>1</x:v>
      </x:c>
      <x:c r="H191" s="6" t="n">
        <x:v>43.81</x:v>
      </x:c>
      <x:c r="I191" s="1" t="n">
        <x:v>6</x:v>
      </x:c>
      <x:c r="J191" s="1" t="str">
        <x:v>app</x:v>
      </x:c>
      <x:c r="K191" s="7" t="n">
        <x:f>DATE(2026,10,1)-F191</x:f>
        <x:v>232</x:v>
      </x:c>
      <x:c r="L191" s="7" t="n">
        <x:f>IF(K191&lt;=30,3,IF(K191&lt;=90,2,1))</x:f>
        <x:v>1</x:v>
      </x:c>
      <x:c r="M191" s="7" t="n">
        <x:f>IF(G191&gt;=8,3,IF(G191&gt;=3,2,1))</x:f>
        <x:v>1</x:v>
      </x:c>
      <x:c r="N191" s="7" t="n">
        <x:f>IF(H191&gt;=600,3,IF(H191&gt;=200,2,1))</x:f>
        <x:v>1</x:v>
      </x:c>
      <x:c r="O191" s="1" t="str">
        <x:f>IF(AND(L191=3,M191=3),"Champions",IF(AND(L191=1,M191&gt;=2),"At risk",IF(AND(L191=3,M191=1),"New",IF(AND(L191=1,M191=1),"Hibernating",IF(AND(L191=2,M191=1),"Promising","Loyal")))))</x:f>
        <x:v>Hibernating</x:v>
      </x:c>
    </x:row>
    <x:row r="192">
      <x:c r="A192" s="1" t="str">
        <x:v>C0191</x:v>
      </x:c>
      <x:c r="B192" s="1" t="str">
        <x:v>Sofia</x:v>
      </x:c>
      <x:c r="C192" s="1" t="str">
        <x:v>customer0191@example.com</x:v>
      </x:c>
      <x:c r="D192" s="1" t="str">
        <x:v>Singapore</x:v>
      </x:c>
      <x:c r="E192" s="5" t="d">
        <x:v>2025-07-04T00:00:00.000Z</x:v>
      </x:c>
      <x:c r="F192" s="5" t="d">
        <x:v>2026-01-20T00:00:00.000Z</x:v>
      </x:c>
      <x:c r="G192" s="1" t="n">
        <x:v>2</x:v>
      </x:c>
      <x:c r="H192" s="6" t="n">
        <x:v>91.11</x:v>
      </x:c>
      <x:c r="I192" s="1" t="n">
        <x:v>4</x:v>
      </x:c>
      <x:c r="J192" s="1" t="str">
        <x:v>app</x:v>
      </x:c>
      <x:c r="K192" s="7" t="n">
        <x:f>DATE(2026,10,1)-F192</x:f>
        <x:v>254</x:v>
      </x:c>
      <x:c r="L192" s="7" t="n">
        <x:f>IF(K192&lt;=30,3,IF(K192&lt;=90,2,1))</x:f>
        <x:v>1</x:v>
      </x:c>
      <x:c r="M192" s="7" t="n">
        <x:f>IF(G192&gt;=8,3,IF(G192&gt;=3,2,1))</x:f>
        <x:v>1</x:v>
      </x:c>
      <x:c r="N192" s="7" t="n">
        <x:f>IF(H192&gt;=600,3,IF(H192&gt;=200,2,1))</x:f>
        <x:v>1</x:v>
      </x:c>
      <x:c r="O192" s="1" t="str">
        <x:f>IF(AND(L192=3,M192=3),"Champions",IF(AND(L192=1,M192&gt;=2),"At risk",IF(AND(L192=3,M192=1),"New",IF(AND(L192=1,M192=1),"Hibernating",IF(AND(L192=2,M192=1),"Promising","Loyal")))))</x:f>
        <x:v>Hibernating</x:v>
      </x:c>
    </x:row>
    <x:row r="193">
      <x:c r="A193" s="1" t="str">
        <x:v>C0192</x:v>
      </x:c>
      <x:c r="B193" s="1" t="str">
        <x:v>Arjun</x:v>
      </x:c>
      <x:c r="C193" s="1" t="str">
        <x:v>customer0192@example.com</x:v>
      </x:c>
      <x:c r="D193" s="1" t="str">
        <x:v>USA</x:v>
      </x:c>
      <x:c r="E193" s="5" t="d">
        <x:v>2024-08-08T00:00:00.000Z</x:v>
      </x:c>
      <x:c r="F193" s="5" t="d">
        <x:v>2025-10-29T00:00:00.000Z</x:v>
      </x:c>
      <x:c r="G193" s="1" t="n">
        <x:v>1</x:v>
      </x:c>
      <x:c r="H193" s="6" t="n">
        <x:v>17.21</x:v>
      </x:c>
      <x:c r="I193" s="1" t="n">
        <x:v>8</x:v>
      </x:c>
      <x:c r="J193" s="1" t="str">
        <x:v>store</x:v>
      </x:c>
      <x:c r="K193" s="7" t="n">
        <x:f>DATE(2026,10,1)-F193</x:f>
        <x:v>337</x:v>
      </x:c>
      <x:c r="L193" s="7" t="n">
        <x:f>IF(K193&lt;=30,3,IF(K193&lt;=90,2,1))</x:f>
        <x:v>1</x:v>
      </x:c>
      <x:c r="M193" s="7" t="n">
        <x:f>IF(G193&gt;=8,3,IF(G193&gt;=3,2,1))</x:f>
        <x:v>1</x:v>
      </x:c>
      <x:c r="N193" s="7" t="n">
        <x:f>IF(H193&gt;=600,3,IF(H193&gt;=200,2,1))</x:f>
        <x:v>1</x:v>
      </x:c>
      <x:c r="O193" s="1" t="str">
        <x:f>IF(AND(L193=3,M193=3),"Champions",IF(AND(L193=1,M193&gt;=2),"At risk",IF(AND(L193=3,M193=1),"New",IF(AND(L193=1,M193=1),"Hibernating",IF(AND(L193=2,M193=1),"Promising","Loyal")))))</x:f>
        <x:v>Hibernating</x:v>
      </x:c>
    </x:row>
    <x:row r="194">
      <x:c r="A194" s="1" t="str">
        <x:v>C0193</x:v>
      </x:c>
      <x:c r="B194" s="1" t="str">
        <x:v>Aarav</x:v>
      </x:c>
      <x:c r="C194" s="1" t="str">
        <x:v>customer0193@example.com</x:v>
      </x:c>
      <x:c r="D194" s="1" t="str">
        <x:v>USA</x:v>
      </x:c>
      <x:c r="E194" s="5" t="d">
        <x:v>2025-08-01T00:00:00.000Z</x:v>
      </x:c>
      <x:c r="F194" s="5" t="d">
        <x:v>2026-09-19T00:00:00.000Z</x:v>
      </x:c>
      <x:c r="G194" s="1" t="n">
        <x:v>4</x:v>
      </x:c>
      <x:c r="H194" s="6" t="n">
        <x:v>380.05</x:v>
      </x:c>
      <x:c r="I194" s="1" t="n">
        <x:v>6</x:v>
      </x:c>
      <x:c r="J194" s="1" t="str">
        <x:v>store</x:v>
      </x:c>
      <x:c r="K194" s="7" t="n">
        <x:f>DATE(2026,10,1)-F194</x:f>
        <x:v>12</x:v>
      </x:c>
      <x:c r="L194" s="7" t="n">
        <x:f>IF(K194&lt;=30,3,IF(K194&lt;=90,2,1))</x:f>
        <x:v>3</x:v>
      </x:c>
      <x:c r="M194" s="7" t="n">
        <x:f>IF(G194&gt;=8,3,IF(G194&gt;=3,2,1))</x:f>
        <x:v>2</x:v>
      </x:c>
      <x:c r="N194" s="7" t="n">
        <x:f>IF(H194&gt;=600,3,IF(H194&gt;=200,2,1))</x:f>
        <x:v>2</x:v>
      </x:c>
      <x:c r="O194" s="1" t="str">
        <x:f>IF(AND(L194=3,M194=3),"Champions",IF(AND(L194=1,M194&gt;=2),"At risk",IF(AND(L194=3,M194=1),"New",IF(AND(L194=1,M194=1),"Hibernating",IF(AND(L194=2,M194=1),"Promising","Loyal")))))</x:f>
        <x:v>Loyal</x:v>
      </x:c>
    </x:row>
    <x:row r="195">
      <x:c r="A195" s="1" t="str">
        <x:v>C0194</x:v>
      </x:c>
      <x:c r="B195" s="1" t="str">
        <x:v>Mei</x:v>
      </x:c>
      <x:c r="C195" s="1" t="str">
        <x:v>customer0194@example.com</x:v>
      </x:c>
      <x:c r="D195" s="1" t="str">
        <x:v>USA</x:v>
      </x:c>
      <x:c r="E195" s="5" t="d">
        <x:v>2026-08-01T00:00:00.000Z</x:v>
      </x:c>
      <x:c r="F195" s="5" t="d">
        <x:v>2026-09-07T00:00:00.000Z</x:v>
      </x:c>
      <x:c r="G195" s="1" t="n">
        <x:v>2</x:v>
      </x:c>
      <x:c r="H195" s="6" t="n">
        <x:v>155.36</x:v>
      </x:c>
      <x:c r="I195" s="1" t="n">
        <x:v>10</x:v>
      </x:c>
      <x:c r="J195" s="1" t="str">
        <x:v>app</x:v>
      </x:c>
      <x:c r="K195" s="7" t="n">
        <x:f>DATE(2026,10,1)-F195</x:f>
        <x:v>24</x:v>
      </x:c>
      <x:c r="L195" s="7" t="n">
        <x:f>IF(K195&lt;=30,3,IF(K195&lt;=90,2,1))</x:f>
        <x:v>3</x:v>
      </x:c>
      <x:c r="M195" s="7" t="n">
        <x:f>IF(G195&gt;=8,3,IF(G195&gt;=3,2,1))</x:f>
        <x:v>1</x:v>
      </x:c>
      <x:c r="N195" s="7" t="n">
        <x:f>IF(H195&gt;=600,3,IF(H195&gt;=200,2,1))</x:f>
        <x:v>1</x:v>
      </x:c>
      <x:c r="O195" s="1" t="str">
        <x:f>IF(AND(L195=3,M195=3),"Champions",IF(AND(L195=1,M195&gt;=2),"At risk",IF(AND(L195=3,M195=1),"New",IF(AND(L195=1,M195=1),"Hibernating",IF(AND(L195=2,M195=1),"Promising","Loyal")))))</x:f>
        <x:v>New</x:v>
      </x:c>
    </x:row>
    <x:row r="196">
      <x:c r="A196" s="1" t="str">
        <x:v>C0195</x:v>
      </x:c>
      <x:c r="B196" s="1" t="str">
        <x:v>Arjun</x:v>
      </x:c>
      <x:c r="C196" s="1" t="str">
        <x:v>customer0195@example.com</x:v>
      </x:c>
      <x:c r="D196" s="1" t="str">
        <x:v>Singapore</x:v>
      </x:c>
      <x:c r="E196" s="5" t="d">
        <x:v>2026-08-07T00:00:00.000Z</x:v>
      </x:c>
      <x:c r="F196" s="5" t="d">
        <x:v>2026-09-16T00:00:00.000Z</x:v>
      </x:c>
      <x:c r="G196" s="1" t="n">
        <x:v>2</x:v>
      </x:c>
      <x:c r="H196" s="6" t="n">
        <x:v>70.08</x:v>
      </x:c>
      <x:c r="I196" s="1" t="n">
        <x:v>6</x:v>
      </x:c>
      <x:c r="J196" s="1" t="str">
        <x:v>app</x:v>
      </x:c>
      <x:c r="K196" s="7" t="n">
        <x:f>DATE(2026,10,1)-F196</x:f>
        <x:v>15</x:v>
      </x:c>
      <x:c r="L196" s="7" t="n">
        <x:f>IF(K196&lt;=30,3,IF(K196&lt;=90,2,1))</x:f>
        <x:v>3</x:v>
      </x:c>
      <x:c r="M196" s="7" t="n">
        <x:f>IF(G196&gt;=8,3,IF(G196&gt;=3,2,1))</x:f>
        <x:v>1</x:v>
      </x:c>
      <x:c r="N196" s="7" t="n">
        <x:f>IF(H196&gt;=600,3,IF(H196&gt;=200,2,1))</x:f>
        <x:v>1</x:v>
      </x:c>
      <x:c r="O196" s="1" t="str">
        <x:f>IF(AND(L196=3,M196=3),"Champions",IF(AND(L196=1,M196&gt;=2),"At risk",IF(AND(L196=3,M196=1),"New",IF(AND(L196=1,M196=1),"Hibernating",IF(AND(L196=2,M196=1),"Promising","Loyal")))))</x:f>
        <x:v>New</x:v>
      </x:c>
    </x:row>
    <x:row r="197">
      <x:c r="A197" s="1" t="str">
        <x:v>C0196</x:v>
      </x:c>
      <x:c r="B197" s="1" t="str">
        <x:v>Noah</x:v>
      </x:c>
      <x:c r="C197" s="1" t="str">
        <x:v>customer0196@example.com</x:v>
      </x:c>
      <x:c r="D197" s="1" t="str">
        <x:v>India</x:v>
      </x:c>
      <x:c r="E197" s="5" t="d">
        <x:v>2024-11-26T00:00:00.000Z</x:v>
      </x:c>
      <x:c r="F197" s="5" t="d">
        <x:v>2026-04-04T00:00:00.000Z</x:v>
      </x:c>
      <x:c r="G197" s="1" t="n">
        <x:v>2</x:v>
      </x:c>
      <x:c r="H197" s="6" t="n">
        <x:v>163.65</x:v>
      </x:c>
      <x:c r="I197" s="1" t="n">
        <x:v>9</x:v>
      </x:c>
      <x:c r="J197" s="1" t="str">
        <x:v>web</x:v>
      </x:c>
      <x:c r="K197" s="7" t="n">
        <x:f>DATE(2026,10,1)-F197</x:f>
        <x:v>180</x:v>
      </x:c>
      <x:c r="L197" s="7" t="n">
        <x:f>IF(K197&lt;=30,3,IF(K197&lt;=90,2,1))</x:f>
        <x:v>1</x:v>
      </x:c>
      <x:c r="M197" s="7" t="n">
        <x:f>IF(G197&gt;=8,3,IF(G197&gt;=3,2,1))</x:f>
        <x:v>1</x:v>
      </x:c>
      <x:c r="N197" s="7" t="n">
        <x:f>IF(H197&gt;=600,3,IF(H197&gt;=200,2,1))</x:f>
        <x:v>1</x:v>
      </x:c>
      <x:c r="O197" s="1" t="str">
        <x:f>IF(AND(L197=3,M197=3),"Champions",IF(AND(L197=1,M197&gt;=2),"At risk",IF(AND(L197=3,M197=1),"New",IF(AND(L197=1,M197=1),"Hibernating",IF(AND(L197=2,M197=1),"Promising","Loyal")))))</x:f>
        <x:v>Hibernating</x:v>
      </x:c>
    </x:row>
    <x:row r="198">
      <x:c r="A198" s="1" t="str">
        <x:v>C0197</x:v>
      </x:c>
      <x:c r="B198" s="1" t="str">
        <x:v>Samuel</x:v>
      </x:c>
      <x:c r="C198" s="1" t="str">
        <x:v>customer0197@example.com</x:v>
      </x:c>
      <x:c r="D198" s="1" t="str">
        <x:v>Australia</x:v>
      </x:c>
      <x:c r="E198" s="5" t="d">
        <x:v>2025-04-10T00:00:00.000Z</x:v>
      </x:c>
      <x:c r="F198" s="5" t="d">
        <x:v>2026-05-13T00:00:00.000Z</x:v>
      </x:c>
      <x:c r="G198" s="1" t="n">
        <x:v>8</x:v>
      </x:c>
      <x:c r="H198" s="6" t="n">
        <x:v>1144.91</x:v>
      </x:c>
      <x:c r="I198" s="1" t="n">
        <x:v>1</x:v>
      </x:c>
      <x:c r="J198" s="1" t="str">
        <x:v>app</x:v>
      </x:c>
      <x:c r="K198" s="7" t="n">
        <x:f>DATE(2026,10,1)-F198</x:f>
        <x:v>141</x:v>
      </x:c>
      <x:c r="L198" s="7" t="n">
        <x:f>IF(K198&lt;=30,3,IF(K198&lt;=90,2,1))</x:f>
        <x:v>1</x:v>
      </x:c>
      <x:c r="M198" s="7" t="n">
        <x:f>IF(G198&gt;=8,3,IF(G198&gt;=3,2,1))</x:f>
        <x:v>3</x:v>
      </x:c>
      <x:c r="N198" s="7" t="n">
        <x:f>IF(H198&gt;=600,3,IF(H198&gt;=200,2,1))</x:f>
        <x:v>3</x:v>
      </x:c>
      <x:c r="O198" s="1" t="str">
        <x:f>IF(AND(L198=3,M198=3),"Champions",IF(AND(L198=1,M198&gt;=2),"At risk",IF(AND(L198=3,M198=1),"New",IF(AND(L198=1,M198=1),"Hibernating",IF(AND(L198=2,M198=1),"Promising","Loyal")))))</x:f>
        <x:v>At risk</x:v>
      </x:c>
    </x:row>
    <x:row r="199">
      <x:c r="A199" s="1" t="str">
        <x:v>C0198</x:v>
      </x:c>
      <x:c r="B199" s="1" t="str">
        <x:v>Ethan</x:v>
      </x:c>
      <x:c r="C199" s="1" t="str">
        <x:v>customer0198@example.com</x:v>
      </x:c>
      <x:c r="D199" s="1" t="str">
        <x:v>Brazil</x:v>
      </x:c>
      <x:c r="E199" s="5" t="d">
        <x:v>2026-02-02T00:00:00.000Z</x:v>
      </x:c>
      <x:c r="F199" s="5" t="d">
        <x:v>2026-08-25T00:00:00.000Z</x:v>
      </x:c>
      <x:c r="G199" s="1" t="n">
        <x:v>4</x:v>
      </x:c>
      <x:c r="H199" s="6" t="n">
        <x:v>701.35</x:v>
      </x:c>
      <x:c r="I199" s="1" t="n">
        <x:v>1</x:v>
      </x:c>
      <x:c r="J199" s="1" t="str">
        <x:v>store</x:v>
      </x:c>
      <x:c r="K199" s="7" t="n">
        <x:f>DATE(2026,10,1)-F199</x:f>
        <x:v>37</x:v>
      </x:c>
      <x:c r="L199" s="7" t="n">
        <x:f>IF(K199&lt;=30,3,IF(K199&lt;=90,2,1))</x:f>
        <x:v>2</x:v>
      </x:c>
      <x:c r="M199" s="7" t="n">
        <x:f>IF(G199&gt;=8,3,IF(G199&gt;=3,2,1))</x:f>
        <x:v>2</x:v>
      </x:c>
      <x:c r="N199" s="7" t="n">
        <x:f>IF(H199&gt;=600,3,IF(H199&gt;=200,2,1))</x:f>
        <x:v>3</x:v>
      </x:c>
      <x:c r="O199" s="1" t="str">
        <x:f>IF(AND(L199=3,M199=3),"Champions",IF(AND(L199=1,M199&gt;=2),"At risk",IF(AND(L199=3,M199=1),"New",IF(AND(L199=1,M199=1),"Hibernating",IF(AND(L199=2,M199=1),"Promising","Loyal")))))</x:f>
        <x:v>Loyal</x:v>
      </x:c>
    </x:row>
    <x:row r="200">
      <x:c r="A200" s="1" t="str">
        <x:v>C0199</x:v>
      </x:c>
      <x:c r="B200" s="1" t="str">
        <x:v>Yara</x:v>
      </x:c>
      <x:c r="C200" s="1" t="str">
        <x:v>customer0199@example.com</x:v>
      </x:c>
      <x:c r="D200" s="1" t="str">
        <x:v>Brazil</x:v>
      </x:c>
      <x:c r="E200" s="5" t="d">
        <x:v>2024-07-22T00:00:00.000Z</x:v>
      </x:c>
      <x:c r="F200" s="5" t="d">
        <x:v>2026-05-07T00:00:00.000Z</x:v>
      </x:c>
      <x:c r="G200" s="1" t="n">
        <x:v>10</x:v>
      </x:c>
      <x:c r="H200" s="6" t="n">
        <x:v>839.02</x:v>
      </x:c>
      <x:c r="I200" s="1" t="n">
        <x:v>8</x:v>
      </x:c>
      <x:c r="J200" s="1" t="str">
        <x:v>web</x:v>
      </x:c>
      <x:c r="K200" s="7" t="n">
        <x:f>DATE(2026,10,1)-F200</x:f>
        <x:v>147</x:v>
      </x:c>
      <x:c r="L200" s="7" t="n">
        <x:f>IF(K200&lt;=30,3,IF(K200&lt;=90,2,1))</x:f>
        <x:v>1</x:v>
      </x:c>
      <x:c r="M200" s="7" t="n">
        <x:f>IF(G200&gt;=8,3,IF(G200&gt;=3,2,1))</x:f>
        <x:v>3</x:v>
      </x:c>
      <x:c r="N200" s="7" t="n">
        <x:f>IF(H200&gt;=600,3,IF(H200&gt;=200,2,1))</x:f>
        <x:v>3</x:v>
      </x:c>
      <x:c r="O200" s="1" t="str">
        <x:f>IF(AND(L200=3,M200=3),"Champions",IF(AND(L200=1,M200&gt;=2),"At risk",IF(AND(L200=3,M200=1),"New",IF(AND(L200=1,M200=1),"Hibernating",IF(AND(L200=2,M200=1),"Promising","Loyal")))))</x:f>
        <x:v>At risk</x:v>
      </x:c>
    </x:row>
    <x:row r="201">
      <x:c r="A201" s="1" t="str">
        <x:v>C0200</x:v>
      </x:c>
      <x:c r="B201" s="1" t="str">
        <x:v>Mateo</x:v>
      </x:c>
      <x:c r="C201" s="1" t="str">
        <x:v>customer0200@example.com</x:v>
      </x:c>
      <x:c r="D201" s="1" t="str">
        <x:v>Japan</x:v>
      </x:c>
      <x:c r="E201" s="5" t="d">
        <x:v>2025-08-28T00:00:00.000Z</x:v>
      </x:c>
      <x:c r="F201" s="5" t="d">
        <x:v>2026-03-04T00:00:00.000Z</x:v>
      </x:c>
      <x:c r="G201" s="1" t="n">
        <x:v>6</x:v>
      </x:c>
      <x:c r="H201" s="6" t="n">
        <x:v>1388.82</x:v>
      </x:c>
      <x:c r="I201" s="1" t="n">
        <x:v>12</x:v>
      </x:c>
      <x:c r="J201" s="1" t="str">
        <x:v>app</x:v>
      </x:c>
      <x:c r="K201" s="7" t="n">
        <x:f>DATE(2026,10,1)-F201</x:f>
        <x:v>211</x:v>
      </x:c>
      <x:c r="L201" s="7" t="n">
        <x:f>IF(K201&lt;=30,3,IF(K201&lt;=90,2,1))</x:f>
        <x:v>1</x:v>
      </x:c>
      <x:c r="M201" s="7" t="n">
        <x:f>IF(G201&gt;=8,3,IF(G201&gt;=3,2,1))</x:f>
        <x:v>2</x:v>
      </x:c>
      <x:c r="N201" s="7" t="n">
        <x:f>IF(H201&gt;=600,3,IF(H201&gt;=200,2,1))</x:f>
        <x:v>3</x:v>
      </x:c>
      <x:c r="O201" s="1" t="str">
        <x:f>IF(AND(L201=3,M201=3),"Champions",IF(AND(L201=1,M201&gt;=2),"At risk",IF(AND(L201=3,M201=1),"New",IF(AND(L201=1,M201=1),"Hibernating",IF(AND(L201=2,M201=1),"Promising","Loyal")))))</x:f>
        <x:v>At risk</x:v>
      </x:c>
    </x:row>
    <x:row r="202">
      <x:c r="A202" s="1" t="str">
        <x:v>C0201</x:v>
      </x:c>
      <x:c r="B202" s="1" t="str">
        <x:v>Omar</x:v>
      </x:c>
      <x:c r="C202" s="1" t="str">
        <x:v>customer0201@example.com</x:v>
      </x:c>
      <x:c r="D202" s="1" t="str">
        <x:v>UAE</x:v>
      </x:c>
      <x:c r="E202" s="5" t="d">
        <x:v>2026-08-26T00:00:00.000Z</x:v>
      </x:c>
      <x:c r="F202" s="5" t="d">
        <x:v>2026-09-11T00:00:00.000Z</x:v>
      </x:c>
      <x:c r="G202" s="1" t="n">
        <x:v>2</x:v>
      </x:c>
      <x:c r="H202" s="6" t="n">
        <x:v>122.01</x:v>
      </x:c>
      <x:c r="I202" s="1" t="n">
        <x:v>6</x:v>
      </x:c>
      <x:c r="J202" s="1" t="str">
        <x:v>app</x:v>
      </x:c>
      <x:c r="K202" s="7" t="n">
        <x:f>DATE(2026,10,1)-F202</x:f>
        <x:v>20</x:v>
      </x:c>
      <x:c r="L202" s="7" t="n">
        <x:f>IF(K202&lt;=30,3,IF(K202&lt;=90,2,1))</x:f>
        <x:v>3</x:v>
      </x:c>
      <x:c r="M202" s="7" t="n">
        <x:f>IF(G202&gt;=8,3,IF(G202&gt;=3,2,1))</x:f>
        <x:v>1</x:v>
      </x:c>
      <x:c r="N202" s="7" t="n">
        <x:f>IF(H202&gt;=600,3,IF(H202&gt;=200,2,1))</x:f>
        <x:v>1</x:v>
      </x:c>
      <x:c r="O202" s="1" t="str">
        <x:f>IF(AND(L202=3,M202=3),"Champions",IF(AND(L202=1,M202&gt;=2),"At risk",IF(AND(L202=3,M202=1),"New",IF(AND(L202=1,M202=1),"Hibernating",IF(AND(L202=2,M202=1),"Promising","Loyal")))))</x:f>
        <x:v>New</x:v>
      </x:c>
    </x:row>
    <x:row r="203">
      <x:c r="A203" s="1" t="str">
        <x:v>C0202</x:v>
      </x:c>
      <x:c r="B203" s="1" t="str">
        <x:v>Chloe</x:v>
      </x:c>
      <x:c r="C203" s="1" t="str">
        <x:v>customer0202@example.com</x:v>
      </x:c>
      <x:c r="D203" s="1" t="str">
        <x:v>Nigeria</x:v>
      </x:c>
      <x:c r="E203" s="5" t="d">
        <x:v>2024-10-26T00:00:00.000Z</x:v>
      </x:c>
      <x:c r="F203" s="5" t="d">
        <x:v>2026-09-17T00:00:00.000Z</x:v>
      </x:c>
      <x:c r="G203" s="1" t="n">
        <x:v>14</x:v>
      </x:c>
      <x:c r="H203" s="6" t="n">
        <x:v>1605.7</x:v>
      </x:c>
      <x:c r="I203" s="1" t="n">
        <x:v>4</x:v>
      </x:c>
      <x:c r="J203" s="1" t="str">
        <x:v>app</x:v>
      </x:c>
      <x:c r="K203" s="7" t="n">
        <x:f>DATE(2026,10,1)-F203</x:f>
        <x:v>14</x:v>
      </x:c>
      <x:c r="L203" s="7" t="n">
        <x:f>IF(K203&lt;=30,3,IF(K203&lt;=90,2,1))</x:f>
        <x:v>3</x:v>
      </x:c>
      <x:c r="M203" s="7" t="n">
        <x:f>IF(G203&gt;=8,3,IF(G203&gt;=3,2,1))</x:f>
        <x:v>3</x:v>
      </x:c>
      <x:c r="N203" s="7" t="n">
        <x:f>IF(H203&gt;=600,3,IF(H203&gt;=200,2,1))</x:f>
        <x:v>3</x:v>
      </x:c>
      <x:c r="O203" s="1" t="str">
        <x:f>IF(AND(L203=3,M203=3),"Champions",IF(AND(L203=1,M203&gt;=2),"At risk",IF(AND(L203=3,M203=1),"New",IF(AND(L203=1,M203=1),"Hibernating",IF(AND(L203=2,M203=1),"Promising","Loyal")))))</x:f>
        <x:v>Champions</x:v>
      </x:c>
    </x:row>
    <x:row r="204">
      <x:c r="A204" s="1" t="str">
        <x:v>C0203</x:v>
      </x:c>
      <x:c r="B204" s="1" t="str">
        <x:v>Noah</x:v>
      </x:c>
      <x:c r="C204" s="1" t="str">
        <x:v>customer0203@example.com</x:v>
      </x:c>
      <x:c r="D204" s="1" t="str">
        <x:v>USA</x:v>
      </x:c>
      <x:c r="E204" s="5" t="d">
        <x:v>2025-06-26T00:00:00.000Z</x:v>
      </x:c>
      <x:c r="F204" s="5" t="d">
        <x:v>2026-08-01T00:00:00.000Z</x:v>
      </x:c>
      <x:c r="G204" s="1" t="n">
        <x:v>7</x:v>
      </x:c>
      <x:c r="H204" s="6" t="n">
        <x:v>880.05</x:v>
      </x:c>
      <x:c r="I204" s="1" t="n">
        <x:v>2</x:v>
      </x:c>
      <x:c r="J204" s="1" t="str">
        <x:v>app</x:v>
      </x:c>
      <x:c r="K204" s="7" t="n">
        <x:f>DATE(2026,10,1)-F204</x:f>
        <x:v>61</x:v>
      </x:c>
      <x:c r="L204" s="7" t="n">
        <x:f>IF(K204&lt;=30,3,IF(K204&lt;=90,2,1))</x:f>
        <x:v>2</x:v>
      </x:c>
      <x:c r="M204" s="7" t="n">
        <x:f>IF(G204&gt;=8,3,IF(G204&gt;=3,2,1))</x:f>
        <x:v>2</x:v>
      </x:c>
      <x:c r="N204" s="7" t="n">
        <x:f>IF(H204&gt;=600,3,IF(H204&gt;=200,2,1))</x:f>
        <x:v>3</x:v>
      </x:c>
      <x:c r="O204" s="1" t="str">
        <x:f>IF(AND(L204=3,M204=3),"Champions",IF(AND(L204=1,M204&gt;=2),"At risk",IF(AND(L204=3,M204=1),"New",IF(AND(L204=1,M204=1),"Hibernating",IF(AND(L204=2,M204=1),"Promising","Loyal")))))</x:f>
        <x:v>Loyal</x:v>
      </x:c>
    </x:row>
    <x:row r="205">
      <x:c r="A205" s="1" t="str">
        <x:v>C0204</x:v>
      </x:c>
      <x:c r="B205" s="1" t="str">
        <x:v>Elena</x:v>
      </x:c>
      <x:c r="C205" s="1" t="str">
        <x:v>customer0204@example.com</x:v>
      </x:c>
      <x:c r="D205" s="1" t="str">
        <x:v>USA</x:v>
      </x:c>
      <x:c r="E205" s="5" t="d">
        <x:v>2024-10-21T00:00:00.000Z</x:v>
      </x:c>
      <x:c r="F205" s="5" t="d">
        <x:v>2026-05-19T00:00:00.000Z</x:v>
      </x:c>
      <x:c r="G205" s="1" t="n">
        <x:v>1</x:v>
      </x:c>
      <x:c r="H205" s="6" t="n">
        <x:v>97.1</x:v>
      </x:c>
      <x:c r="I205" s="1" t="n">
        <x:v>2</x:v>
      </x:c>
      <x:c r="J205" s="1" t="str">
        <x:v>web</x:v>
      </x:c>
      <x:c r="K205" s="7" t="n">
        <x:f>DATE(2026,10,1)-F205</x:f>
        <x:v>135</x:v>
      </x:c>
      <x:c r="L205" s="7" t="n">
        <x:f>IF(K205&lt;=30,3,IF(K205&lt;=90,2,1))</x:f>
        <x:v>1</x:v>
      </x:c>
      <x:c r="M205" s="7" t="n">
        <x:f>IF(G205&gt;=8,3,IF(G205&gt;=3,2,1))</x:f>
        <x:v>1</x:v>
      </x:c>
      <x:c r="N205" s="7" t="n">
        <x:f>IF(H205&gt;=600,3,IF(H205&gt;=200,2,1))</x:f>
        <x:v>1</x:v>
      </x:c>
      <x:c r="O205" s="1" t="str">
        <x:f>IF(AND(L205=3,M205=3),"Champions",IF(AND(L205=1,M205&gt;=2),"At risk",IF(AND(L205=3,M205=1),"New",IF(AND(L205=1,M205=1),"Hibernating",IF(AND(L205=2,M205=1),"Promising","Loyal")))))</x:f>
        <x:v>Hibernating</x:v>
      </x:c>
    </x:row>
    <x:row r="206">
      <x:c r="A206" s="1" t="str">
        <x:v>C0205</x:v>
      </x:c>
      <x:c r="B206" s="1" t="str">
        <x:v>Kai</x:v>
      </x:c>
      <x:c r="C206" s="1" t="str">
        <x:v>customer0205@example.com</x:v>
      </x:c>
      <x:c r="D206" s="1" t="str">
        <x:v>Japan</x:v>
      </x:c>
      <x:c r="E206" s="5" t="d">
        <x:v>2026-08-17T00:00:00.000Z</x:v>
      </x:c>
      <x:c r="F206" s="5" t="d">
        <x:v>2026-09-04T00:00:00.000Z</x:v>
      </x:c>
      <x:c r="G206" s="1" t="n">
        <x:v>2</x:v>
      </x:c>
      <x:c r="H206" s="6" t="n">
        <x:v>94.9</x:v>
      </x:c>
      <x:c r="I206" s="1" t="n">
        <x:v>10</x:v>
      </x:c>
      <x:c r="J206" s="1" t="str">
        <x:v>app</x:v>
      </x:c>
      <x:c r="K206" s="7" t="n">
        <x:f>DATE(2026,10,1)-F206</x:f>
        <x:v>27</x:v>
      </x:c>
      <x:c r="L206" s="7" t="n">
        <x:f>IF(K206&lt;=30,3,IF(K206&lt;=90,2,1))</x:f>
        <x:v>3</x:v>
      </x:c>
      <x:c r="M206" s="7" t="n">
        <x:f>IF(G206&gt;=8,3,IF(G206&gt;=3,2,1))</x:f>
        <x:v>1</x:v>
      </x:c>
      <x:c r="N206" s="7" t="n">
        <x:f>IF(H206&gt;=600,3,IF(H206&gt;=200,2,1))</x:f>
        <x:v>1</x:v>
      </x:c>
      <x:c r="O206" s="1" t="str">
        <x:f>IF(AND(L206=3,M206=3),"Champions",IF(AND(L206=1,M206&gt;=2),"At risk",IF(AND(L206=3,M206=1),"New",IF(AND(L206=1,M206=1),"Hibernating",IF(AND(L206=2,M206=1),"Promising","Loyal")))))</x:f>
        <x:v>New</x:v>
      </x:c>
    </x:row>
    <x:row r="207">
      <x:c r="A207" s="1" t="str">
        <x:v>C0206</x:v>
      </x:c>
      <x:c r="B207" s="1" t="str">
        <x:v>Omar</x:v>
      </x:c>
      <x:c r="C207" s="1" t="str">
        <x:v>customer0206@example.com</x:v>
      </x:c>
      <x:c r="D207" s="1" t="str">
        <x:v>UAE</x:v>
      </x:c>
      <x:c r="E207" s="5" t="d">
        <x:v>2025-03-05T00:00:00.000Z</x:v>
      </x:c>
      <x:c r="F207" s="5" t="d">
        <x:v>2025-10-26T00:00:00.000Z</x:v>
      </x:c>
      <x:c r="G207" s="1" t="n">
        <x:v>2</x:v>
      </x:c>
      <x:c r="H207" s="6" t="n">
        <x:v>152.13</x:v>
      </x:c>
      <x:c r="I207" s="1" t="n">
        <x:v>10</x:v>
      </x:c>
      <x:c r="J207" s="1" t="str">
        <x:v>web</x:v>
      </x:c>
      <x:c r="K207" s="7" t="n">
        <x:f>DATE(2026,10,1)-F207</x:f>
        <x:v>340</x:v>
      </x:c>
      <x:c r="L207" s="7" t="n">
        <x:f>IF(K207&lt;=30,3,IF(K207&lt;=90,2,1))</x:f>
        <x:v>1</x:v>
      </x:c>
      <x:c r="M207" s="7" t="n">
        <x:f>IF(G207&gt;=8,3,IF(G207&gt;=3,2,1))</x:f>
        <x:v>1</x:v>
      </x:c>
      <x:c r="N207" s="7" t="n">
        <x:f>IF(H207&gt;=600,3,IF(H207&gt;=200,2,1))</x:f>
        <x:v>1</x:v>
      </x:c>
      <x:c r="O207" s="1" t="str">
        <x:f>IF(AND(L207=3,M207=3),"Champions",IF(AND(L207=1,M207&gt;=2),"At risk",IF(AND(L207=3,M207=1),"New",IF(AND(L207=1,M207=1),"Hibernating",IF(AND(L207=2,M207=1),"Promising","Loyal")))))</x:f>
        <x:v>Hibernating</x:v>
      </x:c>
    </x:row>
    <x:row r="208">
      <x:c r="A208" s="1" t="str">
        <x:v>C0207</x:v>
      </x:c>
      <x:c r="B208" s="1" t="str">
        <x:v>Chloe</x:v>
      </x:c>
      <x:c r="C208" s="1" t="str">
        <x:v>customer0207@example.com</x:v>
      </x:c>
      <x:c r="D208" s="1" t="str">
        <x:v>USA</x:v>
      </x:c>
      <x:c r="E208" s="5" t="d">
        <x:v>2025-06-06T00:00:00.000Z</x:v>
      </x:c>
      <x:c r="F208" s="5" t="d">
        <x:v>2026-03-20T00:00:00.000Z</x:v>
      </x:c>
      <x:c r="G208" s="1" t="n">
        <x:v>2</x:v>
      </x:c>
      <x:c r="H208" s="6" t="n">
        <x:v>15.47</x:v>
      </x:c>
      <x:c r="I208" s="1" t="n">
        <x:v>10</x:v>
      </x:c>
      <x:c r="J208" s="1" t="str">
        <x:v>web</x:v>
      </x:c>
      <x:c r="K208" s="7" t="n">
        <x:f>DATE(2026,10,1)-F208</x:f>
        <x:v>195</x:v>
      </x:c>
      <x:c r="L208" s="7" t="n">
        <x:f>IF(K208&lt;=30,3,IF(K208&lt;=90,2,1))</x:f>
        <x:v>1</x:v>
      </x:c>
      <x:c r="M208" s="7" t="n">
        <x:f>IF(G208&gt;=8,3,IF(G208&gt;=3,2,1))</x:f>
        <x:v>1</x:v>
      </x:c>
      <x:c r="N208" s="7" t="n">
        <x:f>IF(H208&gt;=600,3,IF(H208&gt;=200,2,1))</x:f>
        <x:v>1</x:v>
      </x:c>
      <x:c r="O208" s="1" t="str">
        <x:f>IF(AND(L208=3,M208=3),"Champions",IF(AND(L208=1,M208&gt;=2),"At risk",IF(AND(L208=3,M208=1),"New",IF(AND(L208=1,M208=1),"Hibernating",IF(AND(L208=2,M208=1),"Promising","Loyal")))))</x:f>
        <x:v>Hibernating</x:v>
      </x:c>
    </x:row>
    <x:row r="209">
      <x:c r="A209" s="1" t="str">
        <x:v>C0208</x:v>
      </x:c>
      <x:c r="B209" s="1" t="str">
        <x:v>Nia</x:v>
      </x:c>
      <x:c r="C209" s="1" t="str">
        <x:v>customer0208@example.com</x:v>
      </x:c>
      <x:c r="D209" s="1" t="str">
        <x:v>Brazil</x:v>
      </x:c>
      <x:c r="E209" s="5" t="d">
        <x:v>2026-04-25T00:00:00.000Z</x:v>
      </x:c>
      <x:c r="F209" s="5" t="d">
        <x:v>2026-07-21T00:00:00.000Z</x:v>
      </x:c>
      <x:c r="G209" s="1" t="n">
        <x:v>6</x:v>
      </x:c>
      <x:c r="H209" s="6" t="n">
        <x:v>636.35</x:v>
      </x:c>
      <x:c r="I209" s="1" t="n">
        <x:v>2</x:v>
      </x:c>
      <x:c r="J209" s="1" t="str">
        <x:v>web</x:v>
      </x:c>
      <x:c r="K209" s="7" t="n">
        <x:f>DATE(2026,10,1)-F209</x:f>
        <x:v>72</x:v>
      </x:c>
      <x:c r="L209" s="7" t="n">
        <x:f>IF(K209&lt;=30,3,IF(K209&lt;=90,2,1))</x:f>
        <x:v>2</x:v>
      </x:c>
      <x:c r="M209" s="7" t="n">
        <x:f>IF(G209&gt;=8,3,IF(G209&gt;=3,2,1))</x:f>
        <x:v>2</x:v>
      </x:c>
      <x:c r="N209" s="7" t="n">
        <x:f>IF(H209&gt;=600,3,IF(H209&gt;=200,2,1))</x:f>
        <x:v>3</x:v>
      </x:c>
      <x:c r="O209" s="1" t="str">
        <x:f>IF(AND(L209=3,M209=3),"Champions",IF(AND(L209=1,M209&gt;=2),"At risk",IF(AND(L209=3,M209=1),"New",IF(AND(L209=1,M209=1),"Hibernating",IF(AND(L209=2,M209=1),"Promising","Loyal")))))</x:f>
        <x:v>Loyal</x:v>
      </x:c>
    </x:row>
    <x:row r="210">
      <x:c r="A210" s="1" t="str">
        <x:v>C0209</x:v>
      </x:c>
      <x:c r="B210" s="1" t="str">
        <x:v>Yara</x:v>
      </x:c>
      <x:c r="C210" s="1" t="str">
        <x:v>customer0209@example.com</x:v>
      </x:c>
      <x:c r="D210" s="1" t="str">
        <x:v>UK</x:v>
      </x:c>
      <x:c r="E210" s="5" t="d">
        <x:v>2025-06-27T00:00:00.000Z</x:v>
      </x:c>
      <x:c r="F210" s="5" t="d">
        <x:v>2026-05-25T00:00:00.000Z</x:v>
      </x:c>
      <x:c r="G210" s="1" t="n">
        <x:v>1</x:v>
      </x:c>
      <x:c r="H210" s="6" t="n">
        <x:v>159.88</x:v>
      </x:c>
      <x:c r="I210" s="1" t="n">
        <x:v>8</x:v>
      </x:c>
      <x:c r="J210" s="1" t="str">
        <x:v>web</x:v>
      </x:c>
      <x:c r="K210" s="7" t="n">
        <x:f>DATE(2026,10,1)-F210</x:f>
        <x:v>129</x:v>
      </x:c>
      <x:c r="L210" s="7" t="n">
        <x:f>IF(K210&lt;=30,3,IF(K210&lt;=90,2,1))</x:f>
        <x:v>1</x:v>
      </x:c>
      <x:c r="M210" s="7" t="n">
        <x:f>IF(G210&gt;=8,3,IF(G210&gt;=3,2,1))</x:f>
        <x:v>1</x:v>
      </x:c>
      <x:c r="N210" s="7" t="n">
        <x:f>IF(H210&gt;=600,3,IF(H210&gt;=200,2,1))</x:f>
        <x:v>1</x:v>
      </x:c>
      <x:c r="O210" s="1" t="str">
        <x:f>IF(AND(L210=3,M210=3),"Champions",IF(AND(L210=1,M210&gt;=2),"At risk",IF(AND(L210=3,M210=1),"New",IF(AND(L210=1,M210=1),"Hibernating",IF(AND(L210=2,M210=1),"Promising","Loyal")))))</x:f>
        <x:v>Hibernating</x:v>
      </x:c>
    </x:row>
    <x:row r="211">
      <x:c r="A211" s="1" t="str">
        <x:v>C0210</x:v>
      </x:c>
      <x:c r="B211" s="1" t="str">
        <x:v>Felix</x:v>
      </x:c>
      <x:c r="C211" s="1" t="str">
        <x:v>customer0210@example.com</x:v>
      </x:c>
      <x:c r="D211" s="1" t="str">
        <x:v>Germany</x:v>
      </x:c>
      <x:c r="E211" s="5" t="d">
        <x:v>2026-09-26T00:00:00.000Z</x:v>
      </x:c>
      <x:c r="F211" s="5" t="d">
        <x:v>2026-09-30T00:00:00.000Z</x:v>
      </x:c>
      <x:c r="G211" s="1" t="n">
        <x:v>1</x:v>
      </x:c>
      <x:c r="H211" s="6" t="n">
        <x:v>53.56</x:v>
      </x:c>
      <x:c r="I211" s="1" t="n">
        <x:v>4</x:v>
      </x:c>
      <x:c r="J211" s="1" t="str">
        <x:v>store</x:v>
      </x:c>
      <x:c r="K211" s="7" t="n">
        <x:f>DATE(2026,10,1)-F211</x:f>
        <x:v>1</x:v>
      </x:c>
      <x:c r="L211" s="7" t="n">
        <x:f>IF(K211&lt;=30,3,IF(K211&lt;=90,2,1))</x:f>
        <x:v>3</x:v>
      </x:c>
      <x:c r="M211" s="7" t="n">
        <x:f>IF(G211&gt;=8,3,IF(G211&gt;=3,2,1))</x:f>
        <x:v>1</x:v>
      </x:c>
      <x:c r="N211" s="7" t="n">
        <x:f>IF(H211&gt;=600,3,IF(H211&gt;=200,2,1))</x:f>
        <x:v>1</x:v>
      </x:c>
      <x:c r="O211" s="1" t="str">
        <x:f>IF(AND(L211=3,M211=3),"Champions",IF(AND(L211=1,M211&gt;=2),"At risk",IF(AND(L211=3,M211=1),"New",IF(AND(L211=1,M211=1),"Hibernating",IF(AND(L211=2,M211=1),"Promising","Loyal")))))</x:f>
        <x:v>New</x:v>
      </x:c>
    </x:row>
    <x:row r="212">
      <x:c r="A212" s="1" t="str">
        <x:v>C0211</x:v>
      </x:c>
      <x:c r="B212" s="1" t="str">
        <x:v>Chloe</x:v>
      </x:c>
      <x:c r="C212" s="1" t="str">
        <x:v>customer0211@example.com</x:v>
      </x:c>
      <x:c r="D212" s="1" t="str">
        <x:v>UK</x:v>
      </x:c>
      <x:c r="E212" s="5" t="d">
        <x:v>2025-06-21T00:00:00.000Z</x:v>
      </x:c>
      <x:c r="F212" s="5" t="d">
        <x:v>2026-09-26T00:00:00.000Z</x:v>
      </x:c>
      <x:c r="G212" s="1" t="n">
        <x:v>11</x:v>
      </x:c>
      <x:c r="H212" s="6" t="n">
        <x:v>897.06</x:v>
      </x:c>
      <x:c r="I212" s="1" t="n">
        <x:v>3</x:v>
      </x:c>
      <x:c r="J212" s="1" t="str">
        <x:v>web</x:v>
      </x:c>
      <x:c r="K212" s="7" t="n">
        <x:f>DATE(2026,10,1)-F212</x:f>
        <x:v>5</x:v>
      </x:c>
      <x:c r="L212" s="7" t="n">
        <x:f>IF(K212&lt;=30,3,IF(K212&lt;=90,2,1))</x:f>
        <x:v>3</x:v>
      </x:c>
      <x:c r="M212" s="7" t="n">
        <x:f>IF(G212&gt;=8,3,IF(G212&gt;=3,2,1))</x:f>
        <x:v>3</x:v>
      </x:c>
      <x:c r="N212" s="7" t="n">
        <x:f>IF(H212&gt;=600,3,IF(H212&gt;=200,2,1))</x:f>
        <x:v>3</x:v>
      </x:c>
      <x:c r="O212" s="1" t="str">
        <x:f>IF(AND(L212=3,M212=3),"Champions",IF(AND(L212=1,M212&gt;=2),"At risk",IF(AND(L212=3,M212=1),"New",IF(AND(L212=1,M212=1),"Hibernating",IF(AND(L212=2,M212=1),"Promising","Loyal")))))</x:f>
        <x:v>Champions</x:v>
      </x:c>
    </x:row>
    <x:row r="213">
      <x:c r="A213" s="1" t="str">
        <x:v>C0212</x:v>
      </x:c>
      <x:c r="B213" s="1" t="str">
        <x:v>Yara</x:v>
      </x:c>
      <x:c r="C213" s="1" t="str">
        <x:v>customer0212@example.com</x:v>
      </x:c>
      <x:c r="D213" s="1" t="str">
        <x:v>Germany</x:v>
      </x:c>
      <x:c r="E213" s="5" t="d">
        <x:v>2024-09-15T00:00:00.000Z</x:v>
      </x:c>
      <x:c r="F213" s="5" t="d">
        <x:v>2026-03-30T00:00:00.000Z</x:v>
      </x:c>
      <x:c r="G213" s="1" t="n">
        <x:v>1</x:v>
      </x:c>
      <x:c r="H213" s="6" t="n">
        <x:v>131.98</x:v>
      </x:c>
      <x:c r="I213" s="1" t="n">
        <x:v>3</x:v>
      </x:c>
      <x:c r="J213" s="1" t="str">
        <x:v>web</x:v>
      </x:c>
      <x:c r="K213" s="7" t="n">
        <x:f>DATE(2026,10,1)-F213</x:f>
        <x:v>185</x:v>
      </x:c>
      <x:c r="L213" s="7" t="n">
        <x:f>IF(K213&lt;=30,3,IF(K213&lt;=90,2,1))</x:f>
        <x:v>1</x:v>
      </x:c>
      <x:c r="M213" s="7" t="n">
        <x:f>IF(G213&gt;=8,3,IF(G213&gt;=3,2,1))</x:f>
        <x:v>1</x:v>
      </x:c>
      <x:c r="N213" s="7" t="n">
        <x:f>IF(H213&gt;=600,3,IF(H213&gt;=200,2,1))</x:f>
        <x:v>1</x:v>
      </x:c>
      <x:c r="O213" s="1" t="str">
        <x:f>IF(AND(L213=3,M213=3),"Champions",IF(AND(L213=1,M213&gt;=2),"At risk",IF(AND(L213=3,M213=1),"New",IF(AND(L213=1,M213=1),"Hibernating",IF(AND(L213=2,M213=1),"Promising","Loyal")))))</x:f>
        <x:v>Hibernating</x:v>
      </x:c>
    </x:row>
    <x:row r="214">
      <x:c r="A214" s="1" t="str">
        <x:v>C0213</x:v>
      </x:c>
      <x:c r="B214" s="1" t="str">
        <x:v>Nia</x:v>
      </x:c>
      <x:c r="C214" s="1" t="str">
        <x:v>customer0213@example.com</x:v>
      </x:c>
      <x:c r="D214" s="1" t="str">
        <x:v>Singapore</x:v>
      </x:c>
      <x:c r="E214" s="5" t="d">
        <x:v>2026-08-17T00:00:00.000Z</x:v>
      </x:c>
      <x:c r="F214" s="5" t="d">
        <x:v>2026-09-14T00:00:00.000Z</x:v>
      </x:c>
      <x:c r="G214" s="1" t="n">
        <x:v>1</x:v>
      </x:c>
      <x:c r="H214" s="6" t="n">
        <x:v>138.71</x:v>
      </x:c>
      <x:c r="I214" s="1" t="n">
        <x:v>8</x:v>
      </x:c>
      <x:c r="J214" s="1" t="str">
        <x:v>app</x:v>
      </x:c>
      <x:c r="K214" s="7" t="n">
        <x:f>DATE(2026,10,1)-F214</x:f>
        <x:v>17</x:v>
      </x:c>
      <x:c r="L214" s="7" t="n">
        <x:f>IF(K214&lt;=30,3,IF(K214&lt;=90,2,1))</x:f>
        <x:v>3</x:v>
      </x:c>
      <x:c r="M214" s="7" t="n">
        <x:f>IF(G214&gt;=8,3,IF(G214&gt;=3,2,1))</x:f>
        <x:v>1</x:v>
      </x:c>
      <x:c r="N214" s="7" t="n">
        <x:f>IF(H214&gt;=600,3,IF(H214&gt;=200,2,1))</x:f>
        <x:v>1</x:v>
      </x:c>
      <x:c r="O214" s="1" t="str">
        <x:f>IF(AND(L214=3,M214=3),"Champions",IF(AND(L214=1,M214&gt;=2),"At risk",IF(AND(L214=3,M214=1),"New",IF(AND(L214=1,M214=1),"Hibernating",IF(AND(L214=2,M214=1),"Promising","Loyal")))))</x:f>
        <x:v>New</x:v>
      </x:c>
    </x:row>
    <x:row r="215">
      <x:c r="A215" s="1" t="str">
        <x:v>C0214</x:v>
      </x:c>
      <x:c r="B215" s="1" t="str">
        <x:v>Lina</x:v>
      </x:c>
      <x:c r="C215" s="1" t="str">
        <x:v>customer0214@example.com</x:v>
      </x:c>
      <x:c r="D215" s="1" t="str">
        <x:v>India</x:v>
      </x:c>
      <x:c r="E215" s="5" t="d">
        <x:v>2025-04-06T00:00:00.000Z</x:v>
      </x:c>
      <x:c r="F215" s="5" t="d">
        <x:v>2026-08-23T00:00:00.000Z</x:v>
      </x:c>
      <x:c r="G215" s="1" t="n">
        <x:v>9</x:v>
      </x:c>
      <x:c r="H215" s="6" t="n">
        <x:v>297.54</x:v>
      </x:c>
      <x:c r="I215" s="1" t="n">
        <x:v>7</x:v>
      </x:c>
      <x:c r="J215" s="1" t="str">
        <x:v>web</x:v>
      </x:c>
      <x:c r="K215" s="7" t="n">
        <x:f>DATE(2026,10,1)-F215</x:f>
        <x:v>39</x:v>
      </x:c>
      <x:c r="L215" s="7" t="n">
        <x:f>IF(K215&lt;=30,3,IF(K215&lt;=90,2,1))</x:f>
        <x:v>2</x:v>
      </x:c>
      <x:c r="M215" s="7" t="n">
        <x:f>IF(G215&gt;=8,3,IF(G215&gt;=3,2,1))</x:f>
        <x:v>3</x:v>
      </x:c>
      <x:c r="N215" s="7" t="n">
        <x:f>IF(H215&gt;=600,3,IF(H215&gt;=200,2,1))</x:f>
        <x:v>2</x:v>
      </x:c>
      <x:c r="O215" s="1" t="str">
        <x:f>IF(AND(L215=3,M215=3),"Champions",IF(AND(L215=1,M215&gt;=2),"At risk",IF(AND(L215=3,M215=1),"New",IF(AND(L215=1,M215=1),"Hibernating",IF(AND(L215=2,M215=1),"Promising","Loyal")))))</x:f>
        <x:v>Loyal</x:v>
      </x:c>
    </x:row>
    <x:row r="216">
      <x:c r="A216" s="1" t="str">
        <x:v>C0215</x:v>
      </x:c>
      <x:c r="B216" s="1" t="str">
        <x:v>Aisha</x:v>
      </x:c>
      <x:c r="C216" s="1" t="str">
        <x:v>customer0215@example.com</x:v>
      </x:c>
      <x:c r="D216" s="1" t="str">
        <x:v>India</x:v>
      </x:c>
      <x:c r="E216" s="5" t="d">
        <x:v>2024-04-11T00:00:00.000Z</x:v>
      </x:c>
      <x:c r="F216" s="5" t="d">
        <x:v>2025-10-15T00:00:00.000Z</x:v>
      </x:c>
      <x:c r="G216" s="1" t="n">
        <x:v>1</x:v>
      </x:c>
      <x:c r="H216" s="6" t="n">
        <x:v>102.18</x:v>
      </x:c>
      <x:c r="I216" s="1" t="n">
        <x:v>2</x:v>
      </x:c>
      <x:c r="J216" s="1" t="str">
        <x:v>web</x:v>
      </x:c>
      <x:c r="K216" s="7" t="n">
        <x:f>DATE(2026,10,1)-F216</x:f>
        <x:v>351</x:v>
      </x:c>
      <x:c r="L216" s="7" t="n">
        <x:f>IF(K216&lt;=30,3,IF(K216&lt;=90,2,1))</x:f>
        <x:v>1</x:v>
      </x:c>
      <x:c r="M216" s="7" t="n">
        <x:f>IF(G216&gt;=8,3,IF(G216&gt;=3,2,1))</x:f>
        <x:v>1</x:v>
      </x:c>
      <x:c r="N216" s="7" t="n">
        <x:f>IF(H216&gt;=600,3,IF(H216&gt;=200,2,1))</x:f>
        <x:v>1</x:v>
      </x:c>
      <x:c r="O216" s="1" t="str">
        <x:f>IF(AND(L216=3,M216=3),"Champions",IF(AND(L216=1,M216&gt;=2),"At risk",IF(AND(L216=3,M216=1),"New",IF(AND(L216=1,M216=1),"Hibernating",IF(AND(L216=2,M216=1),"Promising","Loyal")))))</x:f>
        <x:v>Hibernating</x:v>
      </x:c>
    </x:row>
    <x:row r="217">
      <x:c r="A217" s="1" t="str">
        <x:v>C0216</x:v>
      </x:c>
      <x:c r="B217" s="1" t="str">
        <x:v>Chloe</x:v>
      </x:c>
      <x:c r="C217" s="1" t="str">
        <x:v>customer0216@example.com</x:v>
      </x:c>
      <x:c r="D217" s="1" t="str">
        <x:v>UAE</x:v>
      </x:c>
      <x:c r="E217" s="5" t="d">
        <x:v>2024-10-16T00:00:00.000Z</x:v>
      </x:c>
      <x:c r="F217" s="5" t="d">
        <x:v>2026-02-04T00:00:00.000Z</x:v>
      </x:c>
      <x:c r="G217" s="1" t="n">
        <x:v>10</x:v>
      </x:c>
      <x:c r="H217" s="6" t="n">
        <x:v>1015.1</x:v>
      </x:c>
      <x:c r="I217" s="1" t="n">
        <x:v>6</x:v>
      </x:c>
      <x:c r="J217" s="1" t="str">
        <x:v>store</x:v>
      </x:c>
      <x:c r="K217" s="7" t="n">
        <x:f>DATE(2026,10,1)-F217</x:f>
        <x:v>239</x:v>
      </x:c>
      <x:c r="L217" s="7" t="n">
        <x:f>IF(K217&lt;=30,3,IF(K217&lt;=90,2,1))</x:f>
        <x:v>1</x:v>
      </x:c>
      <x:c r="M217" s="7" t="n">
        <x:f>IF(G217&gt;=8,3,IF(G217&gt;=3,2,1))</x:f>
        <x:v>3</x:v>
      </x:c>
      <x:c r="N217" s="7" t="n">
        <x:f>IF(H217&gt;=600,3,IF(H217&gt;=200,2,1))</x:f>
        <x:v>3</x:v>
      </x:c>
      <x:c r="O217" s="1" t="str">
        <x:f>IF(AND(L217=3,M217=3),"Champions",IF(AND(L217=1,M217&gt;=2),"At risk",IF(AND(L217=3,M217=1),"New",IF(AND(L217=1,M217=1),"Hibernating",IF(AND(L217=2,M217=1),"Promising","Loyal")))))</x:f>
        <x:v>At risk</x:v>
      </x:c>
    </x:row>
    <x:row r="218">
      <x:c r="A218" s="1" t="str">
        <x:v>C0217</x:v>
      </x:c>
      <x:c r="B218" s="1" t="str">
        <x:v>Aarav</x:v>
      </x:c>
      <x:c r="C218" s="1" t="str">
        <x:v>customer0217@example.com</x:v>
      </x:c>
      <x:c r="D218" s="1" t="str">
        <x:v>Nigeria</x:v>
      </x:c>
      <x:c r="E218" s="5" t="d">
        <x:v>2026-08-12T00:00:00.000Z</x:v>
      </x:c>
      <x:c r="F218" s="5" t="d">
        <x:v>2026-09-10T00:00:00.000Z</x:v>
      </x:c>
      <x:c r="G218" s="1" t="n">
        <x:v>13</x:v>
      </x:c>
      <x:c r="H218" s="6" t="n">
        <x:v>1617.8</x:v>
      </x:c>
      <x:c r="I218" s="1" t="n">
        <x:v>0</x:v>
      </x:c>
      <x:c r="J218" s="1" t="str">
        <x:v>store</x:v>
      </x:c>
      <x:c r="K218" s="7" t="n">
        <x:f>DATE(2026,10,1)-F218</x:f>
        <x:v>21</x:v>
      </x:c>
      <x:c r="L218" s="7" t="n">
        <x:f>IF(K218&lt;=30,3,IF(K218&lt;=90,2,1))</x:f>
        <x:v>3</x:v>
      </x:c>
      <x:c r="M218" s="7" t="n">
        <x:f>IF(G218&gt;=8,3,IF(G218&gt;=3,2,1))</x:f>
        <x:v>3</x:v>
      </x:c>
      <x:c r="N218" s="7" t="n">
        <x:f>IF(H218&gt;=600,3,IF(H218&gt;=200,2,1))</x:f>
        <x:v>3</x:v>
      </x:c>
      <x:c r="O218" s="1" t="str">
        <x:f>IF(AND(L218=3,M218=3),"Champions",IF(AND(L218=1,M218&gt;=2),"At risk",IF(AND(L218=3,M218=1),"New",IF(AND(L218=1,M218=1),"Hibernating",IF(AND(L218=2,M218=1),"Promising","Loyal")))))</x:f>
        <x:v>Champions</x:v>
      </x:c>
    </x:row>
    <x:row r="219">
      <x:c r="A219" s="1" t="str">
        <x:v>C0218</x:v>
      </x:c>
      <x:c r="B219" s="1" t="str">
        <x:v>Kai</x:v>
      </x:c>
      <x:c r="C219" s="1" t="str">
        <x:v>customer0218@example.com</x:v>
      </x:c>
      <x:c r="D219" s="1" t="str">
        <x:v>UK</x:v>
      </x:c>
      <x:c r="E219" s="5" t="d">
        <x:v>2026-08-20T00:00:00.000Z</x:v>
      </x:c>
      <x:c r="F219" s="5" t="d">
        <x:v>2026-09-20T00:00:00.000Z</x:v>
      </x:c>
      <x:c r="G219" s="1" t="n">
        <x:v>1</x:v>
      </x:c>
      <x:c r="H219" s="6" t="n">
        <x:v>101.7</x:v>
      </x:c>
      <x:c r="I219" s="1" t="n">
        <x:v>0</x:v>
      </x:c>
      <x:c r="J219" s="1" t="str">
        <x:v>app</x:v>
      </x:c>
      <x:c r="K219" s="7" t="n">
        <x:f>DATE(2026,10,1)-F219</x:f>
        <x:v>11</x:v>
      </x:c>
      <x:c r="L219" s="7" t="n">
        <x:f>IF(K219&lt;=30,3,IF(K219&lt;=90,2,1))</x:f>
        <x:v>3</x:v>
      </x:c>
      <x:c r="M219" s="7" t="n">
        <x:f>IF(G219&gt;=8,3,IF(G219&gt;=3,2,1))</x:f>
        <x:v>1</x:v>
      </x:c>
      <x:c r="N219" s="7" t="n">
        <x:f>IF(H219&gt;=600,3,IF(H219&gt;=200,2,1))</x:f>
        <x:v>1</x:v>
      </x:c>
      <x:c r="O219" s="1" t="str">
        <x:f>IF(AND(L219=3,M219=3),"Champions",IF(AND(L219=1,M219&gt;=2),"At risk",IF(AND(L219=3,M219=1),"New",IF(AND(L219=1,M219=1),"Hibernating",IF(AND(L219=2,M219=1),"Promising","Loyal")))))</x:f>
        <x:v>New</x:v>
      </x:c>
    </x:row>
    <x:row r="220">
      <x:c r="A220" s="1" t="str">
        <x:v>C0219</x:v>
      </x:c>
      <x:c r="B220" s="1" t="str">
        <x:v>Ravi</x:v>
      </x:c>
      <x:c r="C220" s="1" t="str">
        <x:v>customer0219@example.com</x:v>
      </x:c>
      <x:c r="D220" s="1" t="str">
        <x:v>Australia</x:v>
      </x:c>
      <x:c r="E220" s="5" t="d">
        <x:v>2026-08-18T00:00:00.000Z</x:v>
      </x:c>
      <x:c r="F220" s="5" t="d">
        <x:v>2026-09-10T00:00:00.000Z</x:v>
      </x:c>
      <x:c r="G220" s="1" t="n">
        <x:v>1</x:v>
      </x:c>
      <x:c r="H220" s="6" t="n">
        <x:v>74.18</x:v>
      </x:c>
      <x:c r="I220" s="1" t="n">
        <x:v>12</x:v>
      </x:c>
      <x:c r="J220" s="1" t="str">
        <x:v>store</x:v>
      </x:c>
      <x:c r="K220" s="7" t="n">
        <x:f>DATE(2026,10,1)-F220</x:f>
        <x:v>21</x:v>
      </x:c>
      <x:c r="L220" s="7" t="n">
        <x:f>IF(K220&lt;=30,3,IF(K220&lt;=90,2,1))</x:f>
        <x:v>3</x:v>
      </x:c>
      <x:c r="M220" s="7" t="n">
        <x:f>IF(G220&gt;=8,3,IF(G220&gt;=3,2,1))</x:f>
        <x:v>1</x:v>
      </x:c>
      <x:c r="N220" s="7" t="n">
        <x:f>IF(H220&gt;=600,3,IF(H220&gt;=200,2,1))</x:f>
        <x:v>1</x:v>
      </x:c>
      <x:c r="O220" s="1" t="str">
        <x:f>IF(AND(L220=3,M220=3),"Champions",IF(AND(L220=1,M220&gt;=2),"At risk",IF(AND(L220=3,M220=1),"New",IF(AND(L220=1,M220=1),"Hibernating",IF(AND(L220=2,M220=1),"Promising","Loyal")))))</x:f>
        <x:v>New</x:v>
      </x:c>
    </x:row>
    <x:row r="221">
      <x:c r="A221" s="1" t="str">
        <x:v>C0220</x:v>
      </x:c>
      <x:c r="B221" s="1" t="str">
        <x:v>Omar</x:v>
      </x:c>
      <x:c r="C221" s="1" t="str">
        <x:v>customer0220@example.com</x:v>
      </x:c>
      <x:c r="D221" s="1" t="str">
        <x:v>Japan</x:v>
      </x:c>
      <x:c r="E221" s="5" t="d">
        <x:v>2025-02-28T00:00:00.000Z</x:v>
      </x:c>
      <x:c r="F221" s="5" t="d">
        <x:v>2026-05-06T00:00:00.000Z</x:v>
      </x:c>
      <x:c r="G221" s="1" t="n">
        <x:v>7</x:v>
      </x:c>
      <x:c r="H221" s="6" t="n">
        <x:v>750.47</x:v>
      </x:c>
      <x:c r="I221" s="1" t="n">
        <x:v>0</x:v>
      </x:c>
      <x:c r="J221" s="1" t="str">
        <x:v>web</x:v>
      </x:c>
      <x:c r="K221" s="7" t="n">
        <x:f>DATE(2026,10,1)-F221</x:f>
        <x:v>148</x:v>
      </x:c>
      <x:c r="L221" s="7" t="n">
        <x:f>IF(K221&lt;=30,3,IF(K221&lt;=90,2,1))</x:f>
        <x:v>1</x:v>
      </x:c>
      <x:c r="M221" s="7" t="n">
        <x:f>IF(G221&gt;=8,3,IF(G221&gt;=3,2,1))</x:f>
        <x:v>2</x:v>
      </x:c>
      <x:c r="N221" s="7" t="n">
        <x:f>IF(H221&gt;=600,3,IF(H221&gt;=200,2,1))</x:f>
        <x:v>3</x:v>
      </x:c>
      <x:c r="O221" s="1" t="str">
        <x:f>IF(AND(L221=3,M221=3),"Champions",IF(AND(L221=1,M221&gt;=2),"At risk",IF(AND(L221=3,M221=1),"New",IF(AND(L221=1,M221=1),"Hibernating",IF(AND(L221=2,M221=1),"Promising","Loyal")))))</x:f>
        <x:v>At risk</x:v>
      </x:c>
    </x:row>
    <x:row r="222">
      <x:c r="A222" s="1" t="str">
        <x:v>C0221</x:v>
      </x:c>
      <x:c r="B222" s="1" t="str">
        <x:v>Mei</x:v>
      </x:c>
      <x:c r="C222" s="1" t="str">
        <x:v>customer0221@example.com</x:v>
      </x:c>
      <x:c r="D222" s="1" t="str">
        <x:v>Japan</x:v>
      </x:c>
      <x:c r="E222" s="5" t="d">
        <x:v>2025-10-15T00:00:00.000Z</x:v>
      </x:c>
      <x:c r="F222" s="5" t="d">
        <x:v>2026-07-20T00:00:00.000Z</x:v>
      </x:c>
      <x:c r="G222" s="1" t="n">
        <x:v>6</x:v>
      </x:c>
      <x:c r="H222" s="6" t="n">
        <x:v>433.61</x:v>
      </x:c>
      <x:c r="I222" s="1" t="n">
        <x:v>5</x:v>
      </x:c>
      <x:c r="J222" s="1" t="str">
        <x:v>app</x:v>
      </x:c>
      <x:c r="K222" s="7" t="n">
        <x:f>DATE(2026,10,1)-F222</x:f>
        <x:v>73</x:v>
      </x:c>
      <x:c r="L222" s="7" t="n">
        <x:f>IF(K222&lt;=30,3,IF(K222&lt;=90,2,1))</x:f>
        <x:v>2</x:v>
      </x:c>
      <x:c r="M222" s="7" t="n">
        <x:f>IF(G222&gt;=8,3,IF(G222&gt;=3,2,1))</x:f>
        <x:v>2</x:v>
      </x:c>
      <x:c r="N222" s="7" t="n">
        <x:f>IF(H222&gt;=600,3,IF(H222&gt;=200,2,1))</x:f>
        <x:v>2</x:v>
      </x:c>
      <x:c r="O222" s="1" t="str">
        <x:f>IF(AND(L222=3,M222=3),"Champions",IF(AND(L222=1,M222&gt;=2),"At risk",IF(AND(L222=3,M222=1),"New",IF(AND(L222=1,M222=1),"Hibernating",IF(AND(L222=2,M222=1),"Promising","Loyal")))))</x:f>
        <x:v>Loyal</x:v>
      </x:c>
    </x:row>
    <x:row r="223">
      <x:c r="A223" s="1" t="str">
        <x:v>C0222</x:v>
      </x:c>
      <x:c r="B223" s="1" t="str">
        <x:v>Arjun</x:v>
      </x:c>
      <x:c r="C223" s="1" t="str">
        <x:v>customer0222@example.com</x:v>
      </x:c>
      <x:c r="D223" s="1" t="str">
        <x:v>Germany</x:v>
      </x:c>
      <x:c r="E223" s="5" t="d">
        <x:v>2026-08-16T00:00:00.000Z</x:v>
      </x:c>
      <x:c r="F223" s="5" t="d">
        <x:v>2026-09-05T00:00:00.000Z</x:v>
      </x:c>
      <x:c r="G223" s="1" t="n">
        <x:v>1</x:v>
      </x:c>
      <x:c r="H223" s="6" t="n">
        <x:v>72.94</x:v>
      </x:c>
      <x:c r="I223" s="1" t="n">
        <x:v>2</x:v>
      </x:c>
      <x:c r="J223" s="1" t="str">
        <x:v>store</x:v>
      </x:c>
      <x:c r="K223" s="7" t="n">
        <x:f>DATE(2026,10,1)-F223</x:f>
        <x:v>26</x:v>
      </x:c>
      <x:c r="L223" s="7" t="n">
        <x:f>IF(K223&lt;=30,3,IF(K223&lt;=90,2,1))</x:f>
        <x:v>3</x:v>
      </x:c>
      <x:c r="M223" s="7" t="n">
        <x:f>IF(G223&gt;=8,3,IF(G223&gt;=3,2,1))</x:f>
        <x:v>1</x:v>
      </x:c>
      <x:c r="N223" s="7" t="n">
        <x:f>IF(H223&gt;=600,3,IF(H223&gt;=200,2,1))</x:f>
        <x:v>1</x:v>
      </x:c>
      <x:c r="O223" s="1" t="str">
        <x:f>IF(AND(L223=3,M223=3),"Champions",IF(AND(L223=1,M223&gt;=2),"At risk",IF(AND(L223=3,M223=1),"New",IF(AND(L223=1,M223=1),"Hibernating",IF(AND(L223=2,M223=1),"Promising","Loyal")))))</x:f>
        <x:v>New</x:v>
      </x:c>
    </x:row>
    <x:row r="224">
      <x:c r="A224" s="1" t="str">
        <x:v>C0223</x:v>
      </x:c>
      <x:c r="B224" s="1" t="str">
        <x:v>Jonas</x:v>
      </x:c>
      <x:c r="C224" s="1" t="str">
        <x:v>customer0223@example.com</x:v>
      </x:c>
      <x:c r="D224" s="1" t="str">
        <x:v>UAE</x:v>
      </x:c>
      <x:c r="E224" s="5" t="d">
        <x:v>2024-10-20T00:00:00.000Z</x:v>
      </x:c>
      <x:c r="F224" s="5" t="d">
        <x:v>2026-05-10T00:00:00.000Z</x:v>
      </x:c>
      <x:c r="G224" s="1" t="n">
        <x:v>1</x:v>
      </x:c>
      <x:c r="H224" s="6" t="n">
        <x:v>84.8</x:v>
      </x:c>
      <x:c r="I224" s="1" t="n">
        <x:v>8</x:v>
      </x:c>
      <x:c r="J224" s="1" t="str">
        <x:v>store</x:v>
      </x:c>
      <x:c r="K224" s="7" t="n">
        <x:f>DATE(2026,10,1)-F224</x:f>
        <x:v>144</x:v>
      </x:c>
      <x:c r="L224" s="7" t="n">
        <x:f>IF(K224&lt;=30,3,IF(K224&lt;=90,2,1))</x:f>
        <x:v>1</x:v>
      </x:c>
      <x:c r="M224" s="7" t="n">
        <x:f>IF(G224&gt;=8,3,IF(G224&gt;=3,2,1))</x:f>
        <x:v>1</x:v>
      </x:c>
      <x:c r="N224" s="7" t="n">
        <x:f>IF(H224&gt;=600,3,IF(H224&gt;=200,2,1))</x:f>
        <x:v>1</x:v>
      </x:c>
      <x:c r="O224" s="1" t="str">
        <x:f>IF(AND(L224=3,M224=3),"Champions",IF(AND(L224=1,M224&gt;=2),"At risk",IF(AND(L224=3,M224=1),"New",IF(AND(L224=1,M224=1),"Hibernating",IF(AND(L224=2,M224=1),"Promising","Loyal")))))</x:f>
        <x:v>Hibernating</x:v>
      </x:c>
    </x:row>
    <x:row r="225">
      <x:c r="A225" s="1" t="str">
        <x:v>C0224</x:v>
      </x:c>
      <x:c r="B225" s="1" t="str">
        <x:v>Samuel</x:v>
      </x:c>
      <x:c r="C225" s="1" t="str">
        <x:v>customer0224@example.com</x:v>
      </x:c>
      <x:c r="D225" s="1" t="str">
        <x:v>Australia</x:v>
      </x:c>
      <x:c r="E225" s="5" t="d">
        <x:v>2026-03-11T00:00:00.000Z</x:v>
      </x:c>
      <x:c r="F225" s="5" t="d">
        <x:v>2026-09-21T00:00:00.000Z</x:v>
      </x:c>
      <x:c r="G225" s="1" t="n">
        <x:v>9</x:v>
      </x:c>
      <x:c r="H225" s="6" t="n">
        <x:v>609.94</x:v>
      </x:c>
      <x:c r="I225" s="1" t="n">
        <x:v>9</x:v>
      </x:c>
      <x:c r="J225" s="1" t="str">
        <x:v>store</x:v>
      </x:c>
      <x:c r="K225" s="7" t="n">
        <x:f>DATE(2026,10,1)-F225</x:f>
        <x:v>10</x:v>
      </x:c>
      <x:c r="L225" s="7" t="n">
        <x:f>IF(K225&lt;=30,3,IF(K225&lt;=90,2,1))</x:f>
        <x:v>3</x:v>
      </x:c>
      <x:c r="M225" s="7" t="n">
        <x:f>IF(G225&gt;=8,3,IF(G225&gt;=3,2,1))</x:f>
        <x:v>3</x:v>
      </x:c>
      <x:c r="N225" s="7" t="n">
        <x:f>IF(H225&gt;=600,3,IF(H225&gt;=200,2,1))</x:f>
        <x:v>3</x:v>
      </x:c>
      <x:c r="O225" s="1" t="str">
        <x:f>IF(AND(L225=3,M225=3),"Champions",IF(AND(L225=1,M225&gt;=2),"At risk",IF(AND(L225=3,M225=1),"New",IF(AND(L225=1,M225=1),"Hibernating",IF(AND(L225=2,M225=1),"Promising","Loyal")))))</x:f>
        <x:v>Champions</x:v>
      </x:c>
    </x:row>
    <x:row r="226">
      <x:c r="A226" s="1" t="str">
        <x:v>C0225</x:v>
      </x:c>
      <x:c r="B226" s="1" t="str">
        <x:v>Kenji</x:v>
      </x:c>
      <x:c r="C226" s="1" t="str">
        <x:v>customer0225@example.com</x:v>
      </x:c>
      <x:c r="D226" s="1" t="str">
        <x:v>Nigeria</x:v>
      </x:c>
      <x:c r="E226" s="5" t="d">
        <x:v>2024-12-22T00:00:00.000Z</x:v>
      </x:c>
      <x:c r="F226" s="5" t="d">
        <x:v>2026-09-14T00:00:00.000Z</x:v>
      </x:c>
      <x:c r="G226" s="1" t="n">
        <x:v>16</x:v>
      </x:c>
      <x:c r="H226" s="6" t="n">
        <x:v>1578.78</x:v>
      </x:c>
      <x:c r="I226" s="1" t="n">
        <x:v>10</x:v>
      </x:c>
      <x:c r="J226" s="1" t="str">
        <x:v>app</x:v>
      </x:c>
      <x:c r="K226" s="7" t="n">
        <x:f>DATE(2026,10,1)-F226</x:f>
        <x:v>17</x:v>
      </x:c>
      <x:c r="L226" s="7" t="n">
        <x:f>IF(K226&lt;=30,3,IF(K226&lt;=90,2,1))</x:f>
        <x:v>3</x:v>
      </x:c>
      <x:c r="M226" s="7" t="n">
        <x:f>IF(G226&gt;=8,3,IF(G226&gt;=3,2,1))</x:f>
        <x:v>3</x:v>
      </x:c>
      <x:c r="N226" s="7" t="n">
        <x:f>IF(H226&gt;=600,3,IF(H226&gt;=200,2,1))</x:f>
        <x:v>3</x:v>
      </x:c>
      <x:c r="O226" s="1" t="str">
        <x:f>IF(AND(L226=3,M226=3),"Champions",IF(AND(L226=1,M226&gt;=2),"At risk",IF(AND(L226=3,M226=1),"New",IF(AND(L226=1,M226=1),"Hibernating",IF(AND(L226=2,M226=1),"Promising","Loyal")))))</x:f>
        <x:v>Champions</x:v>
      </x:c>
    </x:row>
    <x:row r="227">
      <x:c r="A227" s="1" t="str">
        <x:v>C0226</x:v>
      </x:c>
      <x:c r="B227" s="1" t="str">
        <x:v>Nia</x:v>
      </x:c>
      <x:c r="C227" s="1" t="str">
        <x:v>customer0226@example.com</x:v>
      </x:c>
      <x:c r="D227" s="1" t="str">
        <x:v>UK</x:v>
      </x:c>
      <x:c r="E227" s="5" t="d">
        <x:v>2026-04-13T00:00:00.000Z</x:v>
      </x:c>
      <x:c r="F227" s="5" t="d">
        <x:v>2026-07-25T00:00:00.000Z</x:v>
      </x:c>
      <x:c r="G227" s="1" t="n">
        <x:v>8</x:v>
      </x:c>
      <x:c r="H227" s="6" t="n">
        <x:v>733.87</x:v>
      </x:c>
      <x:c r="I227" s="1" t="n">
        <x:v>0</x:v>
      </x:c>
      <x:c r="J227" s="1" t="str">
        <x:v>web</x:v>
      </x:c>
      <x:c r="K227" s="7" t="n">
        <x:f>DATE(2026,10,1)-F227</x:f>
        <x:v>68</x:v>
      </x:c>
      <x:c r="L227" s="7" t="n">
        <x:f>IF(K227&lt;=30,3,IF(K227&lt;=90,2,1))</x:f>
        <x:v>2</x:v>
      </x:c>
      <x:c r="M227" s="7" t="n">
        <x:f>IF(G227&gt;=8,3,IF(G227&gt;=3,2,1))</x:f>
        <x:v>3</x:v>
      </x:c>
      <x:c r="N227" s="7" t="n">
        <x:f>IF(H227&gt;=600,3,IF(H227&gt;=200,2,1))</x:f>
        <x:v>3</x:v>
      </x:c>
      <x:c r="O227" s="1" t="str">
        <x:f>IF(AND(L227=3,M227=3),"Champions",IF(AND(L227=1,M227&gt;=2),"At risk",IF(AND(L227=3,M227=1),"New",IF(AND(L227=1,M227=1),"Hibernating",IF(AND(L227=2,M227=1),"Promising","Loyal")))))</x:f>
        <x:v>Loyal</x:v>
      </x:c>
    </x:row>
    <x:row r="228">
      <x:c r="A228" s="1" t="str">
        <x:v>C0227</x:v>
      </x:c>
      <x:c r="B228" s="1" t="str">
        <x:v>Yara</x:v>
      </x:c>
      <x:c r="C228" s="1" t="str">
        <x:v>customer0227@example.com</x:v>
      </x:c>
      <x:c r="D228" s="1" t="str">
        <x:v>Germany</x:v>
      </x:c>
      <x:c r="E228" s="5" t="d">
        <x:v>2026-01-26T00:00:00.000Z</x:v>
      </x:c>
      <x:c r="F228" s="5" t="d">
        <x:v>2026-06-17T00:00:00.000Z</x:v>
      </x:c>
      <x:c r="G228" s="1" t="n">
        <x:v>2</x:v>
      </x:c>
      <x:c r="H228" s="6" t="n">
        <x:v>167.59</x:v>
      </x:c>
      <x:c r="I228" s="1" t="n">
        <x:v>8</x:v>
      </x:c>
      <x:c r="J228" s="1" t="str">
        <x:v>store</x:v>
      </x:c>
      <x:c r="K228" s="7" t="n">
        <x:f>DATE(2026,10,1)-F228</x:f>
        <x:v>106</x:v>
      </x:c>
      <x:c r="L228" s="7" t="n">
        <x:f>IF(K228&lt;=30,3,IF(K228&lt;=90,2,1))</x:f>
        <x:v>1</x:v>
      </x:c>
      <x:c r="M228" s="7" t="n">
        <x:f>IF(G228&gt;=8,3,IF(G228&gt;=3,2,1))</x:f>
        <x:v>1</x:v>
      </x:c>
      <x:c r="N228" s="7" t="n">
        <x:f>IF(H228&gt;=600,3,IF(H228&gt;=200,2,1))</x:f>
        <x:v>1</x:v>
      </x:c>
      <x:c r="O228" s="1" t="str">
        <x:f>IF(AND(L228=3,M228=3),"Champions",IF(AND(L228=1,M228&gt;=2),"At risk",IF(AND(L228=3,M228=1),"New",IF(AND(L228=1,M228=1),"Hibernating",IF(AND(L228=2,M228=1),"Promising","Loyal")))))</x:f>
        <x:v>Hibernating</x:v>
      </x:c>
    </x:row>
    <x:row r="229">
      <x:c r="A229" s="1" t="str">
        <x:v>C0228</x:v>
      </x:c>
      <x:c r="B229" s="1" t="str">
        <x:v>Aarav</x:v>
      </x:c>
      <x:c r="C229" s="1" t="str">
        <x:v>customer0228@example.com</x:v>
      </x:c>
      <x:c r="D229" s="1" t="str">
        <x:v>UAE</x:v>
      </x:c>
      <x:c r="E229" s="5" t="d">
        <x:v>2025-09-22T00:00:00.000Z</x:v>
      </x:c>
      <x:c r="F229" s="5" t="d">
        <x:v>2026-08-14T00:00:00.000Z</x:v>
      </x:c>
      <x:c r="G229" s="1" t="n">
        <x:v>4</x:v>
      </x:c>
      <x:c r="H229" s="6" t="n">
        <x:v>495.25</x:v>
      </x:c>
      <x:c r="I229" s="1" t="n">
        <x:v>9</x:v>
      </x:c>
      <x:c r="J229" s="1" t="str">
        <x:v>store</x:v>
      </x:c>
      <x:c r="K229" s="7" t="n">
        <x:f>DATE(2026,10,1)-F229</x:f>
        <x:v>48</x:v>
      </x:c>
      <x:c r="L229" s="7" t="n">
        <x:f>IF(K229&lt;=30,3,IF(K229&lt;=90,2,1))</x:f>
        <x:v>2</x:v>
      </x:c>
      <x:c r="M229" s="7" t="n">
        <x:f>IF(G229&gt;=8,3,IF(G229&gt;=3,2,1))</x:f>
        <x:v>2</x:v>
      </x:c>
      <x:c r="N229" s="7" t="n">
        <x:f>IF(H229&gt;=600,3,IF(H229&gt;=200,2,1))</x:f>
        <x:v>2</x:v>
      </x:c>
      <x:c r="O229" s="1" t="str">
        <x:f>IF(AND(L229=3,M229=3),"Champions",IF(AND(L229=1,M229&gt;=2),"At risk",IF(AND(L229=3,M229=1),"New",IF(AND(L229=1,M229=1),"Hibernating",IF(AND(L229=2,M229=1),"Promising","Loyal")))))</x:f>
        <x:v>Loyal</x:v>
      </x:c>
    </x:row>
    <x:row r="230">
      <x:c r="A230" s="1" t="str">
        <x:v>C0229</x:v>
      </x:c>
      <x:c r="B230" s="1" t="str">
        <x:v>Maya</x:v>
      </x:c>
      <x:c r="C230" s="1" t="str">
        <x:v>customer0229@example.com</x:v>
      </x:c>
      <x:c r="D230" s="1" t="str">
        <x:v>Singapore</x:v>
      </x:c>
      <x:c r="E230" s="5" t="d">
        <x:v>2026-07-30T00:00:00.000Z</x:v>
      </x:c>
      <x:c r="F230" s="5" t="d">
        <x:v>2026-09-01T00:00:00.000Z</x:v>
      </x:c>
      <x:c r="G230" s="1" t="n">
        <x:v>1</x:v>
      </x:c>
      <x:c r="H230" s="6" t="n">
        <x:v>99.64</x:v>
      </x:c>
      <x:c r="I230" s="1" t="n">
        <x:v>12</x:v>
      </x:c>
      <x:c r="J230" s="1" t="str">
        <x:v>web</x:v>
      </x:c>
      <x:c r="K230" s="7" t="n">
        <x:f>DATE(2026,10,1)-F230</x:f>
        <x:v>30</x:v>
      </x:c>
      <x:c r="L230" s="7" t="n">
        <x:f>IF(K230&lt;=30,3,IF(K230&lt;=90,2,1))</x:f>
        <x:v>3</x:v>
      </x:c>
      <x:c r="M230" s="7" t="n">
        <x:f>IF(G230&gt;=8,3,IF(G230&gt;=3,2,1))</x:f>
        <x:v>1</x:v>
      </x:c>
      <x:c r="N230" s="7" t="n">
        <x:f>IF(H230&gt;=600,3,IF(H230&gt;=200,2,1))</x:f>
        <x:v>1</x:v>
      </x:c>
      <x:c r="O230" s="1" t="str">
        <x:f>IF(AND(L230=3,M230=3),"Champions",IF(AND(L230=1,M230&gt;=2),"At risk",IF(AND(L230=3,M230=1),"New",IF(AND(L230=1,M230=1),"Hibernating",IF(AND(L230=2,M230=1),"Promising","Loyal")))))</x:f>
        <x:v>New</x:v>
      </x:c>
    </x:row>
    <x:row r="231">
      <x:c r="A231" s="1" t="str">
        <x:v>C0230</x:v>
      </x:c>
      <x:c r="B231" s="1" t="str">
        <x:v>Nia</x:v>
      </x:c>
      <x:c r="C231" s="1" t="str">
        <x:v>customer0230@example.com</x:v>
      </x:c>
      <x:c r="D231" s="1" t="str">
        <x:v>UAE</x:v>
      </x:c>
      <x:c r="E231" s="5" t="d">
        <x:v>2026-09-01T00:00:00.000Z</x:v>
      </x:c>
      <x:c r="F231" s="5" t="d">
        <x:v>2026-09-01T00:00:00.000Z</x:v>
      </x:c>
      <x:c r="G231" s="1" t="n">
        <x:v>2</x:v>
      </x:c>
      <x:c r="H231" s="6" t="n">
        <x:v>91.44</x:v>
      </x:c>
      <x:c r="I231" s="1" t="n">
        <x:v>9</x:v>
      </x:c>
      <x:c r="J231" s="1" t="str">
        <x:v>store</x:v>
      </x:c>
      <x:c r="K231" s="7" t="n">
        <x:f>DATE(2026,10,1)-F231</x:f>
        <x:v>30</x:v>
      </x:c>
      <x:c r="L231" s="7" t="n">
        <x:f>IF(K231&lt;=30,3,IF(K231&lt;=90,2,1))</x:f>
        <x:v>3</x:v>
      </x:c>
      <x:c r="M231" s="7" t="n">
        <x:f>IF(G231&gt;=8,3,IF(G231&gt;=3,2,1))</x:f>
        <x:v>1</x:v>
      </x:c>
      <x:c r="N231" s="7" t="n">
        <x:f>IF(H231&gt;=600,3,IF(H231&gt;=200,2,1))</x:f>
        <x:v>1</x:v>
      </x:c>
      <x:c r="O231" s="1" t="str">
        <x:f>IF(AND(L231=3,M231=3),"Champions",IF(AND(L231=1,M231&gt;=2),"At risk",IF(AND(L231=3,M231=1),"New",IF(AND(L231=1,M231=1),"Hibernating",IF(AND(L231=2,M231=1),"Promising","Loyal")))))</x:f>
        <x:v>New</x:v>
      </x:c>
    </x:row>
    <x:row r="232">
      <x:c r="A232" s="1" t="str">
        <x:v>C0231</x:v>
      </x:c>
      <x:c r="B232" s="1" t="str">
        <x:v>Sofia</x:v>
      </x:c>
      <x:c r="C232" s="1" t="str">
        <x:v>customer0231@example.com</x:v>
      </x:c>
      <x:c r="D232" s="1" t="str">
        <x:v>Singapore</x:v>
      </x:c>
      <x:c r="E232" s="5" t="d">
        <x:v>2024-09-21T00:00:00.000Z</x:v>
      </x:c>
      <x:c r="F232" s="5" t="d">
        <x:v>2026-04-05T00:00:00.000Z</x:v>
      </x:c>
      <x:c r="G232" s="1" t="n">
        <x:v>2</x:v>
      </x:c>
      <x:c r="H232" s="6" t="n">
        <x:v>149.73</x:v>
      </x:c>
      <x:c r="I232" s="1" t="n">
        <x:v>10</x:v>
      </x:c>
      <x:c r="J232" s="1" t="str">
        <x:v>web</x:v>
      </x:c>
      <x:c r="K232" s="7" t="n">
        <x:f>DATE(2026,10,1)-F232</x:f>
        <x:v>179</x:v>
      </x:c>
      <x:c r="L232" s="7" t="n">
        <x:f>IF(K232&lt;=30,3,IF(K232&lt;=90,2,1))</x:f>
        <x:v>1</x:v>
      </x:c>
      <x:c r="M232" s="7" t="n">
        <x:f>IF(G232&gt;=8,3,IF(G232&gt;=3,2,1))</x:f>
        <x:v>1</x:v>
      </x:c>
      <x:c r="N232" s="7" t="n">
        <x:f>IF(H232&gt;=600,3,IF(H232&gt;=200,2,1))</x:f>
        <x:v>1</x:v>
      </x:c>
      <x:c r="O232" s="1" t="str">
        <x:f>IF(AND(L232=3,M232=3),"Champions",IF(AND(L232=1,M232&gt;=2),"At risk",IF(AND(L232=3,M232=1),"New",IF(AND(L232=1,M232=1),"Hibernating",IF(AND(L232=2,M232=1),"Promising","Loyal")))))</x:f>
        <x:v>Hibernating</x:v>
      </x:c>
    </x:row>
    <x:row r="233">
      <x:c r="A233" s="1" t="str">
        <x:v>C0232</x:v>
      </x:c>
      <x:c r="B233" s="1" t="str">
        <x:v>Aarav</x:v>
      </x:c>
      <x:c r="C233" s="1" t="str">
        <x:v>customer0232@example.com</x:v>
      </x:c>
      <x:c r="D233" s="1" t="str">
        <x:v>Singapore</x:v>
      </x:c>
      <x:c r="E233" s="5" t="d">
        <x:v>2026-08-29T00:00:00.000Z</x:v>
      </x:c>
      <x:c r="F233" s="5" t="d">
        <x:v>2026-09-02T00:00:00.000Z</x:v>
      </x:c>
      <x:c r="G233" s="1" t="n">
        <x:v>8</x:v>
      </x:c>
      <x:c r="H233" s="6" t="n">
        <x:v>210.87</x:v>
      </x:c>
      <x:c r="I233" s="1" t="n">
        <x:v>1</x:v>
      </x:c>
      <x:c r="J233" s="1" t="str">
        <x:v>app</x:v>
      </x:c>
      <x:c r="K233" s="7" t="n">
        <x:f>DATE(2026,10,1)-F233</x:f>
        <x:v>29</x:v>
      </x:c>
      <x:c r="L233" s="7" t="n">
        <x:f>IF(K233&lt;=30,3,IF(K233&lt;=90,2,1))</x:f>
        <x:v>3</x:v>
      </x:c>
      <x:c r="M233" s="7" t="n">
        <x:f>IF(G233&gt;=8,3,IF(G233&gt;=3,2,1))</x:f>
        <x:v>3</x:v>
      </x:c>
      <x:c r="N233" s="7" t="n">
        <x:f>IF(H233&gt;=600,3,IF(H233&gt;=200,2,1))</x:f>
        <x:v>2</x:v>
      </x:c>
      <x:c r="O233" s="1" t="str">
        <x:f>IF(AND(L233=3,M233=3),"Champions",IF(AND(L233=1,M233&gt;=2),"At risk",IF(AND(L233=3,M233=1),"New",IF(AND(L233=1,M233=1),"Hibernating",IF(AND(L233=2,M233=1),"Promising","Loyal")))))</x:f>
        <x:v>Champions</x:v>
      </x:c>
    </x:row>
    <x:row r="234">
      <x:c r="A234" s="1" t="str">
        <x:v>C0233</x:v>
      </x:c>
      <x:c r="B234" s="1" t="str">
        <x:v>Zara</x:v>
      </x:c>
      <x:c r="C234" s="1" t="str">
        <x:v>customer0233@example.com</x:v>
      </x:c>
      <x:c r="D234" s="1" t="str">
        <x:v>Australia</x:v>
      </x:c>
      <x:c r="E234" s="5" t="d">
        <x:v>2024-09-13T00:00:00.000Z</x:v>
      </x:c>
      <x:c r="F234" s="5" t="d">
        <x:v>2026-04-18T00:00:00.000Z</x:v>
      </x:c>
      <x:c r="G234" s="1" t="n">
        <x:v>2</x:v>
      </x:c>
      <x:c r="H234" s="6" t="n">
        <x:v>18.11</x:v>
      </x:c>
      <x:c r="I234" s="1" t="n">
        <x:v>11</x:v>
      </x:c>
      <x:c r="J234" s="1" t="str">
        <x:v>store</x:v>
      </x:c>
      <x:c r="K234" s="7" t="n">
        <x:f>DATE(2026,10,1)-F234</x:f>
        <x:v>166</x:v>
      </x:c>
      <x:c r="L234" s="7" t="n">
        <x:f>IF(K234&lt;=30,3,IF(K234&lt;=90,2,1))</x:f>
        <x:v>1</x:v>
      </x:c>
      <x:c r="M234" s="7" t="n">
        <x:f>IF(G234&gt;=8,3,IF(G234&gt;=3,2,1))</x:f>
        <x:v>1</x:v>
      </x:c>
      <x:c r="N234" s="7" t="n">
        <x:f>IF(H234&gt;=600,3,IF(H234&gt;=200,2,1))</x:f>
        <x:v>1</x:v>
      </x:c>
      <x:c r="O234" s="1" t="str">
        <x:f>IF(AND(L234=3,M234=3),"Champions",IF(AND(L234=1,M234&gt;=2),"At risk",IF(AND(L234=3,M234=1),"New",IF(AND(L234=1,M234=1),"Hibernating",IF(AND(L234=2,M234=1),"Promising","Loyal")))))</x:f>
        <x:v>Hibernating</x:v>
      </x:c>
    </x:row>
    <x:row r="235">
      <x:c r="A235" s="1" t="str">
        <x:v>C0234</x:v>
      </x:c>
      <x:c r="B235" s="1" t="str">
        <x:v>Elena</x:v>
      </x:c>
      <x:c r="C235" s="1" t="str">
        <x:v>customer0234@example.com</x:v>
      </x:c>
      <x:c r="D235" s="1" t="str">
        <x:v>Singapore</x:v>
      </x:c>
      <x:c r="E235" s="5" t="d">
        <x:v>2026-04-20T00:00:00.000Z</x:v>
      </x:c>
      <x:c r="F235" s="5" t="d">
        <x:v>2026-09-15T00:00:00.000Z</x:v>
      </x:c>
      <x:c r="G235" s="1" t="n">
        <x:v>5</x:v>
      </x:c>
      <x:c r="H235" s="6" t="n">
        <x:v>741.82</x:v>
      </x:c>
      <x:c r="I235" s="1" t="n">
        <x:v>4</x:v>
      </x:c>
      <x:c r="J235" s="1" t="str">
        <x:v>store</x:v>
      </x:c>
      <x:c r="K235" s="7" t="n">
        <x:f>DATE(2026,10,1)-F235</x:f>
        <x:v>16</x:v>
      </x:c>
      <x:c r="L235" s="7" t="n">
        <x:f>IF(K235&lt;=30,3,IF(K235&lt;=90,2,1))</x:f>
        <x:v>3</x:v>
      </x:c>
      <x:c r="M235" s="7" t="n">
        <x:f>IF(G235&gt;=8,3,IF(G235&gt;=3,2,1))</x:f>
        <x:v>2</x:v>
      </x:c>
      <x:c r="N235" s="7" t="n">
        <x:f>IF(H235&gt;=600,3,IF(H235&gt;=200,2,1))</x:f>
        <x:v>3</x:v>
      </x:c>
      <x:c r="O235" s="1" t="str">
        <x:f>IF(AND(L235=3,M235=3),"Champions",IF(AND(L235=1,M235&gt;=2),"At risk",IF(AND(L235=3,M235=1),"New",IF(AND(L235=1,M235=1),"Hibernating",IF(AND(L235=2,M235=1),"Promising","Loyal")))))</x:f>
        <x:v>Loyal</x:v>
      </x:c>
    </x:row>
    <x:row r="236">
      <x:c r="A236" s="1" t="str">
        <x:v>C0235</x:v>
      </x:c>
      <x:c r="B236" s="1" t="str">
        <x:v>Leila</x:v>
      </x:c>
      <x:c r="C236" s="1" t="str">
        <x:v>customer0235@example.com</x:v>
      </x:c>
      <x:c r="D236" s="1" t="str">
        <x:v>India</x:v>
      </x:c>
      <x:c r="E236" s="5" t="d">
        <x:v>2025-06-06T00:00:00.000Z</x:v>
      </x:c>
      <x:c r="F236" s="5" t="d">
        <x:v>2026-02-21T00:00:00.000Z</x:v>
      </x:c>
      <x:c r="G236" s="1" t="n">
        <x:v>10</x:v>
      </x:c>
      <x:c r="H236" s="6" t="n">
        <x:v>1019.97</x:v>
      </x:c>
      <x:c r="I236" s="1" t="n">
        <x:v>11</x:v>
      </x:c>
      <x:c r="J236" s="1" t="str">
        <x:v>app</x:v>
      </x:c>
      <x:c r="K236" s="7" t="n">
        <x:f>DATE(2026,10,1)-F236</x:f>
        <x:v>222</x:v>
      </x:c>
      <x:c r="L236" s="7" t="n">
        <x:f>IF(K236&lt;=30,3,IF(K236&lt;=90,2,1))</x:f>
        <x:v>1</x:v>
      </x:c>
      <x:c r="M236" s="7" t="n">
        <x:f>IF(G236&gt;=8,3,IF(G236&gt;=3,2,1))</x:f>
        <x:v>3</x:v>
      </x:c>
      <x:c r="N236" s="7" t="n">
        <x:f>IF(H236&gt;=600,3,IF(H236&gt;=200,2,1))</x:f>
        <x:v>3</x:v>
      </x:c>
      <x:c r="O236" s="1" t="str">
        <x:f>IF(AND(L236=3,M236=3),"Champions",IF(AND(L236=1,M236&gt;=2),"At risk",IF(AND(L236=3,M236=1),"New",IF(AND(L236=1,M236=1),"Hibernating",IF(AND(L236=2,M236=1),"Promising","Loyal")))))</x:f>
        <x:v>At risk</x:v>
      </x:c>
    </x:row>
    <x:row r="237">
      <x:c r="A237" s="1" t="str">
        <x:v>C0236</x:v>
      </x:c>
      <x:c r="B237" s="1" t="str">
        <x:v>Leo</x:v>
      </x:c>
      <x:c r="C237" s="1" t="str">
        <x:v>customer0236@example.com</x:v>
      </x:c>
      <x:c r="D237" s="1" t="str">
        <x:v>UAE</x:v>
      </x:c>
      <x:c r="E237" s="5" t="d">
        <x:v>2025-01-05T00:00:00.000Z</x:v>
      </x:c>
      <x:c r="F237" s="5" t="d">
        <x:v>2026-09-30T00:00:00.000Z</x:v>
      </x:c>
      <x:c r="G237" s="1" t="n">
        <x:v>18</x:v>
      </x:c>
      <x:c r="H237" s="6" t="n">
        <x:v>1698.62</x:v>
      </x:c>
      <x:c r="I237" s="1" t="n">
        <x:v>4</x:v>
      </x:c>
      <x:c r="J237" s="1" t="str">
        <x:v>web</x:v>
      </x:c>
      <x:c r="K237" s="7" t="n">
        <x:f>DATE(2026,10,1)-F237</x:f>
        <x:v>1</x:v>
      </x:c>
      <x:c r="L237" s="7" t="n">
        <x:f>IF(K237&lt;=30,3,IF(K237&lt;=90,2,1))</x:f>
        <x:v>3</x:v>
      </x:c>
      <x:c r="M237" s="7" t="n">
        <x:f>IF(G237&gt;=8,3,IF(G237&gt;=3,2,1))</x:f>
        <x:v>3</x:v>
      </x:c>
      <x:c r="N237" s="7" t="n">
        <x:f>IF(H237&gt;=600,3,IF(H237&gt;=200,2,1))</x:f>
        <x:v>3</x:v>
      </x:c>
      <x:c r="O237" s="1" t="str">
        <x:f>IF(AND(L237=3,M237=3),"Champions",IF(AND(L237=1,M237&gt;=2),"At risk",IF(AND(L237=3,M237=1),"New",IF(AND(L237=1,M237=1),"Hibernating",IF(AND(L237=2,M237=1),"Promising","Loyal")))))</x:f>
        <x:v>Champions</x:v>
      </x:c>
    </x:row>
    <x:row r="238">
      <x:c r="A238" s="1" t="str">
        <x:v>C0237</x:v>
      </x:c>
      <x:c r="B238" s="1" t="str">
        <x:v>Chloe</x:v>
      </x:c>
      <x:c r="C238" s="1" t="str">
        <x:v>customer0237@example.com</x:v>
      </x:c>
      <x:c r="D238" s="1" t="str">
        <x:v>Nigeria</x:v>
      </x:c>
      <x:c r="E238" s="5" t="d">
        <x:v>2026-09-05T00:00:00.000Z</x:v>
      </x:c>
      <x:c r="F238" s="5" t="d">
        <x:v>2026-09-25T00:00:00.000Z</x:v>
      </x:c>
      <x:c r="G238" s="1" t="n">
        <x:v>2</x:v>
      </x:c>
      <x:c r="H238" s="6" t="n">
        <x:v>117.43</x:v>
      </x:c>
      <x:c r="I238" s="1" t="n">
        <x:v>11</x:v>
      </x:c>
      <x:c r="J238" s="1" t="str">
        <x:v>web</x:v>
      </x:c>
      <x:c r="K238" s="7" t="n">
        <x:f>DATE(2026,10,1)-F238</x:f>
        <x:v>6</x:v>
      </x:c>
      <x:c r="L238" s="7" t="n">
        <x:f>IF(K238&lt;=30,3,IF(K238&lt;=90,2,1))</x:f>
        <x:v>3</x:v>
      </x:c>
      <x:c r="M238" s="7" t="n">
        <x:f>IF(G238&gt;=8,3,IF(G238&gt;=3,2,1))</x:f>
        <x:v>1</x:v>
      </x:c>
      <x:c r="N238" s="7" t="n">
        <x:f>IF(H238&gt;=600,3,IF(H238&gt;=200,2,1))</x:f>
        <x:v>1</x:v>
      </x:c>
      <x:c r="O238" s="1" t="str">
        <x:f>IF(AND(L238=3,M238=3),"Champions",IF(AND(L238=1,M238&gt;=2),"At risk",IF(AND(L238=3,M238=1),"New",IF(AND(L238=1,M238=1),"Hibernating",IF(AND(L238=2,M238=1),"Promising","Loyal")))))</x:f>
        <x:v>New</x:v>
      </x:c>
    </x:row>
    <x:row r="239">
      <x:c r="A239" s="1" t="str">
        <x:v>C0238</x:v>
      </x:c>
      <x:c r="B239" s="1" t="str">
        <x:v>Chloe</x:v>
      </x:c>
      <x:c r="C239" s="1" t="str">
        <x:v>customer0238@example.com</x:v>
      </x:c>
      <x:c r="D239" s="1" t="str">
        <x:v>UK</x:v>
      </x:c>
      <x:c r="E239" s="5" t="d">
        <x:v>2026-01-18T00:00:00.000Z</x:v>
      </x:c>
      <x:c r="F239" s="5" t="d">
        <x:v>2026-05-17T00:00:00.000Z</x:v>
      </x:c>
      <x:c r="G239" s="1" t="n">
        <x:v>5</x:v>
      </x:c>
      <x:c r="H239" s="6" t="n">
        <x:v>1361.31</x:v>
      </x:c>
      <x:c r="I239" s="1" t="n">
        <x:v>10</x:v>
      </x:c>
      <x:c r="J239" s="1" t="str">
        <x:v>web</x:v>
      </x:c>
      <x:c r="K239" s="7" t="n">
        <x:f>DATE(2026,10,1)-F239</x:f>
        <x:v>137</x:v>
      </x:c>
      <x:c r="L239" s="7" t="n">
        <x:f>IF(K239&lt;=30,3,IF(K239&lt;=90,2,1))</x:f>
        <x:v>1</x:v>
      </x:c>
      <x:c r="M239" s="7" t="n">
        <x:f>IF(G239&gt;=8,3,IF(G239&gt;=3,2,1))</x:f>
        <x:v>2</x:v>
      </x:c>
      <x:c r="N239" s="7" t="n">
        <x:f>IF(H239&gt;=600,3,IF(H239&gt;=200,2,1))</x:f>
        <x:v>3</x:v>
      </x:c>
      <x:c r="O239" s="1" t="str">
        <x:f>IF(AND(L239=3,M239=3),"Champions",IF(AND(L239=1,M239&gt;=2),"At risk",IF(AND(L239=3,M239=1),"New",IF(AND(L239=1,M239=1),"Hibernating",IF(AND(L239=2,M239=1),"Promising","Loyal")))))</x:f>
        <x:v>At risk</x:v>
      </x:c>
    </x:row>
    <x:row r="240">
      <x:c r="A240" s="1" t="str">
        <x:v>C0239</x:v>
      </x:c>
      <x:c r="B240" s="1" t="str">
        <x:v>Ravi</x:v>
      </x:c>
      <x:c r="C240" s="1" t="str">
        <x:v>customer0239@example.com</x:v>
      </x:c>
      <x:c r="D240" s="1" t="str">
        <x:v>Germany</x:v>
      </x:c>
      <x:c r="E240" s="5" t="d">
        <x:v>2024-08-02T00:00:00.000Z</x:v>
      </x:c>
      <x:c r="F240" s="5" t="d">
        <x:v>2026-03-05T00:00:00.000Z</x:v>
      </x:c>
      <x:c r="G240" s="1" t="n">
        <x:v>7</x:v>
      </x:c>
      <x:c r="H240" s="6" t="n">
        <x:v>1152.32</x:v>
      </x:c>
      <x:c r="I240" s="1" t="n">
        <x:v>4</x:v>
      </x:c>
      <x:c r="J240" s="1" t="str">
        <x:v>app</x:v>
      </x:c>
      <x:c r="K240" s="7" t="n">
        <x:f>DATE(2026,10,1)-F240</x:f>
        <x:v>210</x:v>
      </x:c>
      <x:c r="L240" s="7" t="n">
        <x:f>IF(K240&lt;=30,3,IF(K240&lt;=90,2,1))</x:f>
        <x:v>1</x:v>
      </x:c>
      <x:c r="M240" s="7" t="n">
        <x:f>IF(G240&gt;=8,3,IF(G240&gt;=3,2,1))</x:f>
        <x:v>2</x:v>
      </x:c>
      <x:c r="N240" s="7" t="n">
        <x:f>IF(H240&gt;=600,3,IF(H240&gt;=200,2,1))</x:f>
        <x:v>3</x:v>
      </x:c>
      <x:c r="O240" s="1" t="str">
        <x:f>IF(AND(L240=3,M240=3),"Champions",IF(AND(L240=1,M240&gt;=2),"At risk",IF(AND(L240=3,M240=1),"New",IF(AND(L240=1,M240=1),"Hibernating",IF(AND(L240=2,M240=1),"Promising","Loyal")))))</x:f>
        <x:v>At risk</x:v>
      </x:c>
    </x:row>
    <x:row r="241">
      <x:c r="A241" s="1" t="str">
        <x:v>C0240</x:v>
      </x:c>
      <x:c r="B241" s="1" t="str">
        <x:v>Samuel</x:v>
      </x:c>
      <x:c r="C241" s="1" t="str">
        <x:v>customer0240@example.com</x:v>
      </x:c>
      <x:c r="D241" s="1" t="str">
        <x:v>UK</x:v>
      </x:c>
      <x:c r="E241" s="5" t="d">
        <x:v>2026-09-10T00:00:00.000Z</x:v>
      </x:c>
      <x:c r="F241" s="5" t="d">
        <x:v>2026-09-10T00:00:00.000Z</x:v>
      </x:c>
      <x:c r="G241" s="1" t="n">
        <x:v>2</x:v>
      </x:c>
      <x:c r="H241" s="6" t="n">
        <x:v>159.13</x:v>
      </x:c>
      <x:c r="I241" s="1" t="n">
        <x:v>9</x:v>
      </x:c>
      <x:c r="J241" s="1" t="str">
        <x:v>web</x:v>
      </x:c>
      <x:c r="K241" s="7" t="n">
        <x:f>DATE(2026,10,1)-F241</x:f>
        <x:v>21</x:v>
      </x:c>
      <x:c r="L241" s="7" t="n">
        <x:f>IF(K241&lt;=30,3,IF(K241&lt;=90,2,1))</x:f>
        <x:v>3</x:v>
      </x:c>
      <x:c r="M241" s="7" t="n">
        <x:f>IF(G241&gt;=8,3,IF(G241&gt;=3,2,1))</x:f>
        <x:v>1</x:v>
      </x:c>
      <x:c r="N241" s="7" t="n">
        <x:f>IF(H241&gt;=600,3,IF(H241&gt;=200,2,1))</x:f>
        <x:v>1</x:v>
      </x:c>
      <x:c r="O241" s="1" t="str">
        <x:f>IF(AND(L241=3,M241=3),"Champions",IF(AND(L241=1,M241&gt;=2),"At risk",IF(AND(L241=3,M241=1),"New",IF(AND(L241=1,M241=1),"Hibernating",IF(AND(L241=2,M241=1),"Promising","Loyal")))))</x:f>
        <x:v>New</x:v>
      </x:c>
    </x:row>
    <x:row r="242">
      <x:c r="A242" s="1" t="str">
        <x:v>C0241</x:v>
      </x:c>
      <x:c r="B242" s="1" t="str">
        <x:v>Aisha</x:v>
      </x:c>
      <x:c r="C242" s="1" t="str">
        <x:v>customer0241@example.com</x:v>
      </x:c>
      <x:c r="D242" s="1" t="str">
        <x:v>USA</x:v>
      </x:c>
      <x:c r="E242" s="5" t="d">
        <x:v>2026-08-09T00:00:00.000Z</x:v>
      </x:c>
      <x:c r="F242" s="5" t="d">
        <x:v>2026-09-02T00:00:00.000Z</x:v>
      </x:c>
      <x:c r="G242" s="1" t="n">
        <x:v>1</x:v>
      </x:c>
      <x:c r="H242" s="6" t="n">
        <x:v>80.27</x:v>
      </x:c>
      <x:c r="I242" s="1" t="n">
        <x:v>12</x:v>
      </x:c>
      <x:c r="J242" s="1" t="str">
        <x:v>web</x:v>
      </x:c>
      <x:c r="K242" s="7" t="n">
        <x:f>DATE(2026,10,1)-F242</x:f>
        <x:v>29</x:v>
      </x:c>
      <x:c r="L242" s="7" t="n">
        <x:f>IF(K242&lt;=30,3,IF(K242&lt;=90,2,1))</x:f>
        <x:v>3</x:v>
      </x:c>
      <x:c r="M242" s="7" t="n">
        <x:f>IF(G242&gt;=8,3,IF(G242&gt;=3,2,1))</x:f>
        <x:v>1</x:v>
      </x:c>
      <x:c r="N242" s="7" t="n">
        <x:f>IF(H242&gt;=600,3,IF(H242&gt;=200,2,1))</x:f>
        <x:v>1</x:v>
      </x:c>
      <x:c r="O242" s="1" t="str">
        <x:f>IF(AND(L242=3,M242=3),"Champions",IF(AND(L242=1,M242&gt;=2),"At risk",IF(AND(L242=3,M242=1),"New",IF(AND(L242=1,M242=1),"Hibernating",IF(AND(L242=2,M242=1),"Promising","Loyal")))))</x:f>
        <x:v>New</x:v>
      </x:c>
    </x:row>
    <x:row r="243">
      <x:c r="A243" s="1" t="str">
        <x:v>C0242</x:v>
      </x:c>
      <x:c r="B243" s="1" t="str">
        <x:v>Amara</x:v>
      </x:c>
      <x:c r="C243" s="1" t="str">
        <x:v>customer0242@example.com</x:v>
      </x:c>
      <x:c r="D243" s="1" t="str">
        <x:v>Nigeria</x:v>
      </x:c>
      <x:c r="E243" s="5" t="d">
        <x:v>2025-07-16T00:00:00.000Z</x:v>
      </x:c>
      <x:c r="F243" s="5" t="d">
        <x:v>2026-09-21T00:00:00.000Z</x:v>
      </x:c>
      <x:c r="G243" s="1" t="n">
        <x:v>5</x:v>
      </x:c>
      <x:c r="H243" s="6" t="n">
        <x:v>384.13</x:v>
      </x:c>
      <x:c r="I243" s="1" t="n">
        <x:v>12</x:v>
      </x:c>
      <x:c r="J243" s="1" t="str">
        <x:v>app</x:v>
      </x:c>
      <x:c r="K243" s="7" t="n">
        <x:f>DATE(2026,10,1)-F243</x:f>
        <x:v>10</x:v>
      </x:c>
      <x:c r="L243" s="7" t="n">
        <x:f>IF(K243&lt;=30,3,IF(K243&lt;=90,2,1))</x:f>
        <x:v>3</x:v>
      </x:c>
      <x:c r="M243" s="7" t="n">
        <x:f>IF(G243&gt;=8,3,IF(G243&gt;=3,2,1))</x:f>
        <x:v>2</x:v>
      </x:c>
      <x:c r="N243" s="7" t="n">
        <x:f>IF(H243&gt;=600,3,IF(H243&gt;=200,2,1))</x:f>
        <x:v>2</x:v>
      </x:c>
      <x:c r="O243" s="1" t="str">
        <x:f>IF(AND(L243=3,M243=3),"Champions",IF(AND(L243=1,M243&gt;=2),"At risk",IF(AND(L243=3,M243=1),"New",IF(AND(L243=1,M243=1),"Hibernating",IF(AND(L243=2,M243=1),"Promising","Loyal")))))</x:f>
        <x:v>Loyal</x:v>
      </x:c>
    </x:row>
    <x:row r="244">
      <x:c r="A244" s="1" t="str">
        <x:v>C0243</x:v>
      </x:c>
      <x:c r="B244" s="1" t="str">
        <x:v>Kenji</x:v>
      </x:c>
      <x:c r="C244" s="1" t="str">
        <x:v>customer0243@example.com</x:v>
      </x:c>
      <x:c r="D244" s="1" t="str">
        <x:v>Germany</x:v>
      </x:c>
      <x:c r="E244" s="5" t="d">
        <x:v>2025-01-26T00:00:00.000Z</x:v>
      </x:c>
      <x:c r="F244" s="5" t="d">
        <x:v>2026-09-03T00:00:00.000Z</x:v>
      </x:c>
      <x:c r="G244" s="1" t="n">
        <x:v>9</x:v>
      </x:c>
      <x:c r="H244" s="6" t="n">
        <x:v>823.43</x:v>
      </x:c>
      <x:c r="I244" s="1" t="n">
        <x:v>12</x:v>
      </x:c>
      <x:c r="J244" s="1" t="str">
        <x:v>store</x:v>
      </x:c>
      <x:c r="K244" s="7" t="n">
        <x:f>DATE(2026,10,1)-F244</x:f>
        <x:v>28</x:v>
      </x:c>
      <x:c r="L244" s="7" t="n">
        <x:f>IF(K244&lt;=30,3,IF(K244&lt;=90,2,1))</x:f>
        <x:v>3</x:v>
      </x:c>
      <x:c r="M244" s="7" t="n">
        <x:f>IF(G244&gt;=8,3,IF(G244&gt;=3,2,1))</x:f>
        <x:v>3</x:v>
      </x:c>
      <x:c r="N244" s="7" t="n">
        <x:f>IF(H244&gt;=600,3,IF(H244&gt;=200,2,1))</x:f>
        <x:v>3</x:v>
      </x:c>
      <x:c r="O244" s="1" t="str">
        <x:f>IF(AND(L244=3,M244=3),"Champions",IF(AND(L244=1,M244&gt;=2),"At risk",IF(AND(L244=3,M244=1),"New",IF(AND(L244=1,M244=1),"Hibernating",IF(AND(L244=2,M244=1),"Promising","Loyal")))))</x:f>
        <x:v>Champions</x:v>
      </x:c>
    </x:row>
    <x:row r="245">
      <x:c r="A245" s="1" t="str">
        <x:v>C0244</x:v>
      </x:c>
      <x:c r="B245" s="1" t="str">
        <x:v>Lina</x:v>
      </x:c>
      <x:c r="C245" s="1" t="str">
        <x:v>customer0244@example.com</x:v>
      </x:c>
      <x:c r="D245" s="1" t="str">
        <x:v>Japan</x:v>
      </x:c>
      <x:c r="E245" s="5" t="d">
        <x:v>2026-08-27T00:00:00.000Z</x:v>
      </x:c>
      <x:c r="F245" s="5" t="d">
        <x:v>2026-09-01T00:00:00.000Z</x:v>
      </x:c>
      <x:c r="G245" s="1" t="n">
        <x:v>2</x:v>
      </x:c>
      <x:c r="H245" s="6" t="n">
        <x:v>75.5</x:v>
      </x:c>
      <x:c r="I245" s="1" t="n">
        <x:v>7</x:v>
      </x:c>
      <x:c r="J245" s="1" t="str">
        <x:v>web</x:v>
      </x:c>
      <x:c r="K245" s="7" t="n">
        <x:f>DATE(2026,10,1)-F245</x:f>
        <x:v>30</x:v>
      </x:c>
      <x:c r="L245" s="7" t="n">
        <x:f>IF(K245&lt;=30,3,IF(K245&lt;=90,2,1))</x:f>
        <x:v>3</x:v>
      </x:c>
      <x:c r="M245" s="7" t="n">
        <x:f>IF(G245&gt;=8,3,IF(G245&gt;=3,2,1))</x:f>
        <x:v>1</x:v>
      </x:c>
      <x:c r="N245" s="7" t="n">
        <x:f>IF(H245&gt;=600,3,IF(H245&gt;=200,2,1))</x:f>
        <x:v>1</x:v>
      </x:c>
      <x:c r="O245" s="1" t="str">
        <x:f>IF(AND(L245=3,M245=3),"Champions",IF(AND(L245=1,M245&gt;=2),"At risk",IF(AND(L245=3,M245=1),"New",IF(AND(L245=1,M245=1),"Hibernating",IF(AND(L245=2,M245=1),"Promising","Loyal")))))</x:f>
        <x:v>New</x:v>
      </x:c>
    </x:row>
    <x:row r="246">
      <x:c r="A246" s="1" t="str">
        <x:v>C0245</x:v>
      </x:c>
      <x:c r="B246" s="1" t="str">
        <x:v>Mateo</x:v>
      </x:c>
      <x:c r="C246" s="1" t="str">
        <x:v>customer0245@example.com</x:v>
      </x:c>
      <x:c r="D246" s="1" t="str">
        <x:v>Australia</x:v>
      </x:c>
      <x:c r="E246" s="5" t="d">
        <x:v>2024-09-29T00:00:00.000Z</x:v>
      </x:c>
      <x:c r="F246" s="5" t="d">
        <x:v>2026-08-23T00:00:00.000Z</x:v>
      </x:c>
      <x:c r="G246" s="1" t="n">
        <x:v>5</x:v>
      </x:c>
      <x:c r="H246" s="6" t="n">
        <x:v>624.83</x:v>
      </x:c>
      <x:c r="I246" s="1" t="n">
        <x:v>11</x:v>
      </x:c>
      <x:c r="J246" s="1" t="str">
        <x:v>app</x:v>
      </x:c>
      <x:c r="K246" s="7" t="n">
        <x:f>DATE(2026,10,1)-F246</x:f>
        <x:v>39</x:v>
      </x:c>
      <x:c r="L246" s="7" t="n">
        <x:f>IF(K246&lt;=30,3,IF(K246&lt;=90,2,1))</x:f>
        <x:v>2</x:v>
      </x:c>
      <x:c r="M246" s="7" t="n">
        <x:f>IF(G246&gt;=8,3,IF(G246&gt;=3,2,1))</x:f>
        <x:v>2</x:v>
      </x:c>
      <x:c r="N246" s="7" t="n">
        <x:f>IF(H246&gt;=600,3,IF(H246&gt;=200,2,1))</x:f>
        <x:v>3</x:v>
      </x:c>
      <x:c r="O246" s="1" t="str">
        <x:f>IF(AND(L246=3,M246=3),"Champions",IF(AND(L246=1,M246&gt;=2),"At risk",IF(AND(L246=3,M246=1),"New",IF(AND(L246=1,M246=1),"Hibernating",IF(AND(L246=2,M246=1),"Promising","Loyal")))))</x:f>
        <x:v>Loyal</x:v>
      </x:c>
    </x:row>
    <x:row r="247">
      <x:c r="A247" s="1" t="str">
        <x:v>C0246</x:v>
      </x:c>
      <x:c r="B247" s="1" t="str">
        <x:v>Lina</x:v>
      </x:c>
      <x:c r="C247" s="1" t="str">
        <x:v>customer0246@example.com</x:v>
      </x:c>
      <x:c r="D247" s="1" t="str">
        <x:v>Brazil</x:v>
      </x:c>
      <x:c r="E247" s="5" t="d">
        <x:v>2026-03-22T00:00:00.000Z</x:v>
      </x:c>
      <x:c r="F247" s="5" t="d">
        <x:v>2026-06-19T00:00:00.000Z</x:v>
      </x:c>
      <x:c r="G247" s="1" t="n">
        <x:v>2</x:v>
      </x:c>
      <x:c r="H247" s="6" t="n">
        <x:v>95.45</x:v>
      </x:c>
      <x:c r="I247" s="1" t="n">
        <x:v>12</x:v>
      </x:c>
      <x:c r="J247" s="1" t="str">
        <x:v>app</x:v>
      </x:c>
      <x:c r="K247" s="7" t="n">
        <x:f>DATE(2026,10,1)-F247</x:f>
        <x:v>104</x:v>
      </x:c>
      <x:c r="L247" s="7" t="n">
        <x:f>IF(K247&lt;=30,3,IF(K247&lt;=90,2,1))</x:f>
        <x:v>1</x:v>
      </x:c>
      <x:c r="M247" s="7" t="n">
        <x:f>IF(G247&gt;=8,3,IF(G247&gt;=3,2,1))</x:f>
        <x:v>1</x:v>
      </x:c>
      <x:c r="N247" s="7" t="n">
        <x:f>IF(H247&gt;=600,3,IF(H247&gt;=200,2,1))</x:f>
        <x:v>1</x:v>
      </x:c>
      <x:c r="O247" s="1" t="str">
        <x:f>IF(AND(L247=3,M247=3),"Champions",IF(AND(L247=1,M247&gt;=2),"At risk",IF(AND(L247=3,M247=1),"New",IF(AND(L247=1,M247=1),"Hibernating",IF(AND(L247=2,M247=1),"Promising","Loyal")))))</x:f>
        <x:v>Hibernating</x:v>
      </x:c>
    </x:row>
    <x:row r="248">
      <x:c r="A248" s="1" t="str">
        <x:v>C0247</x:v>
      </x:c>
      <x:c r="B248" s="1" t="str">
        <x:v>Ravi</x:v>
      </x:c>
      <x:c r="C248" s="1" t="str">
        <x:v>customer0247@example.com</x:v>
      </x:c>
      <x:c r="D248" s="1" t="str">
        <x:v>Australia</x:v>
      </x:c>
      <x:c r="E248" s="5" t="d">
        <x:v>2025-01-21T00:00:00.000Z</x:v>
      </x:c>
      <x:c r="F248" s="5" t="d">
        <x:v>2026-07-09T00:00:00.000Z</x:v>
      </x:c>
      <x:c r="G248" s="1" t="n">
        <x:v>7</x:v>
      </x:c>
      <x:c r="H248" s="6" t="n">
        <x:v>827.85</x:v>
      </x:c>
      <x:c r="I248" s="1" t="n">
        <x:v>8</x:v>
      </x:c>
      <x:c r="J248" s="1" t="str">
        <x:v>store</x:v>
      </x:c>
      <x:c r="K248" s="7" t="n">
        <x:f>DATE(2026,10,1)-F248</x:f>
        <x:v>84</x:v>
      </x:c>
      <x:c r="L248" s="7" t="n">
        <x:f>IF(K248&lt;=30,3,IF(K248&lt;=90,2,1))</x:f>
        <x:v>2</x:v>
      </x:c>
      <x:c r="M248" s="7" t="n">
        <x:f>IF(G248&gt;=8,3,IF(G248&gt;=3,2,1))</x:f>
        <x:v>2</x:v>
      </x:c>
      <x:c r="N248" s="7" t="n">
        <x:f>IF(H248&gt;=600,3,IF(H248&gt;=200,2,1))</x:f>
        <x:v>3</x:v>
      </x:c>
      <x:c r="O248" s="1" t="str">
        <x:f>IF(AND(L248=3,M248=3),"Champions",IF(AND(L248=1,M248&gt;=2),"At risk",IF(AND(L248=3,M248=1),"New",IF(AND(L248=1,M248=1),"Hibernating",IF(AND(L248=2,M248=1),"Promising","Loyal")))))</x:f>
        <x:v>Loyal</x:v>
      </x:c>
    </x:row>
    <x:row r="249">
      <x:c r="A249" s="1" t="str">
        <x:v>C0248</x:v>
      </x:c>
      <x:c r="B249" s="1" t="str">
        <x:v>Chloe</x:v>
      </x:c>
      <x:c r="C249" s="1" t="str">
        <x:v>customer0248@example.com</x:v>
      </x:c>
      <x:c r="D249" s="1" t="str">
        <x:v>Nigeria</x:v>
      </x:c>
      <x:c r="E249" s="5" t="d">
        <x:v>2025-11-02T00:00:00.000Z</x:v>
      </x:c>
      <x:c r="F249" s="5" t="d">
        <x:v>2026-08-25T00:00:00.000Z</x:v>
      </x:c>
      <x:c r="G249" s="1" t="n">
        <x:v>4</x:v>
      </x:c>
      <x:c r="H249" s="6" t="n">
        <x:v>264.53</x:v>
      </x:c>
      <x:c r="I249" s="1" t="n">
        <x:v>9</x:v>
      </x:c>
      <x:c r="J249" s="1" t="str">
        <x:v>web</x:v>
      </x:c>
      <x:c r="K249" s="7" t="n">
        <x:f>DATE(2026,10,1)-F249</x:f>
        <x:v>37</x:v>
      </x:c>
      <x:c r="L249" s="7" t="n">
        <x:f>IF(K249&lt;=30,3,IF(K249&lt;=90,2,1))</x:f>
        <x:v>2</x:v>
      </x:c>
      <x:c r="M249" s="7" t="n">
        <x:f>IF(G249&gt;=8,3,IF(G249&gt;=3,2,1))</x:f>
        <x:v>2</x:v>
      </x:c>
      <x:c r="N249" s="7" t="n">
        <x:f>IF(H249&gt;=600,3,IF(H249&gt;=200,2,1))</x:f>
        <x:v>2</x:v>
      </x:c>
      <x:c r="O249" s="1" t="str">
        <x:f>IF(AND(L249=3,M249=3),"Champions",IF(AND(L249=1,M249&gt;=2),"At risk",IF(AND(L249=3,M249=1),"New",IF(AND(L249=1,M249=1),"Hibernating",IF(AND(L249=2,M249=1),"Promising","Loyal")))))</x:f>
        <x:v>Loyal</x:v>
      </x:c>
    </x:row>
    <x:row r="250">
      <x:c r="A250" s="1" t="str">
        <x:v>C0249</x:v>
      </x:c>
      <x:c r="B250" s="1" t="str">
        <x:v>Chloe</x:v>
      </x:c>
      <x:c r="C250" s="1" t="str">
        <x:v>customer0249@example.com</x:v>
      </x:c>
      <x:c r="D250" s="1" t="str">
        <x:v>Singapore</x:v>
      </x:c>
      <x:c r="E250" s="5" t="d">
        <x:v>2024-09-29T00:00:00.000Z</x:v>
      </x:c>
      <x:c r="F250" s="5" t="d">
        <x:v>2026-02-16T00:00:00.000Z</x:v>
      </x:c>
      <x:c r="G250" s="1" t="n">
        <x:v>5</x:v>
      </x:c>
      <x:c r="H250" s="6" t="n">
        <x:v>533.25</x:v>
      </x:c>
      <x:c r="I250" s="1" t="n">
        <x:v>5</x:v>
      </x:c>
      <x:c r="J250" s="1" t="str">
        <x:v>store</x:v>
      </x:c>
      <x:c r="K250" s="7" t="n">
        <x:f>DATE(2026,10,1)-F250</x:f>
        <x:v>227</x:v>
      </x:c>
      <x:c r="L250" s="7" t="n">
        <x:f>IF(K250&lt;=30,3,IF(K250&lt;=90,2,1))</x:f>
        <x:v>1</x:v>
      </x:c>
      <x:c r="M250" s="7" t="n">
        <x:f>IF(G250&gt;=8,3,IF(G250&gt;=3,2,1))</x:f>
        <x:v>2</x:v>
      </x:c>
      <x:c r="N250" s="7" t="n">
        <x:f>IF(H250&gt;=600,3,IF(H250&gt;=200,2,1))</x:f>
        <x:v>2</x:v>
      </x:c>
      <x:c r="O250" s="1" t="str">
        <x:f>IF(AND(L250=3,M250=3),"Champions",IF(AND(L250=1,M250&gt;=2),"At risk",IF(AND(L250=3,M250=1),"New",IF(AND(L250=1,M250=1),"Hibernating",IF(AND(L250=2,M250=1),"Promising","Loyal")))))</x:f>
        <x:v>At risk</x:v>
      </x:c>
    </x:row>
    <x:row r="251">
      <x:c r="A251" s="1" t="str">
        <x:v>C0250</x:v>
      </x:c>
      <x:c r="B251" s="1" t="str">
        <x:v>Chloe</x:v>
      </x:c>
      <x:c r="C251" s="1" t="str">
        <x:v>customer0250@example.com</x:v>
      </x:c>
      <x:c r="D251" s="1" t="str">
        <x:v>Germany</x:v>
      </x:c>
      <x:c r="E251" s="5" t="d">
        <x:v>2026-05-08T00:00:00.000Z</x:v>
      </x:c>
      <x:c r="F251" s="5" t="d">
        <x:v>2026-06-08T00:00:00.000Z</x:v>
      </x:c>
      <x:c r="G251" s="1" t="n">
        <x:v>5</x:v>
      </x:c>
      <x:c r="H251" s="6" t="n">
        <x:v>613.16</x:v>
      </x:c>
      <x:c r="I251" s="1" t="n">
        <x:v>8</x:v>
      </x:c>
      <x:c r="J251" s="1" t="str">
        <x:v>store</x:v>
      </x:c>
      <x:c r="K251" s="7" t="n">
        <x:f>DATE(2026,10,1)-F251</x:f>
        <x:v>115</x:v>
      </x:c>
      <x:c r="L251" s="7" t="n">
        <x:f>IF(K251&lt;=30,3,IF(K251&lt;=90,2,1))</x:f>
        <x:v>1</x:v>
      </x:c>
      <x:c r="M251" s="7" t="n">
        <x:f>IF(G251&gt;=8,3,IF(G251&gt;=3,2,1))</x:f>
        <x:v>2</x:v>
      </x:c>
      <x:c r="N251" s="7" t="n">
        <x:f>IF(H251&gt;=600,3,IF(H251&gt;=200,2,1))</x:f>
        <x:v>3</x:v>
      </x:c>
      <x:c r="O251" s="1" t="str">
        <x:f>IF(AND(L251=3,M251=3),"Champions",IF(AND(L251=1,M251&gt;=2),"At risk",IF(AND(L251=3,M251=1),"New",IF(AND(L251=1,M251=1),"Hibernating",IF(AND(L251=2,M251=1),"Promising","Loyal")))))</x:f>
        <x:v>At risk</x:v>
      </x:c>
    </x:row>
    <x:row r="252">
      <x:c r="A252" s="1" t="str">
        <x:v>C0251</x:v>
      </x:c>
      <x:c r="B252" s="1" t="str">
        <x:v>Priya</x:v>
      </x:c>
      <x:c r="C252" s="1" t="str">
        <x:v>customer0251@example.com</x:v>
      </x:c>
      <x:c r="D252" s="1" t="str">
        <x:v>Nigeria</x:v>
      </x:c>
      <x:c r="E252" s="5" t="d">
        <x:v>2025-02-27T00:00:00.000Z</x:v>
      </x:c>
      <x:c r="F252" s="5" t="d">
        <x:v>2026-09-29T00:00:00.000Z</x:v>
      </x:c>
      <x:c r="G252" s="1" t="n">
        <x:v>11</x:v>
      </x:c>
      <x:c r="H252" s="6" t="n">
        <x:v>2184.65</x:v>
      </x:c>
      <x:c r="I252" s="1" t="n">
        <x:v>9</x:v>
      </x:c>
      <x:c r="J252" s="1" t="str">
        <x:v>app</x:v>
      </x:c>
      <x:c r="K252" s="7" t="n">
        <x:f>DATE(2026,10,1)-F252</x:f>
        <x:v>2</x:v>
      </x:c>
      <x:c r="L252" s="7" t="n">
        <x:f>IF(K252&lt;=30,3,IF(K252&lt;=90,2,1))</x:f>
        <x:v>3</x:v>
      </x:c>
      <x:c r="M252" s="7" t="n">
        <x:f>IF(G252&gt;=8,3,IF(G252&gt;=3,2,1))</x:f>
        <x:v>3</x:v>
      </x:c>
      <x:c r="N252" s="7" t="n">
        <x:f>IF(H252&gt;=600,3,IF(H252&gt;=200,2,1))</x:f>
        <x:v>3</x:v>
      </x:c>
      <x:c r="O252" s="1" t="str">
        <x:f>IF(AND(L252=3,M252=3),"Champions",IF(AND(L252=1,M252&gt;=2),"At risk",IF(AND(L252=3,M252=1),"New",IF(AND(L252=1,M252=1),"Hibernating",IF(AND(L252=2,M252=1),"Promising","Loyal")))))</x:f>
        <x:v>Champions</x:v>
      </x:c>
    </x:row>
    <x:row r="253">
      <x:c r="A253" s="1" t="str">
        <x:v>C0252</x:v>
      </x:c>
      <x:c r="B253" s="1" t="str">
        <x:v>Kai</x:v>
      </x:c>
      <x:c r="C253" s="1" t="str">
        <x:v>customer0252@example.com</x:v>
      </x:c>
      <x:c r="D253" s="1" t="str">
        <x:v>Nigeria</x:v>
      </x:c>
      <x:c r="E253" s="5" t="d">
        <x:v>2025-05-17T00:00:00.000Z</x:v>
      </x:c>
      <x:c r="F253" s="5" t="d">
        <x:v>2026-08-17T00:00:00.000Z</x:v>
      </x:c>
      <x:c r="G253" s="1" t="n">
        <x:v>6</x:v>
      </x:c>
      <x:c r="H253" s="6" t="n">
        <x:v>267.98</x:v>
      </x:c>
      <x:c r="I253" s="1" t="n">
        <x:v>9</x:v>
      </x:c>
      <x:c r="J253" s="1" t="str">
        <x:v>app</x:v>
      </x:c>
      <x:c r="K253" s="7" t="n">
        <x:f>DATE(2026,10,1)-F253</x:f>
        <x:v>45</x:v>
      </x:c>
      <x:c r="L253" s="7" t="n">
        <x:f>IF(K253&lt;=30,3,IF(K253&lt;=90,2,1))</x:f>
        <x:v>2</x:v>
      </x:c>
      <x:c r="M253" s="7" t="n">
        <x:f>IF(G253&gt;=8,3,IF(G253&gt;=3,2,1))</x:f>
        <x:v>2</x:v>
      </x:c>
      <x:c r="N253" s="7" t="n">
        <x:f>IF(H253&gt;=600,3,IF(H253&gt;=200,2,1))</x:f>
        <x:v>2</x:v>
      </x:c>
      <x:c r="O253" s="1" t="str">
        <x:f>IF(AND(L253=3,M253=3),"Champions",IF(AND(L253=1,M253&gt;=2),"At risk",IF(AND(L253=3,M253=1),"New",IF(AND(L253=1,M253=1),"Hibernating",IF(AND(L253=2,M253=1),"Promising","Loyal")))))</x:f>
        <x:v>Loyal</x:v>
      </x:c>
    </x:row>
    <x:row r="254">
      <x:c r="A254" s="1" t="str">
        <x:v>C0253</x:v>
      </x:c>
      <x:c r="B254" s="1" t="str">
        <x:v>Mateo</x:v>
      </x:c>
      <x:c r="C254" s="1" t="str">
        <x:v>customer0253@example.com</x:v>
      </x:c>
      <x:c r="D254" s="1" t="str">
        <x:v>Singapore</x:v>
      </x:c>
      <x:c r="E254" s="5" t="d">
        <x:v>2026-03-16T00:00:00.000Z</x:v>
      </x:c>
      <x:c r="F254" s="5" t="d">
        <x:v>2026-09-17T00:00:00.000Z</x:v>
      </x:c>
      <x:c r="G254" s="1" t="n">
        <x:v>5</x:v>
      </x:c>
      <x:c r="H254" s="6" t="n">
        <x:v>340.69</x:v>
      </x:c>
      <x:c r="I254" s="1" t="n">
        <x:v>0</x:v>
      </x:c>
      <x:c r="J254" s="1" t="str">
        <x:v>app</x:v>
      </x:c>
      <x:c r="K254" s="7" t="n">
        <x:f>DATE(2026,10,1)-F254</x:f>
        <x:v>14</x:v>
      </x:c>
      <x:c r="L254" s="7" t="n">
        <x:f>IF(K254&lt;=30,3,IF(K254&lt;=90,2,1))</x:f>
        <x:v>3</x:v>
      </x:c>
      <x:c r="M254" s="7" t="n">
        <x:f>IF(G254&gt;=8,3,IF(G254&gt;=3,2,1))</x:f>
        <x:v>2</x:v>
      </x:c>
      <x:c r="N254" s="7" t="n">
        <x:f>IF(H254&gt;=600,3,IF(H254&gt;=200,2,1))</x:f>
        <x:v>2</x:v>
      </x:c>
      <x:c r="O254" s="1" t="str">
        <x:f>IF(AND(L254=3,M254=3),"Champions",IF(AND(L254=1,M254&gt;=2),"At risk",IF(AND(L254=3,M254=1),"New",IF(AND(L254=1,M254=1),"Hibernating",IF(AND(L254=2,M254=1),"Promising","Loyal")))))</x:f>
        <x:v>Loyal</x:v>
      </x:c>
    </x:row>
    <x:row r="255">
      <x:c r="A255" s="1" t="str">
        <x:v>C0254</x:v>
      </x:c>
      <x:c r="B255" s="1" t="str">
        <x:v>Mei</x:v>
      </x:c>
      <x:c r="C255" s="1" t="str">
        <x:v>customer0254@example.com</x:v>
      </x:c>
      <x:c r="D255" s="1" t="str">
        <x:v>Nigeria</x:v>
      </x:c>
      <x:c r="E255" s="5" t="d">
        <x:v>2026-07-16T00:00:00.000Z</x:v>
      </x:c>
      <x:c r="F255" s="5" t="d">
        <x:v>2026-09-19T00:00:00.000Z</x:v>
      </x:c>
      <x:c r="G255" s="1" t="n">
        <x:v>19</x:v>
      </x:c>
      <x:c r="H255" s="6" t="n">
        <x:v>1333.25</x:v>
      </x:c>
      <x:c r="I255" s="1" t="n">
        <x:v>10</x:v>
      </x:c>
      <x:c r="J255" s="1" t="str">
        <x:v>web</x:v>
      </x:c>
      <x:c r="K255" s="7" t="n">
        <x:f>DATE(2026,10,1)-F255</x:f>
        <x:v>12</x:v>
      </x:c>
      <x:c r="L255" s="7" t="n">
        <x:f>IF(K255&lt;=30,3,IF(K255&lt;=90,2,1))</x:f>
        <x:v>3</x:v>
      </x:c>
      <x:c r="M255" s="7" t="n">
        <x:f>IF(G255&gt;=8,3,IF(G255&gt;=3,2,1))</x:f>
        <x:v>3</x:v>
      </x:c>
      <x:c r="N255" s="7" t="n">
        <x:f>IF(H255&gt;=600,3,IF(H255&gt;=200,2,1))</x:f>
        <x:v>3</x:v>
      </x:c>
      <x:c r="O255" s="1" t="str">
        <x:f>IF(AND(L255=3,M255=3),"Champions",IF(AND(L255=1,M255&gt;=2),"At risk",IF(AND(L255=3,M255=1),"New",IF(AND(L255=1,M255=1),"Hibernating",IF(AND(L255=2,M255=1),"Promising","Loyal")))))</x:f>
        <x:v>Champions</x:v>
      </x:c>
    </x:row>
    <x:row r="256">
      <x:c r="A256" s="1" t="str">
        <x:v>C0255</x:v>
      </x:c>
      <x:c r="B256" s="1" t="str">
        <x:v>Felix</x:v>
      </x:c>
      <x:c r="C256" s="1" t="str">
        <x:v>customer0255@example.com</x:v>
      </x:c>
      <x:c r="D256" s="1" t="str">
        <x:v>Singapore</x:v>
      </x:c>
      <x:c r="E256" s="5" t="d">
        <x:v>2025-09-12T00:00:00.000Z</x:v>
      </x:c>
      <x:c r="F256" s="5" t="d">
        <x:v>2026-05-08T00:00:00.000Z</x:v>
      </x:c>
      <x:c r="G256" s="1" t="n">
        <x:v>2</x:v>
      </x:c>
      <x:c r="H256" s="6" t="n">
        <x:v>70.77</x:v>
      </x:c>
      <x:c r="I256" s="1" t="n">
        <x:v>10</x:v>
      </x:c>
      <x:c r="J256" s="1" t="str">
        <x:v>store</x:v>
      </x:c>
      <x:c r="K256" s="7" t="n">
        <x:f>DATE(2026,10,1)-F256</x:f>
        <x:v>146</x:v>
      </x:c>
      <x:c r="L256" s="7" t="n">
        <x:f>IF(K256&lt;=30,3,IF(K256&lt;=90,2,1))</x:f>
        <x:v>1</x:v>
      </x:c>
      <x:c r="M256" s="7" t="n">
        <x:f>IF(G256&gt;=8,3,IF(G256&gt;=3,2,1))</x:f>
        <x:v>1</x:v>
      </x:c>
      <x:c r="N256" s="7" t="n">
        <x:f>IF(H256&gt;=600,3,IF(H256&gt;=200,2,1))</x:f>
        <x:v>1</x:v>
      </x:c>
      <x:c r="O256" s="1" t="str">
        <x:f>IF(AND(L256=3,M256=3),"Champions",IF(AND(L256=1,M256&gt;=2),"At risk",IF(AND(L256=3,M256=1),"New",IF(AND(L256=1,M256=1),"Hibernating",IF(AND(L256=2,M256=1),"Promising","Loyal")))))</x:f>
        <x:v>Hibernating</x:v>
      </x:c>
    </x:row>
    <x:row r="257">
      <x:c r="A257" s="1" t="str">
        <x:v>C0256</x:v>
      </x:c>
      <x:c r="B257" s="1" t="str">
        <x:v>Elena</x:v>
      </x:c>
      <x:c r="C257" s="1" t="str">
        <x:v>customer0256@example.com</x:v>
      </x:c>
      <x:c r="D257" s="1" t="str">
        <x:v>USA</x:v>
      </x:c>
      <x:c r="E257" s="5" t="d">
        <x:v>2025-07-09T00:00:00.000Z</x:v>
      </x:c>
      <x:c r="F257" s="5" t="d">
        <x:v>2026-03-06T00:00:00.000Z</x:v>
      </x:c>
      <x:c r="G257" s="1" t="n">
        <x:v>5</x:v>
      </x:c>
      <x:c r="H257" s="6" t="n">
        <x:v>676.55</x:v>
      </x:c>
      <x:c r="I257" s="1" t="n">
        <x:v>2</x:v>
      </x:c>
      <x:c r="J257" s="1" t="str">
        <x:v>app</x:v>
      </x:c>
      <x:c r="K257" s="7" t="n">
        <x:f>DATE(2026,10,1)-F257</x:f>
        <x:v>209</x:v>
      </x:c>
      <x:c r="L257" s="7" t="n">
        <x:f>IF(K257&lt;=30,3,IF(K257&lt;=90,2,1))</x:f>
        <x:v>1</x:v>
      </x:c>
      <x:c r="M257" s="7" t="n">
        <x:f>IF(G257&gt;=8,3,IF(G257&gt;=3,2,1))</x:f>
        <x:v>2</x:v>
      </x:c>
      <x:c r="N257" s="7" t="n">
        <x:f>IF(H257&gt;=600,3,IF(H257&gt;=200,2,1))</x:f>
        <x:v>3</x:v>
      </x:c>
      <x:c r="O257" s="1" t="str">
        <x:f>IF(AND(L257=3,M257=3),"Champions",IF(AND(L257=1,M257&gt;=2),"At risk",IF(AND(L257=3,M257=1),"New",IF(AND(L257=1,M257=1),"Hibernating",IF(AND(L257=2,M257=1),"Promising","Loyal")))))</x:f>
        <x:v>At risk</x:v>
      </x:c>
    </x:row>
    <x:row r="258">
      <x:c r="A258" s="1" t="str">
        <x:v>C0257</x:v>
      </x:c>
      <x:c r="B258" s="1" t="str">
        <x:v>Samuel</x:v>
      </x:c>
      <x:c r="C258" s="1" t="str">
        <x:v>customer0257@example.com</x:v>
      </x:c>
      <x:c r="D258" s="1" t="str">
        <x:v>India</x:v>
      </x:c>
      <x:c r="E258" s="5" t="d">
        <x:v>2025-11-27T00:00:00.000Z</x:v>
      </x:c>
      <x:c r="F258" s="5" t="d">
        <x:v>2025-12-25T00:00:00.000Z</x:v>
      </x:c>
      <x:c r="G258" s="1" t="n">
        <x:v>1</x:v>
      </x:c>
      <x:c r="H258" s="6" t="n">
        <x:v>172.98</x:v>
      </x:c>
      <x:c r="I258" s="1" t="n">
        <x:v>4</x:v>
      </x:c>
      <x:c r="J258" s="1" t="str">
        <x:v>store</x:v>
      </x:c>
      <x:c r="K258" s="7" t="n">
        <x:f>DATE(2026,10,1)-F258</x:f>
        <x:v>280</x:v>
      </x:c>
      <x:c r="L258" s="7" t="n">
        <x:f>IF(K258&lt;=30,3,IF(K258&lt;=90,2,1))</x:f>
        <x:v>1</x:v>
      </x:c>
      <x:c r="M258" s="7" t="n">
        <x:f>IF(G258&gt;=8,3,IF(G258&gt;=3,2,1))</x:f>
        <x:v>1</x:v>
      </x:c>
      <x:c r="N258" s="7" t="n">
        <x:f>IF(H258&gt;=600,3,IF(H258&gt;=200,2,1))</x:f>
        <x:v>1</x:v>
      </x:c>
      <x:c r="O258" s="1" t="str">
        <x:f>IF(AND(L258=3,M258=3),"Champions",IF(AND(L258=1,M258&gt;=2),"At risk",IF(AND(L258=3,M258=1),"New",IF(AND(L258=1,M258=1),"Hibernating",IF(AND(L258=2,M258=1),"Promising","Loyal")))))</x:f>
        <x:v>Hibernating</x:v>
      </x:c>
    </x:row>
    <x:row r="259">
      <x:c r="A259" s="1" t="str">
        <x:v>C0258</x:v>
      </x:c>
      <x:c r="B259" s="1" t="str">
        <x:v>Ravi</x:v>
      </x:c>
      <x:c r="C259" s="1" t="str">
        <x:v>customer0258@example.com</x:v>
      </x:c>
      <x:c r="D259" s="1" t="str">
        <x:v>India</x:v>
      </x:c>
      <x:c r="E259" s="5" t="d">
        <x:v>2026-09-01T00:00:00.000Z</x:v>
      </x:c>
      <x:c r="F259" s="5" t="d">
        <x:v>2026-09-10T00:00:00.000Z</x:v>
      </x:c>
      <x:c r="G259" s="1" t="n">
        <x:v>2</x:v>
      </x:c>
      <x:c r="H259" s="6" t="n">
        <x:v>28.92</x:v>
      </x:c>
      <x:c r="I259" s="1" t="n">
        <x:v>3</x:v>
      </x:c>
      <x:c r="J259" s="1" t="str">
        <x:v>store</x:v>
      </x:c>
      <x:c r="K259" s="7" t="n">
        <x:f>DATE(2026,10,1)-F259</x:f>
        <x:v>21</x:v>
      </x:c>
      <x:c r="L259" s="7" t="n">
        <x:f>IF(K259&lt;=30,3,IF(K259&lt;=90,2,1))</x:f>
        <x:v>3</x:v>
      </x:c>
      <x:c r="M259" s="7" t="n">
        <x:f>IF(G259&gt;=8,3,IF(G259&gt;=3,2,1))</x:f>
        <x:v>1</x:v>
      </x:c>
      <x:c r="N259" s="7" t="n">
        <x:f>IF(H259&gt;=600,3,IF(H259&gt;=200,2,1))</x:f>
        <x:v>1</x:v>
      </x:c>
      <x:c r="O259" s="1" t="str">
        <x:f>IF(AND(L259=3,M259=3),"Champions",IF(AND(L259=1,M259&gt;=2),"At risk",IF(AND(L259=3,M259=1),"New",IF(AND(L259=1,M259=1),"Hibernating",IF(AND(L259=2,M259=1),"Promising","Loyal")))))</x:f>
        <x:v>New</x:v>
      </x:c>
    </x:row>
    <x:row r="260">
      <x:c r="A260" s="1" t="str">
        <x:v>C0259</x:v>
      </x:c>
      <x:c r="B260" s="1" t="str">
        <x:v>Priya</x:v>
      </x:c>
      <x:c r="C260" s="1" t="str">
        <x:v>customer0259@example.com</x:v>
      </x:c>
      <x:c r="D260" s="1" t="str">
        <x:v>Brazil</x:v>
      </x:c>
      <x:c r="E260" s="5" t="d">
        <x:v>2026-09-06T00:00:00.000Z</x:v>
      </x:c>
      <x:c r="F260" s="5" t="d">
        <x:v>2026-09-12T00:00:00.000Z</x:v>
      </x:c>
      <x:c r="G260" s="1" t="n">
        <x:v>2</x:v>
      </x:c>
      <x:c r="H260" s="6" t="n">
        <x:v>141.26</x:v>
      </x:c>
      <x:c r="I260" s="1" t="n">
        <x:v>5</x:v>
      </x:c>
      <x:c r="J260" s="1" t="str">
        <x:v>web</x:v>
      </x:c>
      <x:c r="K260" s="7" t="n">
        <x:f>DATE(2026,10,1)-F260</x:f>
        <x:v>19</x:v>
      </x:c>
      <x:c r="L260" s="7" t="n">
        <x:f>IF(K260&lt;=30,3,IF(K260&lt;=90,2,1))</x:f>
        <x:v>3</x:v>
      </x:c>
      <x:c r="M260" s="7" t="n">
        <x:f>IF(G260&gt;=8,3,IF(G260&gt;=3,2,1))</x:f>
        <x:v>1</x:v>
      </x:c>
      <x:c r="N260" s="7" t="n">
        <x:f>IF(H260&gt;=600,3,IF(H260&gt;=200,2,1))</x:f>
        <x:v>1</x:v>
      </x:c>
      <x:c r="O260" s="1" t="str">
        <x:f>IF(AND(L260=3,M260=3),"Champions",IF(AND(L260=1,M260&gt;=2),"At risk",IF(AND(L260=3,M260=1),"New",IF(AND(L260=1,M260=1),"Hibernating",IF(AND(L260=2,M260=1),"Promising","Loyal")))))</x:f>
        <x:v>New</x:v>
      </x:c>
    </x:row>
    <x:row r="261">
      <x:c r="A261" s="1" t="str">
        <x:v>C0260</x:v>
      </x:c>
      <x:c r="B261" s="1" t="str">
        <x:v>Zara</x:v>
      </x:c>
      <x:c r="C261" s="1" t="str">
        <x:v>customer0260@example.com</x:v>
      </x:c>
      <x:c r="D261" s="1" t="str">
        <x:v>UK</x:v>
      </x:c>
      <x:c r="E261" s="5" t="d">
        <x:v>2024-12-29T00:00:00.000Z</x:v>
      </x:c>
      <x:c r="F261" s="5" t="d">
        <x:v>2026-03-25T00:00:00.000Z</x:v>
      </x:c>
      <x:c r="G261" s="1" t="n">
        <x:v>10</x:v>
      </x:c>
      <x:c r="H261" s="6" t="n">
        <x:v>686.59</x:v>
      </x:c>
      <x:c r="I261" s="1" t="n">
        <x:v>10</x:v>
      </x:c>
      <x:c r="J261" s="1" t="str">
        <x:v>app</x:v>
      </x:c>
      <x:c r="K261" s="7" t="n">
        <x:f>DATE(2026,10,1)-F261</x:f>
        <x:v>190</x:v>
      </x:c>
      <x:c r="L261" s="7" t="n">
        <x:f>IF(K261&lt;=30,3,IF(K261&lt;=90,2,1))</x:f>
        <x:v>1</x:v>
      </x:c>
      <x:c r="M261" s="7" t="n">
        <x:f>IF(G261&gt;=8,3,IF(G261&gt;=3,2,1))</x:f>
        <x:v>3</x:v>
      </x:c>
      <x:c r="N261" s="7" t="n">
        <x:f>IF(H261&gt;=600,3,IF(H261&gt;=200,2,1))</x:f>
        <x:v>3</x:v>
      </x:c>
      <x:c r="O261" s="1" t="str">
        <x:f>IF(AND(L261=3,M261=3),"Champions",IF(AND(L261=1,M261&gt;=2),"At risk",IF(AND(L261=3,M261=1),"New",IF(AND(L261=1,M261=1),"Hibernating",IF(AND(L261=2,M261=1),"Promising","Loyal")))))</x:f>
        <x:v>At risk</x:v>
      </x:c>
    </x:row>
    <x:row r="262">
      <x:c r="A262" s="1" t="str">
        <x:v>C0261</x:v>
      </x:c>
      <x:c r="B262" s="1" t="str">
        <x:v>Leo</x:v>
      </x:c>
      <x:c r="C262" s="1" t="str">
        <x:v>customer0261@example.com</x:v>
      </x:c>
      <x:c r="D262" s="1" t="str">
        <x:v>Nigeria</x:v>
      </x:c>
      <x:c r="E262" s="5" t="d">
        <x:v>2025-09-27T00:00:00.000Z</x:v>
      </x:c>
      <x:c r="F262" s="5" t="d">
        <x:v>2026-05-10T00:00:00.000Z</x:v>
      </x:c>
      <x:c r="G262" s="1" t="n">
        <x:v>3</x:v>
      </x:c>
      <x:c r="H262" s="6" t="n">
        <x:v>430.5</x:v>
      </x:c>
      <x:c r="I262" s="1" t="n">
        <x:v>5</x:v>
      </x:c>
      <x:c r="J262" s="1" t="str">
        <x:v>store</x:v>
      </x:c>
      <x:c r="K262" s="7" t="n">
        <x:f>DATE(2026,10,1)-F262</x:f>
        <x:v>144</x:v>
      </x:c>
      <x:c r="L262" s="7" t="n">
        <x:f>IF(K262&lt;=30,3,IF(K262&lt;=90,2,1))</x:f>
        <x:v>1</x:v>
      </x:c>
      <x:c r="M262" s="7" t="n">
        <x:f>IF(G262&gt;=8,3,IF(G262&gt;=3,2,1))</x:f>
        <x:v>2</x:v>
      </x:c>
      <x:c r="N262" s="7" t="n">
        <x:f>IF(H262&gt;=600,3,IF(H262&gt;=200,2,1))</x:f>
        <x:v>2</x:v>
      </x:c>
      <x:c r="O262" s="1" t="str">
        <x:f>IF(AND(L262=3,M262=3),"Champions",IF(AND(L262=1,M262&gt;=2),"At risk",IF(AND(L262=3,M262=1),"New",IF(AND(L262=1,M262=1),"Hibernating",IF(AND(L262=2,M262=1),"Promising","Loyal")))))</x:f>
        <x:v>At risk</x:v>
      </x:c>
    </x:row>
    <x:row r="263">
      <x:c r="A263" s="1" t="str">
        <x:v>C0262</x:v>
      </x:c>
      <x:c r="B263" s="1" t="str">
        <x:v>Samuel</x:v>
      </x:c>
      <x:c r="C263" s="1" t="str">
        <x:v>customer0262@example.com</x:v>
      </x:c>
      <x:c r="D263" s="1" t="str">
        <x:v>India</x:v>
      </x:c>
      <x:c r="E263" s="5" t="d">
        <x:v>2025-06-27T00:00:00.000Z</x:v>
      </x:c>
      <x:c r="F263" s="5" t="d">
        <x:v>2026-07-26T00:00:00.000Z</x:v>
      </x:c>
      <x:c r="G263" s="1" t="n">
        <x:v>3</x:v>
      </x:c>
      <x:c r="H263" s="6" t="n">
        <x:v>848.16</x:v>
      </x:c>
      <x:c r="I263" s="1" t="n">
        <x:v>10</x:v>
      </x:c>
      <x:c r="J263" s="1" t="str">
        <x:v>app</x:v>
      </x:c>
      <x:c r="K263" s="7" t="n">
        <x:f>DATE(2026,10,1)-F263</x:f>
        <x:v>67</x:v>
      </x:c>
      <x:c r="L263" s="7" t="n">
        <x:f>IF(K263&lt;=30,3,IF(K263&lt;=90,2,1))</x:f>
        <x:v>2</x:v>
      </x:c>
      <x:c r="M263" s="7" t="n">
        <x:f>IF(G263&gt;=8,3,IF(G263&gt;=3,2,1))</x:f>
        <x:v>2</x:v>
      </x:c>
      <x:c r="N263" s="7" t="n">
        <x:f>IF(H263&gt;=600,3,IF(H263&gt;=200,2,1))</x:f>
        <x:v>3</x:v>
      </x:c>
      <x:c r="O263" s="1" t="str">
        <x:f>IF(AND(L263=3,M263=3),"Champions",IF(AND(L263=1,M263&gt;=2),"At risk",IF(AND(L263=3,M263=1),"New",IF(AND(L263=1,M263=1),"Hibernating",IF(AND(L263=2,M263=1),"Promising","Loyal")))))</x:f>
        <x:v>Loyal</x:v>
      </x:c>
    </x:row>
    <x:row r="264">
      <x:c r="A264" s="1" t="str">
        <x:v>C0263</x:v>
      </x:c>
      <x:c r="B264" s="1" t="str">
        <x:v>Sofia</x:v>
      </x:c>
      <x:c r="C264" s="1" t="str">
        <x:v>customer0263@example.com</x:v>
      </x:c>
      <x:c r="D264" s="1" t="str">
        <x:v>Brazil</x:v>
      </x:c>
      <x:c r="E264" s="5" t="d">
        <x:v>2024-12-01T00:00:00.000Z</x:v>
      </x:c>
      <x:c r="F264" s="5" t="d">
        <x:v>2026-04-03T00:00:00.000Z</x:v>
      </x:c>
      <x:c r="G264" s="1" t="n">
        <x:v>8</x:v>
      </x:c>
      <x:c r="H264" s="6" t="n">
        <x:v>1196.52</x:v>
      </x:c>
      <x:c r="I264" s="1" t="n">
        <x:v>2</x:v>
      </x:c>
      <x:c r="J264" s="1" t="str">
        <x:v>web</x:v>
      </x:c>
      <x:c r="K264" s="7" t="n">
        <x:f>DATE(2026,10,1)-F264</x:f>
        <x:v>181</x:v>
      </x:c>
      <x:c r="L264" s="7" t="n">
        <x:f>IF(K264&lt;=30,3,IF(K264&lt;=90,2,1))</x:f>
        <x:v>1</x:v>
      </x:c>
      <x:c r="M264" s="7" t="n">
        <x:f>IF(G264&gt;=8,3,IF(G264&gt;=3,2,1))</x:f>
        <x:v>3</x:v>
      </x:c>
      <x:c r="N264" s="7" t="n">
        <x:f>IF(H264&gt;=600,3,IF(H264&gt;=200,2,1))</x:f>
        <x:v>3</x:v>
      </x:c>
      <x:c r="O264" s="1" t="str">
        <x:f>IF(AND(L264=3,M264=3),"Champions",IF(AND(L264=1,M264&gt;=2),"At risk",IF(AND(L264=3,M264=1),"New",IF(AND(L264=1,M264=1),"Hibernating",IF(AND(L264=2,M264=1),"Promising","Loyal")))))</x:f>
        <x:v>At risk</x:v>
      </x:c>
    </x:row>
    <x:row r="265">
      <x:c r="A265" s="1" t="str">
        <x:v>C0264</x:v>
      </x:c>
      <x:c r="B265" s="1" t="str">
        <x:v>Jonas</x:v>
      </x:c>
      <x:c r="C265" s="1" t="str">
        <x:v>customer0264@example.com</x:v>
      </x:c>
      <x:c r="D265" s="1" t="str">
        <x:v>UK</x:v>
      </x:c>
      <x:c r="E265" s="5" t="d">
        <x:v>2025-02-25T00:00:00.000Z</x:v>
      </x:c>
      <x:c r="F265" s="5" t="d">
        <x:v>2026-09-14T00:00:00.000Z</x:v>
      </x:c>
      <x:c r="G265" s="1" t="n">
        <x:v>4</x:v>
      </x:c>
      <x:c r="H265" s="6" t="n">
        <x:v>699.61</x:v>
      </x:c>
      <x:c r="I265" s="1" t="n">
        <x:v>7</x:v>
      </x:c>
      <x:c r="J265" s="1" t="str">
        <x:v>app</x:v>
      </x:c>
      <x:c r="K265" s="7" t="n">
        <x:f>DATE(2026,10,1)-F265</x:f>
        <x:v>17</x:v>
      </x:c>
      <x:c r="L265" s="7" t="n">
        <x:f>IF(K265&lt;=30,3,IF(K265&lt;=90,2,1))</x:f>
        <x:v>3</x:v>
      </x:c>
      <x:c r="M265" s="7" t="n">
        <x:f>IF(G265&gt;=8,3,IF(G265&gt;=3,2,1))</x:f>
        <x:v>2</x:v>
      </x:c>
      <x:c r="N265" s="7" t="n">
        <x:f>IF(H265&gt;=600,3,IF(H265&gt;=200,2,1))</x:f>
        <x:v>3</x:v>
      </x:c>
      <x:c r="O265" s="1" t="str">
        <x:f>IF(AND(L265=3,M265=3),"Champions",IF(AND(L265=1,M265&gt;=2),"At risk",IF(AND(L265=3,M265=1),"New",IF(AND(L265=1,M265=1),"Hibernating",IF(AND(L265=2,M265=1),"Promising","Loyal")))))</x:f>
        <x:v>Loyal</x:v>
      </x:c>
    </x:row>
    <x:row r="266">
      <x:c r="A266" s="1" t="str">
        <x:v>C0265</x:v>
      </x:c>
      <x:c r="B266" s="1" t="str">
        <x:v>Diego</x:v>
      </x:c>
      <x:c r="C266" s="1" t="str">
        <x:v>customer0265@example.com</x:v>
      </x:c>
      <x:c r="D266" s="1" t="str">
        <x:v>Germany</x:v>
      </x:c>
      <x:c r="E266" s="5" t="d">
        <x:v>2025-10-27T00:00:00.000Z</x:v>
      </x:c>
      <x:c r="F266" s="5" t="d">
        <x:v>2026-07-31T00:00:00.000Z</x:v>
      </x:c>
      <x:c r="G266" s="1" t="n">
        <x:v>4</x:v>
      </x:c>
      <x:c r="H266" s="6" t="n">
        <x:v>308.98</x:v>
      </x:c>
      <x:c r="I266" s="1" t="n">
        <x:v>5</x:v>
      </x:c>
      <x:c r="J266" s="1" t="str">
        <x:v>app</x:v>
      </x:c>
      <x:c r="K266" s="7" t="n">
        <x:f>DATE(2026,10,1)-F266</x:f>
        <x:v>62</x:v>
      </x:c>
      <x:c r="L266" s="7" t="n">
        <x:f>IF(K266&lt;=30,3,IF(K266&lt;=90,2,1))</x:f>
        <x:v>2</x:v>
      </x:c>
      <x:c r="M266" s="7" t="n">
        <x:f>IF(G266&gt;=8,3,IF(G266&gt;=3,2,1))</x:f>
        <x:v>2</x:v>
      </x:c>
      <x:c r="N266" s="7" t="n">
        <x:f>IF(H266&gt;=600,3,IF(H266&gt;=200,2,1))</x:f>
        <x:v>2</x:v>
      </x:c>
      <x:c r="O266" s="1" t="str">
        <x:f>IF(AND(L266=3,M266=3),"Champions",IF(AND(L266=1,M266&gt;=2),"At risk",IF(AND(L266=3,M266=1),"New",IF(AND(L266=1,M266=1),"Hibernating",IF(AND(L266=2,M266=1),"Promising","Loyal")))))</x:f>
        <x:v>Loyal</x:v>
      </x:c>
    </x:row>
    <x:row r="267">
      <x:c r="A267" s="1" t="str">
        <x:v>C0266</x:v>
      </x:c>
      <x:c r="B267" s="1" t="str">
        <x:v>Sofia</x:v>
      </x:c>
      <x:c r="C267" s="1" t="str">
        <x:v>customer0266@example.com</x:v>
      </x:c>
      <x:c r="D267" s="1" t="str">
        <x:v>UK</x:v>
      </x:c>
      <x:c r="E267" s="5" t="d">
        <x:v>2025-05-02T00:00:00.000Z</x:v>
      </x:c>
      <x:c r="F267" s="5" t="d">
        <x:v>2026-09-08T00:00:00.000Z</x:v>
      </x:c>
      <x:c r="G267" s="1" t="n">
        <x:v>5</x:v>
      </x:c>
      <x:c r="H267" s="6" t="n">
        <x:v>519.33</x:v>
      </x:c>
      <x:c r="I267" s="1" t="n">
        <x:v>8</x:v>
      </x:c>
      <x:c r="J267" s="1" t="str">
        <x:v>app</x:v>
      </x:c>
      <x:c r="K267" s="7" t="n">
        <x:f>DATE(2026,10,1)-F267</x:f>
        <x:v>23</x:v>
      </x:c>
      <x:c r="L267" s="7" t="n">
        <x:f>IF(K267&lt;=30,3,IF(K267&lt;=90,2,1))</x:f>
        <x:v>3</x:v>
      </x:c>
      <x:c r="M267" s="7" t="n">
        <x:f>IF(G267&gt;=8,3,IF(G267&gt;=3,2,1))</x:f>
        <x:v>2</x:v>
      </x:c>
      <x:c r="N267" s="7" t="n">
        <x:f>IF(H267&gt;=600,3,IF(H267&gt;=200,2,1))</x:f>
        <x:v>2</x:v>
      </x:c>
      <x:c r="O267" s="1" t="str">
        <x:f>IF(AND(L267=3,M267=3),"Champions",IF(AND(L267=1,M267&gt;=2),"At risk",IF(AND(L267=3,M267=1),"New",IF(AND(L267=1,M267=1),"Hibernating",IF(AND(L267=2,M267=1),"Promising","Loyal")))))</x:f>
        <x:v>Loyal</x:v>
      </x:c>
    </x:row>
    <x:row r="268">
      <x:c r="A268" s="1" t="str">
        <x:v>C0267</x:v>
      </x:c>
      <x:c r="B268" s="1" t="str">
        <x:v>Sofia</x:v>
      </x:c>
      <x:c r="C268" s="1" t="str">
        <x:v>customer0267@example.com</x:v>
      </x:c>
      <x:c r="D268" s="1" t="str">
        <x:v>Germany</x:v>
      </x:c>
      <x:c r="E268" s="5" t="d">
        <x:v>2026-08-18T00:00:00.000Z</x:v>
      </x:c>
      <x:c r="F268" s="5" t="d">
        <x:v>2026-09-05T00:00:00.000Z</x:v>
      </x:c>
      <x:c r="G268" s="1" t="n">
        <x:v>1</x:v>
      </x:c>
      <x:c r="H268" s="6" t="n">
        <x:v>109.59</x:v>
      </x:c>
      <x:c r="I268" s="1" t="n">
        <x:v>12</x:v>
      </x:c>
      <x:c r="J268" s="1" t="str">
        <x:v>app</x:v>
      </x:c>
      <x:c r="K268" s="7" t="n">
        <x:f>DATE(2026,10,1)-F268</x:f>
        <x:v>26</x:v>
      </x:c>
      <x:c r="L268" s="7" t="n">
        <x:f>IF(K268&lt;=30,3,IF(K268&lt;=90,2,1))</x:f>
        <x:v>3</x:v>
      </x:c>
      <x:c r="M268" s="7" t="n">
        <x:f>IF(G268&gt;=8,3,IF(G268&gt;=3,2,1))</x:f>
        <x:v>1</x:v>
      </x:c>
      <x:c r="N268" s="7" t="n">
        <x:f>IF(H268&gt;=600,3,IF(H268&gt;=200,2,1))</x:f>
        <x:v>1</x:v>
      </x:c>
      <x:c r="O268" s="1" t="str">
        <x:f>IF(AND(L268=3,M268=3),"Champions",IF(AND(L268=1,M268&gt;=2),"At risk",IF(AND(L268=3,M268=1),"New",IF(AND(L268=1,M268=1),"Hibernating",IF(AND(L268=2,M268=1),"Promising","Loyal")))))</x:f>
        <x:v>New</x:v>
      </x:c>
    </x:row>
    <x:row r="269">
      <x:c r="A269" s="1" t="str">
        <x:v>C0268</x:v>
      </x:c>
      <x:c r="B269" s="1" t="str">
        <x:v>Sofia</x:v>
      </x:c>
      <x:c r="C269" s="1" t="str">
        <x:v>customer0268@example.com</x:v>
      </x:c>
      <x:c r="D269" s="1" t="str">
        <x:v>UAE</x:v>
      </x:c>
      <x:c r="E269" s="5" t="d">
        <x:v>2025-03-16T00:00:00.000Z</x:v>
      </x:c>
      <x:c r="F269" s="5" t="d">
        <x:v>2025-11-14T00:00:00.000Z</x:v>
      </x:c>
      <x:c r="G269" s="1" t="n">
        <x:v>2</x:v>
      </x:c>
      <x:c r="H269" s="6" t="n">
        <x:v>189.66</x:v>
      </x:c>
      <x:c r="I269" s="1" t="n">
        <x:v>4</x:v>
      </x:c>
      <x:c r="J269" s="1" t="str">
        <x:v>web</x:v>
      </x:c>
      <x:c r="K269" s="7" t="n">
        <x:f>DATE(2026,10,1)-F269</x:f>
        <x:v>321</x:v>
      </x:c>
      <x:c r="L269" s="7" t="n">
        <x:f>IF(K269&lt;=30,3,IF(K269&lt;=90,2,1))</x:f>
        <x:v>1</x:v>
      </x:c>
      <x:c r="M269" s="7" t="n">
        <x:f>IF(G269&gt;=8,3,IF(G269&gt;=3,2,1))</x:f>
        <x:v>1</x:v>
      </x:c>
      <x:c r="N269" s="7" t="n">
        <x:f>IF(H269&gt;=600,3,IF(H269&gt;=200,2,1))</x:f>
        <x:v>1</x:v>
      </x:c>
      <x:c r="O269" s="1" t="str">
        <x:f>IF(AND(L269=3,M269=3),"Champions",IF(AND(L269=1,M269&gt;=2),"At risk",IF(AND(L269=3,M269=1),"New",IF(AND(L269=1,M269=1),"Hibernating",IF(AND(L269=2,M269=1),"Promising","Loyal")))))</x:f>
        <x:v>Hibernating</x:v>
      </x:c>
    </x:row>
    <x:row r="270">
      <x:c r="A270" s="1" t="str">
        <x:v>C0269</x:v>
      </x:c>
      <x:c r="B270" s="1" t="str">
        <x:v>Aarav</x:v>
      </x:c>
      <x:c r="C270" s="1" t="str">
        <x:v>customer0269@example.com</x:v>
      </x:c>
      <x:c r="D270" s="1" t="str">
        <x:v>Australia</x:v>
      </x:c>
      <x:c r="E270" s="5" t="d">
        <x:v>2024-08-08T00:00:00.000Z</x:v>
      </x:c>
      <x:c r="F270" s="5" t="d">
        <x:v>2026-05-25T00:00:00.000Z</x:v>
      </x:c>
      <x:c r="G270" s="1" t="n">
        <x:v>2</x:v>
      </x:c>
      <x:c r="H270" s="6" t="n">
        <x:v>40.26</x:v>
      </x:c>
      <x:c r="I270" s="1" t="n">
        <x:v>12</x:v>
      </x:c>
      <x:c r="J270" s="1" t="str">
        <x:v>store</x:v>
      </x:c>
      <x:c r="K270" s="7" t="n">
        <x:f>DATE(2026,10,1)-F270</x:f>
        <x:v>129</x:v>
      </x:c>
      <x:c r="L270" s="7" t="n">
        <x:f>IF(K270&lt;=30,3,IF(K270&lt;=90,2,1))</x:f>
        <x:v>1</x:v>
      </x:c>
      <x:c r="M270" s="7" t="n">
        <x:f>IF(G270&gt;=8,3,IF(G270&gt;=3,2,1))</x:f>
        <x:v>1</x:v>
      </x:c>
      <x:c r="N270" s="7" t="n">
        <x:f>IF(H270&gt;=600,3,IF(H270&gt;=200,2,1))</x:f>
        <x:v>1</x:v>
      </x:c>
      <x:c r="O270" s="1" t="str">
        <x:f>IF(AND(L270=3,M270=3),"Champions",IF(AND(L270=1,M270&gt;=2),"At risk",IF(AND(L270=3,M270=1),"New",IF(AND(L270=1,M270=1),"Hibernating",IF(AND(L270=2,M270=1),"Promising","Loyal")))))</x:f>
        <x:v>Hibernating</x:v>
      </x:c>
    </x:row>
    <x:row r="271">
      <x:c r="A271" s="1" t="str">
        <x:v>C0270</x:v>
      </x:c>
      <x:c r="B271" s="1" t="str">
        <x:v>Ines</x:v>
      </x:c>
      <x:c r="C271" s="1" t="str">
        <x:v>customer0270@example.com</x:v>
      </x:c>
      <x:c r="D271" s="1" t="str">
        <x:v>UK</x:v>
      </x:c>
      <x:c r="E271" s="5" t="d">
        <x:v>2025-03-14T00:00:00.000Z</x:v>
      </x:c>
      <x:c r="F271" s="5" t="d">
        <x:v>2026-09-04T00:00:00.000Z</x:v>
      </x:c>
      <x:c r="G271" s="1" t="n">
        <x:v>6</x:v>
      </x:c>
      <x:c r="H271" s="6" t="n">
        <x:v>201.35</x:v>
      </x:c>
      <x:c r="I271" s="1" t="n">
        <x:v>5</x:v>
      </x:c>
      <x:c r="J271" s="1" t="str">
        <x:v>web</x:v>
      </x:c>
      <x:c r="K271" s="7" t="n">
        <x:f>DATE(2026,10,1)-F271</x:f>
        <x:v>27</x:v>
      </x:c>
      <x:c r="L271" s="7" t="n">
        <x:f>IF(K271&lt;=30,3,IF(K271&lt;=90,2,1))</x:f>
        <x:v>3</x:v>
      </x:c>
      <x:c r="M271" s="7" t="n">
        <x:f>IF(G271&gt;=8,3,IF(G271&gt;=3,2,1))</x:f>
        <x:v>2</x:v>
      </x:c>
      <x:c r="N271" s="7" t="n">
        <x:f>IF(H271&gt;=600,3,IF(H271&gt;=200,2,1))</x:f>
        <x:v>2</x:v>
      </x:c>
      <x:c r="O271" s="1" t="str">
        <x:f>IF(AND(L271=3,M271=3),"Champions",IF(AND(L271=1,M271&gt;=2),"At risk",IF(AND(L271=3,M271=1),"New",IF(AND(L271=1,M271=1),"Hibernating",IF(AND(L271=2,M271=1),"Promising","Loyal")))))</x:f>
        <x:v>Loyal</x:v>
      </x:c>
    </x:row>
    <x:row r="272">
      <x:c r="A272" s="1" t="str">
        <x:v>C0271</x:v>
      </x:c>
      <x:c r="B272" s="1" t="str">
        <x:v>Kenji</x:v>
      </x:c>
      <x:c r="C272" s="1" t="str">
        <x:v>customer0271@example.com</x:v>
      </x:c>
      <x:c r="D272" s="1" t="str">
        <x:v>UK</x:v>
      </x:c>
      <x:c r="E272" s="5" t="d">
        <x:v>2026-03-16T00:00:00.000Z</x:v>
      </x:c>
      <x:c r="F272" s="5" t="d">
        <x:v>2026-09-17T00:00:00.000Z</x:v>
      </x:c>
      <x:c r="G272" s="1" t="n">
        <x:v>11</x:v>
      </x:c>
      <x:c r="H272" s="6" t="n">
        <x:v>1042.96</x:v>
      </x:c>
      <x:c r="I272" s="1" t="n">
        <x:v>8</x:v>
      </x:c>
      <x:c r="J272" s="1" t="str">
        <x:v>app</x:v>
      </x:c>
      <x:c r="K272" s="7" t="n">
        <x:f>DATE(2026,10,1)-F272</x:f>
        <x:v>14</x:v>
      </x:c>
      <x:c r="L272" s="7" t="n">
        <x:f>IF(K272&lt;=30,3,IF(K272&lt;=90,2,1))</x:f>
        <x:v>3</x:v>
      </x:c>
      <x:c r="M272" s="7" t="n">
        <x:f>IF(G272&gt;=8,3,IF(G272&gt;=3,2,1))</x:f>
        <x:v>3</x:v>
      </x:c>
      <x:c r="N272" s="7" t="n">
        <x:f>IF(H272&gt;=600,3,IF(H272&gt;=200,2,1))</x:f>
        <x:v>3</x:v>
      </x:c>
      <x:c r="O272" s="1" t="str">
        <x:f>IF(AND(L272=3,M272=3),"Champions",IF(AND(L272=1,M272&gt;=2),"At risk",IF(AND(L272=3,M272=1),"New",IF(AND(L272=1,M272=1),"Hibernating",IF(AND(L272=2,M272=1),"Promising","Loyal")))))</x:f>
        <x:v>Champions</x:v>
      </x:c>
    </x:row>
    <x:row r="273">
      <x:c r="A273" s="1" t="str">
        <x:v>C0272</x:v>
      </x:c>
      <x:c r="B273" s="1" t="str">
        <x:v>Elena</x:v>
      </x:c>
      <x:c r="C273" s="1" t="str">
        <x:v>customer0272@example.com</x:v>
      </x:c>
      <x:c r="D273" s="1" t="str">
        <x:v>Australia</x:v>
      </x:c>
      <x:c r="E273" s="5" t="d">
        <x:v>2026-08-17T00:00:00.000Z</x:v>
      </x:c>
      <x:c r="F273" s="5" t="d">
        <x:v>2026-09-24T00:00:00.000Z</x:v>
      </x:c>
      <x:c r="G273" s="1" t="n">
        <x:v>1</x:v>
      </x:c>
      <x:c r="H273" s="6" t="n">
        <x:v>152.64</x:v>
      </x:c>
      <x:c r="I273" s="1" t="n">
        <x:v>12</x:v>
      </x:c>
      <x:c r="J273" s="1" t="str">
        <x:v>web</x:v>
      </x:c>
      <x:c r="K273" s="7" t="n">
        <x:f>DATE(2026,10,1)-F273</x:f>
        <x:v>7</x:v>
      </x:c>
      <x:c r="L273" s="7" t="n">
        <x:f>IF(K273&lt;=30,3,IF(K273&lt;=90,2,1))</x:f>
        <x:v>3</x:v>
      </x:c>
      <x:c r="M273" s="7" t="n">
        <x:f>IF(G273&gt;=8,3,IF(G273&gt;=3,2,1))</x:f>
        <x:v>1</x:v>
      </x:c>
      <x:c r="N273" s="7" t="n">
        <x:f>IF(H273&gt;=600,3,IF(H273&gt;=200,2,1))</x:f>
        <x:v>1</x:v>
      </x:c>
      <x:c r="O273" s="1" t="str">
        <x:f>IF(AND(L273=3,M273=3),"Champions",IF(AND(L273=1,M273&gt;=2),"At risk",IF(AND(L273=3,M273=1),"New",IF(AND(L273=1,M273=1),"Hibernating",IF(AND(L273=2,M273=1),"Promising","Loyal")))))</x:f>
        <x:v>New</x:v>
      </x:c>
    </x:row>
    <x:row r="274">
      <x:c r="A274" s="1" t="str">
        <x:v>C0273</x:v>
      </x:c>
      <x:c r="B274" s="1" t="str">
        <x:v>Yara</x:v>
      </x:c>
      <x:c r="C274" s="1" t="str">
        <x:v>customer0273@example.com</x:v>
      </x:c>
      <x:c r="D274" s="1" t="str">
        <x:v>USA</x:v>
      </x:c>
      <x:c r="E274" s="5" t="d">
        <x:v>2024-11-30T00:00:00.000Z</x:v>
      </x:c>
      <x:c r="F274" s="5" t="d">
        <x:v>2026-09-04T00:00:00.000Z</x:v>
      </x:c>
      <x:c r="G274" s="1" t="n">
        <x:v>7</x:v>
      </x:c>
      <x:c r="H274" s="6" t="n">
        <x:v>668.93</x:v>
      </x:c>
      <x:c r="I274" s="1" t="n">
        <x:v>9</x:v>
      </x:c>
      <x:c r="J274" s="1" t="str">
        <x:v>web</x:v>
      </x:c>
      <x:c r="K274" s="7" t="n">
        <x:f>DATE(2026,10,1)-F274</x:f>
        <x:v>27</x:v>
      </x:c>
      <x:c r="L274" s="7" t="n">
        <x:f>IF(K274&lt;=30,3,IF(K274&lt;=90,2,1))</x:f>
        <x:v>3</x:v>
      </x:c>
      <x:c r="M274" s="7" t="n">
        <x:f>IF(G274&gt;=8,3,IF(G274&gt;=3,2,1))</x:f>
        <x:v>2</x:v>
      </x:c>
      <x:c r="N274" s="7" t="n">
        <x:f>IF(H274&gt;=600,3,IF(H274&gt;=200,2,1))</x:f>
        <x:v>3</x:v>
      </x:c>
      <x:c r="O274" s="1" t="str">
        <x:f>IF(AND(L274=3,M274=3),"Champions",IF(AND(L274=1,M274&gt;=2),"At risk",IF(AND(L274=3,M274=1),"New",IF(AND(L274=1,M274=1),"Hibernating",IF(AND(L274=2,M274=1),"Promising","Loyal")))))</x:f>
        <x:v>Loyal</x:v>
      </x:c>
    </x:row>
    <x:row r="275">
      <x:c r="A275" s="1" t="str">
        <x:v>C0274</x:v>
      </x:c>
      <x:c r="B275" s="1" t="str">
        <x:v>Samuel</x:v>
      </x:c>
      <x:c r="C275" s="1" t="str">
        <x:v>customer0274@example.com</x:v>
      </x:c>
      <x:c r="D275" s="1" t="str">
        <x:v>India</x:v>
      </x:c>
      <x:c r="E275" s="5" t="d">
        <x:v>2025-07-23T00:00:00.000Z</x:v>
      </x:c>
      <x:c r="F275" s="5" t="d">
        <x:v>2026-09-13T00:00:00.000Z</x:v>
      </x:c>
      <x:c r="G275" s="1" t="n">
        <x:v>8</x:v>
      </x:c>
      <x:c r="H275" s="6" t="n">
        <x:v>712.9</x:v>
      </x:c>
      <x:c r="I275" s="1" t="n">
        <x:v>8</x:v>
      </x:c>
      <x:c r="J275" s="1" t="str">
        <x:v>web</x:v>
      </x:c>
      <x:c r="K275" s="7" t="n">
        <x:f>DATE(2026,10,1)-F275</x:f>
        <x:v>18</x:v>
      </x:c>
      <x:c r="L275" s="7" t="n">
        <x:f>IF(K275&lt;=30,3,IF(K275&lt;=90,2,1))</x:f>
        <x:v>3</x:v>
      </x:c>
      <x:c r="M275" s="7" t="n">
        <x:f>IF(G275&gt;=8,3,IF(G275&gt;=3,2,1))</x:f>
        <x:v>3</x:v>
      </x:c>
      <x:c r="N275" s="7" t="n">
        <x:f>IF(H275&gt;=600,3,IF(H275&gt;=200,2,1))</x:f>
        <x:v>3</x:v>
      </x:c>
      <x:c r="O275" s="1" t="str">
        <x:f>IF(AND(L275=3,M275=3),"Champions",IF(AND(L275=1,M275&gt;=2),"At risk",IF(AND(L275=3,M275=1),"New",IF(AND(L275=1,M275=1),"Hibernating",IF(AND(L275=2,M275=1),"Promising","Loyal")))))</x:f>
        <x:v>Champions</x:v>
      </x:c>
    </x:row>
    <x:row r="276">
      <x:c r="A276" s="1" t="str">
        <x:v>C0275</x:v>
      </x:c>
      <x:c r="B276" s="1" t="str">
        <x:v>Kenji</x:v>
      </x:c>
      <x:c r="C276" s="1" t="str">
        <x:v>customer0275@example.com</x:v>
      </x:c>
      <x:c r="D276" s="1" t="str">
        <x:v>Germany</x:v>
      </x:c>
      <x:c r="E276" s="5" t="d">
        <x:v>2025-03-19T00:00:00.000Z</x:v>
      </x:c>
      <x:c r="F276" s="5" t="d">
        <x:v>2026-07-20T00:00:00.000Z</x:v>
      </x:c>
      <x:c r="G276" s="1" t="n">
        <x:v>3</x:v>
      </x:c>
      <x:c r="H276" s="6" t="n">
        <x:v>210.81</x:v>
      </x:c>
      <x:c r="I276" s="1" t="n">
        <x:v>3</x:v>
      </x:c>
      <x:c r="J276" s="1" t="str">
        <x:v>app</x:v>
      </x:c>
      <x:c r="K276" s="7" t="n">
        <x:f>DATE(2026,10,1)-F276</x:f>
        <x:v>73</x:v>
      </x:c>
      <x:c r="L276" s="7" t="n">
        <x:f>IF(K276&lt;=30,3,IF(K276&lt;=90,2,1))</x:f>
        <x:v>2</x:v>
      </x:c>
      <x:c r="M276" s="7" t="n">
        <x:f>IF(G276&gt;=8,3,IF(G276&gt;=3,2,1))</x:f>
        <x:v>2</x:v>
      </x:c>
      <x:c r="N276" s="7" t="n">
        <x:f>IF(H276&gt;=600,3,IF(H276&gt;=200,2,1))</x:f>
        <x:v>2</x:v>
      </x:c>
      <x:c r="O276" s="1" t="str">
        <x:f>IF(AND(L276=3,M276=3),"Champions",IF(AND(L276=1,M276&gt;=2),"At risk",IF(AND(L276=3,M276=1),"New",IF(AND(L276=1,M276=1),"Hibernating",IF(AND(L276=2,M276=1),"Promising","Loyal")))))</x:f>
        <x:v>Loyal</x:v>
      </x:c>
    </x:row>
    <x:row r="277">
      <x:c r="A277" s="1" t="str">
        <x:v>C0276</x:v>
      </x:c>
      <x:c r="B277" s="1" t="str">
        <x:v>Diego</x:v>
      </x:c>
      <x:c r="C277" s="1" t="str">
        <x:v>customer0276@example.com</x:v>
      </x:c>
      <x:c r="D277" s="1" t="str">
        <x:v>Nigeria</x:v>
      </x:c>
      <x:c r="E277" s="5" t="d">
        <x:v>2025-03-12T00:00:00.000Z</x:v>
      </x:c>
      <x:c r="F277" s="5" t="d">
        <x:v>2026-03-27T00:00:00.000Z</x:v>
      </x:c>
      <x:c r="G277" s="1" t="n">
        <x:v>3</x:v>
      </x:c>
      <x:c r="H277" s="6" t="n">
        <x:v>438.01</x:v>
      </x:c>
      <x:c r="I277" s="1" t="n">
        <x:v>0</x:v>
      </x:c>
      <x:c r="J277" s="1" t="str">
        <x:v>web</x:v>
      </x:c>
      <x:c r="K277" s="7" t="n">
        <x:f>DATE(2026,10,1)-F277</x:f>
        <x:v>188</x:v>
      </x:c>
      <x:c r="L277" s="7" t="n">
        <x:f>IF(K277&lt;=30,3,IF(K277&lt;=90,2,1))</x:f>
        <x:v>1</x:v>
      </x:c>
      <x:c r="M277" s="7" t="n">
        <x:f>IF(G277&gt;=8,3,IF(G277&gt;=3,2,1))</x:f>
        <x:v>2</x:v>
      </x:c>
      <x:c r="N277" s="7" t="n">
        <x:f>IF(H277&gt;=600,3,IF(H277&gt;=200,2,1))</x:f>
        <x:v>2</x:v>
      </x:c>
      <x:c r="O277" s="1" t="str">
        <x:f>IF(AND(L277=3,M277=3),"Champions",IF(AND(L277=1,M277&gt;=2),"At risk",IF(AND(L277=3,M277=1),"New",IF(AND(L277=1,M277=1),"Hibernating",IF(AND(L277=2,M277=1),"Promising","Loyal")))))</x:f>
        <x:v>At risk</x:v>
      </x:c>
    </x:row>
    <x:row r="278">
      <x:c r="A278" s="1" t="str">
        <x:v>C0277</x:v>
      </x:c>
      <x:c r="B278" s="1" t="str">
        <x:v>Arjun</x:v>
      </x:c>
      <x:c r="C278" s="1" t="str">
        <x:v>customer0277@example.com</x:v>
      </x:c>
      <x:c r="D278" s="1" t="str">
        <x:v>USA</x:v>
      </x:c>
      <x:c r="E278" s="5" t="d">
        <x:v>2025-03-06T00:00:00.000Z</x:v>
      </x:c>
      <x:c r="F278" s="5" t="d">
        <x:v>2026-03-06T00:00:00.000Z</x:v>
      </x:c>
      <x:c r="G278" s="1" t="n">
        <x:v>11</x:v>
      </x:c>
      <x:c r="H278" s="6" t="n">
        <x:v>332.04</x:v>
      </x:c>
      <x:c r="I278" s="1" t="n">
        <x:v>5</x:v>
      </x:c>
      <x:c r="J278" s="1" t="str">
        <x:v>store</x:v>
      </x:c>
      <x:c r="K278" s="7" t="n">
        <x:f>DATE(2026,10,1)-F278</x:f>
        <x:v>209</x:v>
      </x:c>
      <x:c r="L278" s="7" t="n">
        <x:f>IF(K278&lt;=30,3,IF(K278&lt;=90,2,1))</x:f>
        <x:v>1</x:v>
      </x:c>
      <x:c r="M278" s="7" t="n">
        <x:f>IF(G278&gt;=8,3,IF(G278&gt;=3,2,1))</x:f>
        <x:v>3</x:v>
      </x:c>
      <x:c r="N278" s="7" t="n">
        <x:f>IF(H278&gt;=600,3,IF(H278&gt;=200,2,1))</x:f>
        <x:v>2</x:v>
      </x:c>
      <x:c r="O278" s="1" t="str">
        <x:f>IF(AND(L278=3,M278=3),"Champions",IF(AND(L278=1,M278&gt;=2),"At risk",IF(AND(L278=3,M278=1),"New",IF(AND(L278=1,M278=1),"Hibernating",IF(AND(L278=2,M278=1),"Promising","Loyal")))))</x:f>
        <x:v>At risk</x:v>
      </x:c>
    </x:row>
    <x:row r="279">
      <x:c r="A279" s="1" t="str">
        <x:v>C0278</x:v>
      </x:c>
      <x:c r="B279" s="1" t="str">
        <x:v>Noah</x:v>
      </x:c>
      <x:c r="C279" s="1" t="str">
        <x:v>customer0278@example.com</x:v>
      </x:c>
      <x:c r="D279" s="1" t="str">
        <x:v>Japan</x:v>
      </x:c>
      <x:c r="E279" s="5" t="d">
        <x:v>2025-01-02T00:00:00.000Z</x:v>
      </x:c>
      <x:c r="F279" s="5" t="d">
        <x:v>2026-05-23T00:00:00.000Z</x:v>
      </x:c>
      <x:c r="G279" s="1" t="n">
        <x:v>2</x:v>
      </x:c>
      <x:c r="H279" s="6" t="n">
        <x:v>167.74</x:v>
      </x:c>
      <x:c r="I279" s="1" t="n">
        <x:v>0</x:v>
      </x:c>
      <x:c r="J279" s="1" t="str">
        <x:v>store</x:v>
      </x:c>
      <x:c r="K279" s="7" t="n">
        <x:f>DATE(2026,10,1)-F279</x:f>
        <x:v>131</x:v>
      </x:c>
      <x:c r="L279" s="7" t="n">
        <x:f>IF(K279&lt;=30,3,IF(K279&lt;=90,2,1))</x:f>
        <x:v>1</x:v>
      </x:c>
      <x:c r="M279" s="7" t="n">
        <x:f>IF(G279&gt;=8,3,IF(G279&gt;=3,2,1))</x:f>
        <x:v>1</x:v>
      </x:c>
      <x:c r="N279" s="7" t="n">
        <x:f>IF(H279&gt;=600,3,IF(H279&gt;=200,2,1))</x:f>
        <x:v>1</x:v>
      </x:c>
      <x:c r="O279" s="1" t="str">
        <x:f>IF(AND(L279=3,M279=3),"Champions",IF(AND(L279=1,M279&gt;=2),"At risk",IF(AND(L279=3,M279=1),"New",IF(AND(L279=1,M279=1),"Hibernating",IF(AND(L279=2,M279=1),"Promising","Loyal")))))</x:f>
        <x:v>Hibernating</x:v>
      </x:c>
    </x:row>
    <x:row r="280">
      <x:c r="A280" s="1" t="str">
        <x:v>C0279</x:v>
      </x:c>
      <x:c r="B280" s="1" t="str">
        <x:v>Zara</x:v>
      </x:c>
      <x:c r="C280" s="1" t="str">
        <x:v>customer0279@example.com</x:v>
      </x:c>
      <x:c r="D280" s="1" t="str">
        <x:v>Nigeria</x:v>
      </x:c>
      <x:c r="E280" s="5" t="d">
        <x:v>2026-01-16T00:00:00.000Z</x:v>
      </x:c>
      <x:c r="F280" s="5" t="d">
        <x:v>2026-04-16T00:00:00.000Z</x:v>
      </x:c>
      <x:c r="G280" s="1" t="n">
        <x:v>1</x:v>
      </x:c>
      <x:c r="H280" s="6" t="n">
        <x:v>57.62</x:v>
      </x:c>
      <x:c r="I280" s="1" t="n">
        <x:v>2</x:v>
      </x:c>
      <x:c r="J280" s="1" t="str">
        <x:v>app</x:v>
      </x:c>
      <x:c r="K280" s="7" t="n">
        <x:f>DATE(2026,10,1)-F280</x:f>
        <x:v>168</x:v>
      </x:c>
      <x:c r="L280" s="7" t="n">
        <x:f>IF(K280&lt;=30,3,IF(K280&lt;=90,2,1))</x:f>
        <x:v>1</x:v>
      </x:c>
      <x:c r="M280" s="7" t="n">
        <x:f>IF(G280&gt;=8,3,IF(G280&gt;=3,2,1))</x:f>
        <x:v>1</x:v>
      </x:c>
      <x:c r="N280" s="7" t="n">
        <x:f>IF(H280&gt;=600,3,IF(H280&gt;=200,2,1))</x:f>
        <x:v>1</x:v>
      </x:c>
      <x:c r="O280" s="1" t="str">
        <x:f>IF(AND(L280=3,M280=3),"Champions",IF(AND(L280=1,M280&gt;=2),"At risk",IF(AND(L280=3,M280=1),"New",IF(AND(L280=1,M280=1),"Hibernating",IF(AND(L280=2,M280=1),"Promising","Loyal")))))</x:f>
        <x:v>Hibernating</x:v>
      </x:c>
    </x:row>
    <x:row r="281">
      <x:c r="A281" s="1" t="str">
        <x:v>C0280</x:v>
      </x:c>
      <x:c r="B281" s="1" t="str">
        <x:v>Aarav</x:v>
      </x:c>
      <x:c r="C281" s="1" t="str">
        <x:v>customer0280@example.com</x:v>
      </x:c>
      <x:c r="D281" s="1" t="str">
        <x:v>Singapore</x:v>
      </x:c>
      <x:c r="E281" s="5" t="d">
        <x:v>2026-08-23T00:00:00.000Z</x:v>
      </x:c>
      <x:c r="F281" s="5" t="d">
        <x:v>2026-09-22T00:00:00.000Z</x:v>
      </x:c>
      <x:c r="G281" s="1" t="n">
        <x:v>16</x:v>
      </x:c>
      <x:c r="H281" s="6" t="n">
        <x:v>1907.45</x:v>
      </x:c>
      <x:c r="I281" s="1" t="n">
        <x:v>11</x:v>
      </x:c>
      <x:c r="J281" s="1" t="str">
        <x:v>store</x:v>
      </x:c>
      <x:c r="K281" s="7" t="n">
        <x:f>DATE(2026,10,1)-F281</x:f>
        <x:v>9</x:v>
      </x:c>
      <x:c r="L281" s="7" t="n">
        <x:f>IF(K281&lt;=30,3,IF(K281&lt;=90,2,1))</x:f>
        <x:v>3</x:v>
      </x:c>
      <x:c r="M281" s="7" t="n">
        <x:f>IF(G281&gt;=8,3,IF(G281&gt;=3,2,1))</x:f>
        <x:v>3</x:v>
      </x:c>
      <x:c r="N281" s="7" t="n">
        <x:f>IF(H281&gt;=600,3,IF(H281&gt;=200,2,1))</x:f>
        <x:v>3</x:v>
      </x:c>
      <x:c r="O281" s="1" t="str">
        <x:f>IF(AND(L281=3,M281=3),"Champions",IF(AND(L281=1,M281&gt;=2),"At risk",IF(AND(L281=3,M281=1),"New",IF(AND(L281=1,M281=1),"Hibernating",IF(AND(L281=2,M281=1),"Promising","Loyal")))))</x:f>
        <x:v>Champions</x:v>
      </x:c>
    </x:row>
    <x:row r="282">
      <x:c r="A282" s="1" t="str">
        <x:v>C0281</x:v>
      </x:c>
      <x:c r="B282" s="1" t="str">
        <x:v>Noah</x:v>
      </x:c>
      <x:c r="C282" s="1" t="str">
        <x:v>customer0281@example.com</x:v>
      </x:c>
      <x:c r="D282" s="1" t="str">
        <x:v>Japan</x:v>
      </x:c>
      <x:c r="E282" s="5" t="d">
        <x:v>2025-02-06T00:00:00.000Z</x:v>
      </x:c>
      <x:c r="F282" s="5" t="d">
        <x:v>2026-09-19T00:00:00.000Z</x:v>
      </x:c>
      <x:c r="G282" s="1" t="n">
        <x:v>9</x:v>
      </x:c>
      <x:c r="H282" s="6" t="n">
        <x:v>619.58</x:v>
      </x:c>
      <x:c r="I282" s="1" t="n">
        <x:v>3</x:v>
      </x:c>
      <x:c r="J282" s="1" t="str">
        <x:v>store</x:v>
      </x:c>
      <x:c r="K282" s="7" t="n">
        <x:f>DATE(2026,10,1)-F282</x:f>
        <x:v>12</x:v>
      </x:c>
      <x:c r="L282" s="7" t="n">
        <x:f>IF(K282&lt;=30,3,IF(K282&lt;=90,2,1))</x:f>
        <x:v>3</x:v>
      </x:c>
      <x:c r="M282" s="7" t="n">
        <x:f>IF(G282&gt;=8,3,IF(G282&gt;=3,2,1))</x:f>
        <x:v>3</x:v>
      </x:c>
      <x:c r="N282" s="7" t="n">
        <x:f>IF(H282&gt;=600,3,IF(H282&gt;=200,2,1))</x:f>
        <x:v>3</x:v>
      </x:c>
      <x:c r="O282" s="1" t="str">
        <x:f>IF(AND(L282=3,M282=3),"Champions",IF(AND(L282=1,M282&gt;=2),"At risk",IF(AND(L282=3,M282=1),"New",IF(AND(L282=1,M282=1),"Hibernating",IF(AND(L282=2,M282=1),"Promising","Loyal")))))</x:f>
        <x:v>Champions</x:v>
      </x:c>
    </x:row>
    <x:row r="283">
      <x:c r="A283" s="1" t="str">
        <x:v>C0282</x:v>
      </x:c>
      <x:c r="B283" s="1" t="str">
        <x:v>Omar</x:v>
      </x:c>
      <x:c r="C283" s="1" t="str">
        <x:v>customer0282@example.com</x:v>
      </x:c>
      <x:c r="D283" s="1" t="str">
        <x:v>Singapore</x:v>
      </x:c>
      <x:c r="E283" s="5" t="d">
        <x:v>2026-02-13T00:00:00.000Z</x:v>
      </x:c>
      <x:c r="F283" s="5" t="d">
        <x:v>2026-03-31T00:00:00.000Z</x:v>
      </x:c>
      <x:c r="G283" s="1" t="n">
        <x:v>4</x:v>
      </x:c>
      <x:c r="H283" s="6" t="n">
        <x:v>1074.66</x:v>
      </x:c>
      <x:c r="I283" s="1" t="n">
        <x:v>7</x:v>
      </x:c>
      <x:c r="J283" s="1" t="str">
        <x:v>web</x:v>
      </x:c>
      <x:c r="K283" s="7" t="n">
        <x:f>DATE(2026,10,1)-F283</x:f>
        <x:v>184</x:v>
      </x:c>
      <x:c r="L283" s="7" t="n">
        <x:f>IF(K283&lt;=30,3,IF(K283&lt;=90,2,1))</x:f>
        <x:v>1</x:v>
      </x:c>
      <x:c r="M283" s="7" t="n">
        <x:f>IF(G283&gt;=8,3,IF(G283&gt;=3,2,1))</x:f>
        <x:v>2</x:v>
      </x:c>
      <x:c r="N283" s="7" t="n">
        <x:f>IF(H283&gt;=600,3,IF(H283&gt;=200,2,1))</x:f>
        <x:v>3</x:v>
      </x:c>
      <x:c r="O283" s="1" t="str">
        <x:f>IF(AND(L283=3,M283=3),"Champions",IF(AND(L283=1,M283&gt;=2),"At risk",IF(AND(L283=3,M283=1),"New",IF(AND(L283=1,M283=1),"Hibernating",IF(AND(L283=2,M283=1),"Promising","Loyal")))))</x:f>
        <x:v>At risk</x:v>
      </x:c>
    </x:row>
    <x:row r="284">
      <x:c r="A284" s="1" t="str">
        <x:v>C0283</x:v>
      </x:c>
      <x:c r="B284" s="1" t="str">
        <x:v>Mateo</x:v>
      </x:c>
      <x:c r="C284" s="1" t="str">
        <x:v>customer0283@example.com</x:v>
      </x:c>
      <x:c r="D284" s="1" t="str">
        <x:v>UK</x:v>
      </x:c>
      <x:c r="E284" s="5" t="d">
        <x:v>2026-08-30T00:00:00.000Z</x:v>
      </x:c>
      <x:c r="F284" s="5" t="d">
        <x:v>2026-09-06T00:00:00.000Z</x:v>
      </x:c>
      <x:c r="G284" s="1" t="n">
        <x:v>2</x:v>
      </x:c>
      <x:c r="H284" s="6" t="n">
        <x:v>37.61</x:v>
      </x:c>
      <x:c r="I284" s="1" t="n">
        <x:v>8</x:v>
      </x:c>
      <x:c r="J284" s="1" t="str">
        <x:v>store</x:v>
      </x:c>
      <x:c r="K284" s="7" t="n">
        <x:f>DATE(2026,10,1)-F284</x:f>
        <x:v>25</x:v>
      </x:c>
      <x:c r="L284" s="7" t="n">
        <x:f>IF(K284&lt;=30,3,IF(K284&lt;=90,2,1))</x:f>
        <x:v>3</x:v>
      </x:c>
      <x:c r="M284" s="7" t="n">
        <x:f>IF(G284&gt;=8,3,IF(G284&gt;=3,2,1))</x:f>
        <x:v>1</x:v>
      </x:c>
      <x:c r="N284" s="7" t="n">
        <x:f>IF(H284&gt;=600,3,IF(H284&gt;=200,2,1))</x:f>
        <x:v>1</x:v>
      </x:c>
      <x:c r="O284" s="1" t="str">
        <x:f>IF(AND(L284=3,M284=3),"Champions",IF(AND(L284=1,M284&gt;=2),"At risk",IF(AND(L284=3,M284=1),"New",IF(AND(L284=1,M284=1),"Hibernating",IF(AND(L284=2,M284=1),"Promising","Loyal")))))</x:f>
        <x:v>New</x:v>
      </x:c>
    </x:row>
    <x:row r="285">
      <x:c r="A285" s="1" t="str">
        <x:v>C0284</x:v>
      </x:c>
      <x:c r="B285" s="1" t="str">
        <x:v>Elena</x:v>
      </x:c>
      <x:c r="C285" s="1" t="str">
        <x:v>customer0284@example.com</x:v>
      </x:c>
      <x:c r="D285" s="1" t="str">
        <x:v>UAE</x:v>
      </x:c>
      <x:c r="E285" s="5" t="d">
        <x:v>2025-05-07T00:00:00.000Z</x:v>
      </x:c>
      <x:c r="F285" s="5" t="d">
        <x:v>2026-08-23T00:00:00.000Z</x:v>
      </x:c>
      <x:c r="G285" s="1" t="n">
        <x:v>4</x:v>
      </x:c>
      <x:c r="H285" s="6" t="n">
        <x:v>668.14</x:v>
      </x:c>
      <x:c r="I285" s="1" t="n">
        <x:v>2</x:v>
      </x:c>
      <x:c r="J285" s="1" t="str">
        <x:v>app</x:v>
      </x:c>
      <x:c r="K285" s="7" t="n">
        <x:f>DATE(2026,10,1)-F285</x:f>
        <x:v>39</x:v>
      </x:c>
      <x:c r="L285" s="7" t="n">
        <x:f>IF(K285&lt;=30,3,IF(K285&lt;=90,2,1))</x:f>
        <x:v>2</x:v>
      </x:c>
      <x:c r="M285" s="7" t="n">
        <x:f>IF(G285&gt;=8,3,IF(G285&gt;=3,2,1))</x:f>
        <x:v>2</x:v>
      </x:c>
      <x:c r="N285" s="7" t="n">
        <x:f>IF(H285&gt;=600,3,IF(H285&gt;=200,2,1))</x:f>
        <x:v>3</x:v>
      </x:c>
      <x:c r="O285" s="1" t="str">
        <x:f>IF(AND(L285=3,M285=3),"Champions",IF(AND(L285=1,M285&gt;=2),"At risk",IF(AND(L285=3,M285=1),"New",IF(AND(L285=1,M285=1),"Hibernating",IF(AND(L285=2,M285=1),"Promising","Loyal")))))</x:f>
        <x:v>Loyal</x:v>
      </x:c>
    </x:row>
    <x:row r="286">
      <x:c r="A286" s="1" t="str">
        <x:v>C0285</x:v>
      </x:c>
      <x:c r="B286" s="1" t="str">
        <x:v>Ethan</x:v>
      </x:c>
      <x:c r="C286" s="1" t="str">
        <x:v>customer0285@example.com</x:v>
      </x:c>
      <x:c r="D286" s="1" t="str">
        <x:v>India</x:v>
      </x:c>
      <x:c r="E286" s="5" t="d">
        <x:v>2024-03-29T00:00:00.000Z</x:v>
      </x:c>
      <x:c r="F286" s="5" t="d">
        <x:v>2025-12-06T00:00:00.000Z</x:v>
      </x:c>
      <x:c r="G286" s="1" t="n">
        <x:v>2</x:v>
      </x:c>
      <x:c r="H286" s="6" t="n">
        <x:v>119.48</x:v>
      </x:c>
      <x:c r="I286" s="1" t="n">
        <x:v>6</x:v>
      </x:c>
      <x:c r="J286" s="1" t="str">
        <x:v>app</x:v>
      </x:c>
      <x:c r="K286" s="7" t="n">
        <x:f>DATE(2026,10,1)-F286</x:f>
        <x:v>299</x:v>
      </x:c>
      <x:c r="L286" s="7" t="n">
        <x:f>IF(K286&lt;=30,3,IF(K286&lt;=90,2,1))</x:f>
        <x:v>1</x:v>
      </x:c>
      <x:c r="M286" s="7" t="n">
        <x:f>IF(G286&gt;=8,3,IF(G286&gt;=3,2,1))</x:f>
        <x:v>1</x:v>
      </x:c>
      <x:c r="N286" s="7" t="n">
        <x:f>IF(H286&gt;=600,3,IF(H286&gt;=200,2,1))</x:f>
        <x:v>1</x:v>
      </x:c>
      <x:c r="O286" s="1" t="str">
        <x:f>IF(AND(L286=3,M286=3),"Champions",IF(AND(L286=1,M286&gt;=2),"At risk",IF(AND(L286=3,M286=1),"New",IF(AND(L286=1,M286=1),"Hibernating",IF(AND(L286=2,M286=1),"Promising","Loyal")))))</x:f>
        <x:v>Hibernating</x:v>
      </x:c>
    </x:row>
    <x:row r="287">
      <x:c r="A287" s="1" t="str">
        <x:v>C0286</x:v>
      </x:c>
      <x:c r="B287" s="1" t="str">
        <x:v>Arjun</x:v>
      </x:c>
      <x:c r="C287" s="1" t="str">
        <x:v>customer0286@example.com</x:v>
      </x:c>
      <x:c r="D287" s="1" t="str">
        <x:v>UAE</x:v>
      </x:c>
      <x:c r="E287" s="5" t="d">
        <x:v>2025-01-23T00:00:00.000Z</x:v>
      </x:c>
      <x:c r="F287" s="5" t="d">
        <x:v>2026-01-01T00:00:00.000Z</x:v>
      </x:c>
      <x:c r="G287" s="1" t="n">
        <x:v>2</x:v>
      </x:c>
      <x:c r="H287" s="6" t="n">
        <x:v>57.07</x:v>
      </x:c>
      <x:c r="I287" s="1" t="n">
        <x:v>9</x:v>
      </x:c>
      <x:c r="J287" s="1" t="str">
        <x:v>web</x:v>
      </x:c>
      <x:c r="K287" s="7" t="n">
        <x:f>DATE(2026,10,1)-F287</x:f>
        <x:v>273</x:v>
      </x:c>
      <x:c r="L287" s="7" t="n">
        <x:f>IF(K287&lt;=30,3,IF(K287&lt;=90,2,1))</x:f>
        <x:v>1</x:v>
      </x:c>
      <x:c r="M287" s="7" t="n">
        <x:f>IF(G287&gt;=8,3,IF(G287&gt;=3,2,1))</x:f>
        <x:v>1</x:v>
      </x:c>
      <x:c r="N287" s="7" t="n">
        <x:f>IF(H287&gt;=600,3,IF(H287&gt;=200,2,1))</x:f>
        <x:v>1</x:v>
      </x:c>
      <x:c r="O287" s="1" t="str">
        <x:f>IF(AND(L287=3,M287=3),"Champions",IF(AND(L287=1,M287&gt;=2),"At risk",IF(AND(L287=3,M287=1),"New",IF(AND(L287=1,M287=1),"Hibernating",IF(AND(L287=2,M287=1),"Promising","Loyal")))))</x:f>
        <x:v>Hibernating</x:v>
      </x:c>
    </x:row>
    <x:row r="288">
      <x:c r="A288" s="1" t="str">
        <x:v>C0287</x:v>
      </x:c>
      <x:c r="B288" s="1" t="str">
        <x:v>Leila</x:v>
      </x:c>
      <x:c r="C288" s="1" t="str">
        <x:v>customer0287@example.com</x:v>
      </x:c>
      <x:c r="D288" s="1" t="str">
        <x:v>Brazil</x:v>
      </x:c>
      <x:c r="E288" s="5" t="d">
        <x:v>2024-06-30T00:00:00.000Z</x:v>
      </x:c>
      <x:c r="F288" s="5" t="d">
        <x:v>2026-05-27T00:00:00.000Z</x:v>
      </x:c>
      <x:c r="G288" s="1" t="n">
        <x:v>2</x:v>
      </x:c>
      <x:c r="H288" s="6" t="n">
        <x:v>105.54</x:v>
      </x:c>
      <x:c r="I288" s="1" t="n">
        <x:v>3</x:v>
      </x:c>
      <x:c r="J288" s="1" t="str">
        <x:v>web</x:v>
      </x:c>
      <x:c r="K288" s="7" t="n">
        <x:f>DATE(2026,10,1)-F288</x:f>
        <x:v>127</x:v>
      </x:c>
      <x:c r="L288" s="7" t="n">
        <x:f>IF(K288&lt;=30,3,IF(K288&lt;=90,2,1))</x:f>
        <x:v>1</x:v>
      </x:c>
      <x:c r="M288" s="7" t="n">
        <x:f>IF(G288&gt;=8,3,IF(G288&gt;=3,2,1))</x:f>
        <x:v>1</x:v>
      </x:c>
      <x:c r="N288" s="7" t="n">
        <x:f>IF(H288&gt;=600,3,IF(H288&gt;=200,2,1))</x:f>
        <x:v>1</x:v>
      </x:c>
      <x:c r="O288" s="1" t="str">
        <x:f>IF(AND(L288=3,M288=3),"Champions",IF(AND(L288=1,M288&gt;=2),"At risk",IF(AND(L288=3,M288=1),"New",IF(AND(L288=1,M288=1),"Hibernating",IF(AND(L288=2,M288=1),"Promising","Loyal")))))</x:f>
        <x:v>Hibernating</x:v>
      </x:c>
    </x:row>
    <x:row r="289">
      <x:c r="A289" s="1" t="str">
        <x:v>C0288</x:v>
      </x:c>
      <x:c r="B289" s="1" t="str">
        <x:v>Leo</x:v>
      </x:c>
      <x:c r="C289" s="1" t="str">
        <x:v>customer0288@example.com</x:v>
      </x:c>
      <x:c r="D289" s="1" t="str">
        <x:v>Brazil</x:v>
      </x:c>
      <x:c r="E289" s="5" t="d">
        <x:v>2026-09-19T00:00:00.000Z</x:v>
      </x:c>
      <x:c r="F289" s="5" t="d">
        <x:v>2026-09-30T00:00:00.000Z</x:v>
      </x:c>
      <x:c r="G289" s="1" t="n">
        <x:v>2</x:v>
      </x:c>
      <x:c r="H289" s="6" t="n">
        <x:v>37.44</x:v>
      </x:c>
      <x:c r="I289" s="1" t="n">
        <x:v>6</x:v>
      </x:c>
      <x:c r="J289" s="1" t="str">
        <x:v>app</x:v>
      </x:c>
      <x:c r="K289" s="7" t="n">
        <x:f>DATE(2026,10,1)-F289</x:f>
        <x:v>1</x:v>
      </x:c>
      <x:c r="L289" s="7" t="n">
        <x:f>IF(K289&lt;=30,3,IF(K289&lt;=90,2,1))</x:f>
        <x:v>3</x:v>
      </x:c>
      <x:c r="M289" s="7" t="n">
        <x:f>IF(G289&gt;=8,3,IF(G289&gt;=3,2,1))</x:f>
        <x:v>1</x:v>
      </x:c>
      <x:c r="N289" s="7" t="n">
        <x:f>IF(H289&gt;=600,3,IF(H289&gt;=200,2,1))</x:f>
        <x:v>1</x:v>
      </x:c>
      <x:c r="O289" s="1" t="str">
        <x:f>IF(AND(L289=3,M289=3),"Champions",IF(AND(L289=1,M289&gt;=2),"At risk",IF(AND(L289=3,M289=1),"New",IF(AND(L289=1,M289=1),"Hibernating",IF(AND(L289=2,M289=1),"Promising","Loyal")))))</x:f>
        <x:v>New</x:v>
      </x:c>
    </x:row>
    <x:row r="290">
      <x:c r="A290" s="1" t="str">
        <x:v>C0289</x:v>
      </x:c>
      <x:c r="B290" s="1" t="str">
        <x:v>Kai</x:v>
      </x:c>
      <x:c r="C290" s="1" t="str">
        <x:v>customer0289@example.com</x:v>
      </x:c>
      <x:c r="D290" s="1" t="str">
        <x:v>Australia</x:v>
      </x:c>
      <x:c r="E290" s="5" t="d">
        <x:v>2025-05-13T00:00:00.000Z</x:v>
      </x:c>
      <x:c r="F290" s="5" t="d">
        <x:v>2026-06-23T00:00:00.000Z</x:v>
      </x:c>
      <x:c r="G290" s="1" t="n">
        <x:v>6</x:v>
      </x:c>
      <x:c r="H290" s="6" t="n">
        <x:v>410.32</x:v>
      </x:c>
      <x:c r="I290" s="1" t="n">
        <x:v>10</x:v>
      </x:c>
      <x:c r="J290" s="1" t="str">
        <x:v>app</x:v>
      </x:c>
      <x:c r="K290" s="7" t="n">
        <x:f>DATE(2026,10,1)-F290</x:f>
        <x:v>100</x:v>
      </x:c>
      <x:c r="L290" s="7" t="n">
        <x:f>IF(K290&lt;=30,3,IF(K290&lt;=90,2,1))</x:f>
        <x:v>1</x:v>
      </x:c>
      <x:c r="M290" s="7" t="n">
        <x:f>IF(G290&gt;=8,3,IF(G290&gt;=3,2,1))</x:f>
        <x:v>2</x:v>
      </x:c>
      <x:c r="N290" s="7" t="n">
        <x:f>IF(H290&gt;=600,3,IF(H290&gt;=200,2,1))</x:f>
        <x:v>2</x:v>
      </x:c>
      <x:c r="O290" s="1" t="str">
        <x:f>IF(AND(L290=3,M290=3),"Champions",IF(AND(L290=1,M290&gt;=2),"At risk",IF(AND(L290=3,M290=1),"New",IF(AND(L290=1,M290=1),"Hibernating",IF(AND(L290=2,M290=1),"Promising","Loyal")))))</x:f>
        <x:v>At risk</x:v>
      </x:c>
    </x:row>
    <x:row r="291">
      <x:c r="A291" s="1" t="str">
        <x:v>C0290</x:v>
      </x:c>
      <x:c r="B291" s="1" t="str">
        <x:v>Omar</x:v>
      </x:c>
      <x:c r="C291" s="1" t="str">
        <x:v>customer0290@example.com</x:v>
      </x:c>
      <x:c r="D291" s="1" t="str">
        <x:v>Nigeria</x:v>
      </x:c>
      <x:c r="E291" s="5" t="d">
        <x:v>2024-09-06T00:00:00.000Z</x:v>
      </x:c>
      <x:c r="F291" s="5" t="d">
        <x:v>2026-06-03T00:00:00.000Z</x:v>
      </x:c>
      <x:c r="G291" s="1" t="n">
        <x:v>1</x:v>
      </x:c>
      <x:c r="H291" s="6" t="n">
        <x:v>166.48</x:v>
      </x:c>
      <x:c r="I291" s="1" t="n">
        <x:v>4</x:v>
      </x:c>
      <x:c r="J291" s="1" t="str">
        <x:v>store</x:v>
      </x:c>
      <x:c r="K291" s="7" t="n">
        <x:f>DATE(2026,10,1)-F291</x:f>
        <x:v>120</x:v>
      </x:c>
      <x:c r="L291" s="7" t="n">
        <x:f>IF(K291&lt;=30,3,IF(K291&lt;=90,2,1))</x:f>
        <x:v>1</x:v>
      </x:c>
      <x:c r="M291" s="7" t="n">
        <x:f>IF(G291&gt;=8,3,IF(G291&gt;=3,2,1))</x:f>
        <x:v>1</x:v>
      </x:c>
      <x:c r="N291" s="7" t="n">
        <x:f>IF(H291&gt;=600,3,IF(H291&gt;=200,2,1))</x:f>
        <x:v>1</x:v>
      </x:c>
      <x:c r="O291" s="1" t="str">
        <x:f>IF(AND(L291=3,M291=3),"Champions",IF(AND(L291=1,M291&gt;=2),"At risk",IF(AND(L291=3,M291=1),"New",IF(AND(L291=1,M291=1),"Hibernating",IF(AND(L291=2,M291=1),"Promising","Loyal")))))</x:f>
        <x:v>Hibernating</x:v>
      </x:c>
    </x:row>
    <x:row r="292">
      <x:c r="A292" s="1" t="str">
        <x:v>C0291</x:v>
      </x:c>
      <x:c r="B292" s="1" t="str">
        <x:v>Ethan</x:v>
      </x:c>
      <x:c r="C292" s="1" t="str">
        <x:v>customer0291@example.com</x:v>
      </x:c>
      <x:c r="D292" s="1" t="str">
        <x:v>India</x:v>
      </x:c>
      <x:c r="E292" s="5" t="d">
        <x:v>2026-02-15T00:00:00.000Z</x:v>
      </x:c>
      <x:c r="F292" s="5" t="d">
        <x:v>2026-06-19T00:00:00.000Z</x:v>
      </x:c>
      <x:c r="G292" s="1" t="n">
        <x:v>12</x:v>
      </x:c>
      <x:c r="H292" s="6" t="n">
        <x:v>365.58</x:v>
      </x:c>
      <x:c r="I292" s="1" t="n">
        <x:v>6</x:v>
      </x:c>
      <x:c r="J292" s="1" t="str">
        <x:v>app</x:v>
      </x:c>
      <x:c r="K292" s="7" t="n">
        <x:f>DATE(2026,10,1)-F292</x:f>
        <x:v>104</x:v>
      </x:c>
      <x:c r="L292" s="7" t="n">
        <x:f>IF(K292&lt;=30,3,IF(K292&lt;=90,2,1))</x:f>
        <x:v>1</x:v>
      </x:c>
      <x:c r="M292" s="7" t="n">
        <x:f>IF(G292&gt;=8,3,IF(G292&gt;=3,2,1))</x:f>
        <x:v>3</x:v>
      </x:c>
      <x:c r="N292" s="7" t="n">
        <x:f>IF(H292&gt;=600,3,IF(H292&gt;=200,2,1))</x:f>
        <x:v>2</x:v>
      </x:c>
      <x:c r="O292" s="1" t="str">
        <x:f>IF(AND(L292=3,M292=3),"Champions",IF(AND(L292=1,M292&gt;=2),"At risk",IF(AND(L292=3,M292=1),"New",IF(AND(L292=1,M292=1),"Hibernating",IF(AND(L292=2,M292=1),"Promising","Loyal")))))</x:f>
        <x:v>At risk</x:v>
      </x:c>
    </x:row>
    <x:row r="293">
      <x:c r="A293" s="1" t="str">
        <x:v>C0292</x:v>
      </x:c>
      <x:c r="B293" s="1" t="str">
        <x:v>Amara</x:v>
      </x:c>
      <x:c r="C293" s="1" t="str">
        <x:v>customer0292@example.com</x:v>
      </x:c>
      <x:c r="D293" s="1" t="str">
        <x:v>Singapore</x:v>
      </x:c>
      <x:c r="E293" s="5" t="d">
        <x:v>2024-04-04T00:00:00.000Z</x:v>
      </x:c>
      <x:c r="F293" s="5" t="d">
        <x:v>2026-01-27T00:00:00.000Z</x:v>
      </x:c>
      <x:c r="G293" s="1" t="n">
        <x:v>1</x:v>
      </x:c>
      <x:c r="H293" s="6" t="n">
        <x:v>68.45</x:v>
      </x:c>
      <x:c r="I293" s="1" t="n">
        <x:v>0</x:v>
      </x:c>
      <x:c r="J293" s="1" t="str">
        <x:v>store</x:v>
      </x:c>
      <x:c r="K293" s="7" t="n">
        <x:f>DATE(2026,10,1)-F293</x:f>
        <x:v>247</x:v>
      </x:c>
      <x:c r="L293" s="7" t="n">
        <x:f>IF(K293&lt;=30,3,IF(K293&lt;=90,2,1))</x:f>
        <x:v>1</x:v>
      </x:c>
      <x:c r="M293" s="7" t="n">
        <x:f>IF(G293&gt;=8,3,IF(G293&gt;=3,2,1))</x:f>
        <x:v>1</x:v>
      </x:c>
      <x:c r="N293" s="7" t="n">
        <x:f>IF(H293&gt;=600,3,IF(H293&gt;=200,2,1))</x:f>
        <x:v>1</x:v>
      </x:c>
      <x:c r="O293" s="1" t="str">
        <x:f>IF(AND(L293=3,M293=3),"Champions",IF(AND(L293=1,M293&gt;=2),"At risk",IF(AND(L293=3,M293=1),"New",IF(AND(L293=1,M293=1),"Hibernating",IF(AND(L293=2,M293=1),"Promising","Loyal")))))</x:f>
        <x:v>Hibernating</x:v>
      </x:c>
    </x:row>
    <x:row r="294">
      <x:c r="A294" s="1" t="str">
        <x:v>C0293</x:v>
      </x:c>
      <x:c r="B294" s="1" t="str">
        <x:v>Leila</x:v>
      </x:c>
      <x:c r="C294" s="1" t="str">
        <x:v>customer0293@example.com</x:v>
      </x:c>
      <x:c r="D294" s="1" t="str">
        <x:v>UK</x:v>
      </x:c>
      <x:c r="E294" s="5" t="d">
        <x:v>2024-08-09T00:00:00.000Z</x:v>
      </x:c>
      <x:c r="F294" s="5" t="d">
        <x:v>2026-02-06T00:00:00.000Z</x:v>
      </x:c>
      <x:c r="G294" s="1" t="n">
        <x:v>1</x:v>
      </x:c>
      <x:c r="H294" s="6" t="n">
        <x:v>96.62</x:v>
      </x:c>
      <x:c r="I294" s="1" t="n">
        <x:v>7</x:v>
      </x:c>
      <x:c r="J294" s="1" t="str">
        <x:v>app</x:v>
      </x:c>
      <x:c r="K294" s="7" t="n">
        <x:f>DATE(2026,10,1)-F294</x:f>
        <x:v>237</x:v>
      </x:c>
      <x:c r="L294" s="7" t="n">
        <x:f>IF(K294&lt;=30,3,IF(K294&lt;=90,2,1))</x:f>
        <x:v>1</x:v>
      </x:c>
      <x:c r="M294" s="7" t="n">
        <x:f>IF(G294&gt;=8,3,IF(G294&gt;=3,2,1))</x:f>
        <x:v>1</x:v>
      </x:c>
      <x:c r="N294" s="7" t="n">
        <x:f>IF(H294&gt;=600,3,IF(H294&gt;=200,2,1))</x:f>
        <x:v>1</x:v>
      </x:c>
      <x:c r="O294" s="1" t="str">
        <x:f>IF(AND(L294=3,M294=3),"Champions",IF(AND(L294=1,M294&gt;=2),"At risk",IF(AND(L294=3,M294=1),"New",IF(AND(L294=1,M294=1),"Hibernating",IF(AND(L294=2,M294=1),"Promising","Loyal")))))</x:f>
        <x:v>Hibernating</x:v>
      </x:c>
    </x:row>
    <x:row r="295">
      <x:c r="A295" s="1" t="str">
        <x:v>C0294</x:v>
      </x:c>
      <x:c r="B295" s="1" t="str">
        <x:v>Zara</x:v>
      </x:c>
      <x:c r="C295" s="1" t="str">
        <x:v>customer0294@example.com</x:v>
      </x:c>
      <x:c r="D295" s="1" t="str">
        <x:v>Singapore</x:v>
      </x:c>
      <x:c r="E295" s="5" t="d">
        <x:v>2025-07-08T00:00:00.000Z</x:v>
      </x:c>
      <x:c r="F295" s="5" t="d">
        <x:v>2026-04-14T00:00:00.000Z</x:v>
      </x:c>
      <x:c r="G295" s="1" t="n">
        <x:v>9</x:v>
      </x:c>
      <x:c r="H295" s="6" t="n">
        <x:v>913.95</x:v>
      </x:c>
      <x:c r="I295" s="1" t="n">
        <x:v>11</x:v>
      </x:c>
      <x:c r="J295" s="1" t="str">
        <x:v>store</x:v>
      </x:c>
      <x:c r="K295" s="7" t="n">
        <x:f>DATE(2026,10,1)-F295</x:f>
        <x:v>170</x:v>
      </x:c>
      <x:c r="L295" s="7" t="n">
        <x:f>IF(K295&lt;=30,3,IF(K295&lt;=90,2,1))</x:f>
        <x:v>1</x:v>
      </x:c>
      <x:c r="M295" s="7" t="n">
        <x:f>IF(G295&gt;=8,3,IF(G295&gt;=3,2,1))</x:f>
        <x:v>3</x:v>
      </x:c>
      <x:c r="N295" s="7" t="n">
        <x:f>IF(H295&gt;=600,3,IF(H295&gt;=200,2,1))</x:f>
        <x:v>3</x:v>
      </x:c>
      <x:c r="O295" s="1" t="str">
        <x:f>IF(AND(L295=3,M295=3),"Champions",IF(AND(L295=1,M295&gt;=2),"At risk",IF(AND(L295=3,M295=1),"New",IF(AND(L295=1,M295=1),"Hibernating",IF(AND(L295=2,M295=1),"Promising","Loyal")))))</x:f>
        <x:v>At risk</x:v>
      </x:c>
    </x:row>
    <x:row r="296">
      <x:c r="A296" s="1" t="str">
        <x:v>C0295</x:v>
      </x:c>
      <x:c r="B296" s="1" t="str">
        <x:v>Felix</x:v>
      </x:c>
      <x:c r="C296" s="1" t="str">
        <x:v>customer0295@example.com</x:v>
      </x:c>
      <x:c r="D296" s="1" t="str">
        <x:v>UAE</x:v>
      </x:c>
      <x:c r="E296" s="5" t="d">
        <x:v>2025-12-11T00:00:00.000Z</x:v>
      </x:c>
      <x:c r="F296" s="5" t="d">
        <x:v>2026-07-25T00:00:00.000Z</x:v>
      </x:c>
      <x:c r="G296" s="1" t="n">
        <x:v>7</x:v>
      </x:c>
      <x:c r="H296" s="6" t="n">
        <x:v>686.38</x:v>
      </x:c>
      <x:c r="I296" s="1" t="n">
        <x:v>3</x:v>
      </x:c>
      <x:c r="J296" s="1" t="str">
        <x:v>store</x:v>
      </x:c>
      <x:c r="K296" s="7" t="n">
        <x:f>DATE(2026,10,1)-F296</x:f>
        <x:v>68</x:v>
      </x:c>
      <x:c r="L296" s="7" t="n">
        <x:f>IF(K296&lt;=30,3,IF(K296&lt;=90,2,1))</x:f>
        <x:v>2</x:v>
      </x:c>
      <x:c r="M296" s="7" t="n">
        <x:f>IF(G296&gt;=8,3,IF(G296&gt;=3,2,1))</x:f>
        <x:v>2</x:v>
      </x:c>
      <x:c r="N296" s="7" t="n">
        <x:f>IF(H296&gt;=600,3,IF(H296&gt;=200,2,1))</x:f>
        <x:v>3</x:v>
      </x:c>
      <x:c r="O296" s="1" t="str">
        <x:f>IF(AND(L296=3,M296=3),"Champions",IF(AND(L296=1,M296&gt;=2),"At risk",IF(AND(L296=3,M296=1),"New",IF(AND(L296=1,M296=1),"Hibernating",IF(AND(L296=2,M296=1),"Promising","Loyal")))))</x:f>
        <x:v>Loyal</x:v>
      </x:c>
    </x:row>
    <x:row r="297">
      <x:c r="A297" s="1" t="str">
        <x:v>C0296</x:v>
      </x:c>
      <x:c r="B297" s="1" t="str">
        <x:v>Samuel</x:v>
      </x:c>
      <x:c r="C297" s="1" t="str">
        <x:v>customer0296@example.com</x:v>
      </x:c>
      <x:c r="D297" s="1" t="str">
        <x:v>Germany</x:v>
      </x:c>
      <x:c r="E297" s="5" t="d">
        <x:v>2026-08-17T00:00:00.000Z</x:v>
      </x:c>
      <x:c r="F297" s="5" t="d">
        <x:v>2026-09-16T00:00:00.000Z</x:v>
      </x:c>
      <x:c r="G297" s="1" t="n">
        <x:v>2</x:v>
      </x:c>
      <x:c r="H297" s="6" t="n">
        <x:v>118.05</x:v>
      </x:c>
      <x:c r="I297" s="1" t="n">
        <x:v>0</x:v>
      </x:c>
      <x:c r="J297" s="1" t="str">
        <x:v>app</x:v>
      </x:c>
      <x:c r="K297" s="7" t="n">
        <x:f>DATE(2026,10,1)-F297</x:f>
        <x:v>15</x:v>
      </x:c>
      <x:c r="L297" s="7" t="n">
        <x:f>IF(K297&lt;=30,3,IF(K297&lt;=90,2,1))</x:f>
        <x:v>3</x:v>
      </x:c>
      <x:c r="M297" s="7" t="n">
        <x:f>IF(G297&gt;=8,3,IF(G297&gt;=3,2,1))</x:f>
        <x:v>1</x:v>
      </x:c>
      <x:c r="N297" s="7" t="n">
        <x:f>IF(H297&gt;=600,3,IF(H297&gt;=200,2,1))</x:f>
        <x:v>1</x:v>
      </x:c>
      <x:c r="O297" s="1" t="str">
        <x:f>IF(AND(L297=3,M297=3),"Champions",IF(AND(L297=1,M297&gt;=2),"At risk",IF(AND(L297=3,M297=1),"New",IF(AND(L297=1,M297=1),"Hibernating",IF(AND(L297=2,M297=1),"Promising","Loyal")))))</x:f>
        <x:v>New</x:v>
      </x:c>
    </x:row>
    <x:row r="298">
      <x:c r="A298" s="1" t="str">
        <x:v>C0297</x:v>
      </x:c>
      <x:c r="B298" s="1" t="str">
        <x:v>Mateo</x:v>
      </x:c>
      <x:c r="C298" s="1" t="str">
        <x:v>customer0297@example.com</x:v>
      </x:c>
      <x:c r="D298" s="1" t="str">
        <x:v>India</x:v>
      </x:c>
      <x:c r="E298" s="5" t="d">
        <x:v>2025-01-06T00:00:00.000Z</x:v>
      </x:c>
      <x:c r="F298" s="5" t="d">
        <x:v>2026-08-28T00:00:00.000Z</x:v>
      </x:c>
      <x:c r="G298" s="1" t="n">
        <x:v>7</x:v>
      </x:c>
      <x:c r="H298" s="6" t="n">
        <x:v>582.14</x:v>
      </x:c>
      <x:c r="I298" s="1" t="n">
        <x:v>5</x:v>
      </x:c>
      <x:c r="J298" s="1" t="str">
        <x:v>app</x:v>
      </x:c>
      <x:c r="K298" s="7" t="n">
        <x:f>DATE(2026,10,1)-F298</x:f>
        <x:v>34</x:v>
      </x:c>
      <x:c r="L298" s="7" t="n">
        <x:f>IF(K298&lt;=30,3,IF(K298&lt;=90,2,1))</x:f>
        <x:v>2</x:v>
      </x:c>
      <x:c r="M298" s="7" t="n">
        <x:f>IF(G298&gt;=8,3,IF(G298&gt;=3,2,1))</x:f>
        <x:v>2</x:v>
      </x:c>
      <x:c r="N298" s="7" t="n">
        <x:f>IF(H298&gt;=600,3,IF(H298&gt;=200,2,1))</x:f>
        <x:v>2</x:v>
      </x:c>
      <x:c r="O298" s="1" t="str">
        <x:f>IF(AND(L298=3,M298=3),"Champions",IF(AND(L298=1,M298&gt;=2),"At risk",IF(AND(L298=3,M298=1),"New",IF(AND(L298=1,M298=1),"Hibernating",IF(AND(L298=2,M298=1),"Promising","Loyal")))))</x:f>
        <x:v>Loyal</x:v>
      </x:c>
    </x:row>
    <x:row r="299">
      <x:c r="A299" s="1" t="str">
        <x:v>C0298</x:v>
      </x:c>
      <x:c r="B299" s="1" t="str">
        <x:v>Omar</x:v>
      </x:c>
      <x:c r="C299" s="1" t="str">
        <x:v>customer0298@example.com</x:v>
      </x:c>
      <x:c r="D299" s="1" t="str">
        <x:v>Germany</x:v>
      </x:c>
      <x:c r="E299" s="5" t="d">
        <x:v>2024-10-06T00:00:00.000Z</x:v>
      </x:c>
      <x:c r="F299" s="5" t="d">
        <x:v>2026-02-21T00:00:00.000Z</x:v>
      </x:c>
      <x:c r="G299" s="1" t="n">
        <x:v>2</x:v>
      </x:c>
      <x:c r="H299" s="6" t="n">
        <x:v>112.41</x:v>
      </x:c>
      <x:c r="I299" s="1" t="n">
        <x:v>3</x:v>
      </x:c>
      <x:c r="J299" s="1" t="str">
        <x:v>web</x:v>
      </x:c>
      <x:c r="K299" s="7" t="n">
        <x:f>DATE(2026,10,1)-F299</x:f>
        <x:v>222</x:v>
      </x:c>
      <x:c r="L299" s="7" t="n">
        <x:f>IF(K299&lt;=30,3,IF(K299&lt;=90,2,1))</x:f>
        <x:v>1</x:v>
      </x:c>
      <x:c r="M299" s="7" t="n">
        <x:f>IF(G299&gt;=8,3,IF(G299&gt;=3,2,1))</x:f>
        <x:v>1</x:v>
      </x:c>
      <x:c r="N299" s="7" t="n">
        <x:f>IF(H299&gt;=600,3,IF(H299&gt;=200,2,1))</x:f>
        <x:v>1</x:v>
      </x:c>
      <x:c r="O299" s="1" t="str">
        <x:f>IF(AND(L299=3,M299=3),"Champions",IF(AND(L299=1,M299&gt;=2),"At risk",IF(AND(L299=3,M299=1),"New",IF(AND(L299=1,M299=1),"Hibernating",IF(AND(L299=2,M299=1),"Promising","Loyal")))))</x:f>
        <x:v>Hibernating</x:v>
      </x:c>
    </x:row>
    <x:row r="300">
      <x:c r="A300" s="1" t="str">
        <x:v>C0299</x:v>
      </x:c>
      <x:c r="B300" s="1" t="str">
        <x:v>Mei</x:v>
      </x:c>
      <x:c r="C300" s="1" t="str">
        <x:v>customer0299@example.com</x:v>
      </x:c>
      <x:c r="D300" s="1" t="str">
        <x:v>Brazil</x:v>
      </x:c>
      <x:c r="E300" s="5" t="d">
        <x:v>2025-01-18T00:00:00.000Z</x:v>
      </x:c>
      <x:c r="F300" s="5" t="d">
        <x:v>2026-09-30T00:00:00.000Z</x:v>
      </x:c>
      <x:c r="G300" s="1" t="n">
        <x:v>10</x:v>
      </x:c>
      <x:c r="H300" s="6" t="n">
        <x:v>1481.81</x:v>
      </x:c>
      <x:c r="I300" s="1" t="n">
        <x:v>7</x:v>
      </x:c>
      <x:c r="J300" s="1" t="str">
        <x:v>store</x:v>
      </x:c>
      <x:c r="K300" s="7" t="n">
        <x:f>DATE(2026,10,1)-F300</x:f>
        <x:v>1</x:v>
      </x:c>
      <x:c r="L300" s="7" t="n">
        <x:f>IF(K300&lt;=30,3,IF(K300&lt;=90,2,1))</x:f>
        <x:v>3</x:v>
      </x:c>
      <x:c r="M300" s="7" t="n">
        <x:f>IF(G300&gt;=8,3,IF(G300&gt;=3,2,1))</x:f>
        <x:v>3</x:v>
      </x:c>
      <x:c r="N300" s="7" t="n">
        <x:f>IF(H300&gt;=600,3,IF(H300&gt;=200,2,1))</x:f>
        <x:v>3</x:v>
      </x:c>
      <x:c r="O300" s="1" t="str">
        <x:f>IF(AND(L300=3,M300=3),"Champions",IF(AND(L300=1,M300&gt;=2),"At risk",IF(AND(L300=3,M300=1),"New",IF(AND(L300=1,M300=1),"Hibernating",IF(AND(L300=2,M300=1),"Promising","Loyal")))))</x:f>
        <x:v>Champions</x:v>
      </x:c>
    </x:row>
    <x:row r="301">
      <x:c r="A301" s="1" t="str">
        <x:v>C0300</x:v>
      </x:c>
      <x:c r="B301" s="1" t="str">
        <x:v>Ethan</x:v>
      </x:c>
      <x:c r="C301" s="1" t="str">
        <x:v>customer0300@example.com</x:v>
      </x:c>
      <x:c r="D301" s="1" t="str">
        <x:v>USA</x:v>
      </x:c>
      <x:c r="E301" s="5" t="d">
        <x:v>2026-05-30T00:00:00.000Z</x:v>
      </x:c>
      <x:c r="F301" s="5" t="d">
        <x:v>2026-09-18T00:00:00.000Z</x:v>
      </x:c>
      <x:c r="G301" s="1" t="n">
        <x:v>15</x:v>
      </x:c>
      <x:c r="H301" s="6" t="n">
        <x:v>1166.58</x:v>
      </x:c>
      <x:c r="I301" s="1" t="n">
        <x:v>10</x:v>
      </x:c>
      <x:c r="J301" s="1" t="str">
        <x:v>store</x:v>
      </x:c>
      <x:c r="K301" s="7" t="n">
        <x:f>DATE(2026,10,1)-F301</x:f>
        <x:v>13</x:v>
      </x:c>
      <x:c r="L301" s="7" t="n">
        <x:f>IF(K301&lt;=30,3,IF(K301&lt;=90,2,1))</x:f>
        <x:v>3</x:v>
      </x:c>
      <x:c r="M301" s="7" t="n">
        <x:f>IF(G301&gt;=8,3,IF(G301&gt;=3,2,1))</x:f>
        <x:v>3</x:v>
      </x:c>
      <x:c r="N301" s="7" t="n">
        <x:f>IF(H301&gt;=600,3,IF(H301&gt;=200,2,1))</x:f>
        <x:v>3</x:v>
      </x:c>
      <x:c r="O301" s="1" t="str">
        <x:f>IF(AND(L301=3,M301=3),"Champions",IF(AND(L301=1,M301&gt;=2),"At risk",IF(AND(L301=3,M301=1),"New",IF(AND(L301=1,M301=1),"Hibernating",IF(AND(L301=2,M301=1),"Promising","Loyal")))))</x:f>
        <x:v>Champions</x:v>
      </x:c>
    </x:row>
    <x:row r="302">
      <x:c r="A302" s="1" t="str">
        <x:v>C0301</x:v>
      </x:c>
      <x:c r="B302" s="1" t="str">
        <x:v>Nia</x:v>
      </x:c>
      <x:c r="C302" s="1" t="str">
        <x:v>customer0301@example.com</x:v>
      </x:c>
      <x:c r="D302" s="1" t="str">
        <x:v>USA</x:v>
      </x:c>
      <x:c r="E302" s="5" t="d">
        <x:v>2025-07-02T00:00:00.000Z</x:v>
      </x:c>
      <x:c r="F302" s="5" t="d">
        <x:v>2025-11-22T00:00:00.000Z</x:v>
      </x:c>
      <x:c r="G302" s="1" t="n">
        <x:v>2</x:v>
      </x:c>
      <x:c r="H302" s="6" t="n">
        <x:v>131.94</x:v>
      </x:c>
      <x:c r="I302" s="1" t="n">
        <x:v>9</x:v>
      </x:c>
      <x:c r="J302" s="1" t="str">
        <x:v>store</x:v>
      </x:c>
      <x:c r="K302" s="7" t="n">
        <x:f>DATE(2026,10,1)-F302</x:f>
        <x:v>313</x:v>
      </x:c>
      <x:c r="L302" s="7" t="n">
        <x:f>IF(K302&lt;=30,3,IF(K302&lt;=90,2,1))</x:f>
        <x:v>1</x:v>
      </x:c>
      <x:c r="M302" s="7" t="n">
        <x:f>IF(G302&gt;=8,3,IF(G302&gt;=3,2,1))</x:f>
        <x:v>1</x:v>
      </x:c>
      <x:c r="N302" s="7" t="n">
        <x:f>IF(H302&gt;=600,3,IF(H302&gt;=200,2,1))</x:f>
        <x:v>1</x:v>
      </x:c>
      <x:c r="O302" s="1" t="str">
        <x:f>IF(AND(L302=3,M302=3),"Champions",IF(AND(L302=1,M302&gt;=2),"At risk",IF(AND(L302=3,M302=1),"New",IF(AND(L302=1,M302=1),"Hibernating",IF(AND(L302=2,M302=1),"Promising","Loyal")))))</x:f>
        <x:v>Hibernating</x:v>
      </x:c>
    </x:row>
    <x:row r="303">
      <x:c r="A303" s="1" t="str">
        <x:v>C0302</x:v>
      </x:c>
      <x:c r="B303" s="1" t="str">
        <x:v>Arjun</x:v>
      </x:c>
      <x:c r="C303" s="1" t="str">
        <x:v>customer0302@example.com</x:v>
      </x:c>
      <x:c r="D303" s="1" t="str">
        <x:v>UK</x:v>
      </x:c>
      <x:c r="E303" s="5" t="d">
        <x:v>2024-07-30T00:00:00.000Z</x:v>
      </x:c>
      <x:c r="F303" s="5" t="d">
        <x:v>2026-05-06T00:00:00.000Z</x:v>
      </x:c>
      <x:c r="G303" s="1" t="n">
        <x:v>2</x:v>
      </x:c>
      <x:c r="H303" s="6" t="n">
        <x:v>62.02</x:v>
      </x:c>
      <x:c r="I303" s="1" t="n">
        <x:v>6</x:v>
      </x:c>
      <x:c r="J303" s="1" t="str">
        <x:v>app</x:v>
      </x:c>
      <x:c r="K303" s="7" t="n">
        <x:f>DATE(2026,10,1)-F303</x:f>
        <x:v>148</x:v>
      </x:c>
      <x:c r="L303" s="7" t="n">
        <x:f>IF(K303&lt;=30,3,IF(K303&lt;=90,2,1))</x:f>
        <x:v>1</x:v>
      </x:c>
      <x:c r="M303" s="7" t="n">
        <x:f>IF(G303&gt;=8,3,IF(G303&gt;=3,2,1))</x:f>
        <x:v>1</x:v>
      </x:c>
      <x:c r="N303" s="7" t="n">
        <x:f>IF(H303&gt;=600,3,IF(H303&gt;=200,2,1))</x:f>
        <x:v>1</x:v>
      </x:c>
      <x:c r="O303" s="1" t="str">
        <x:f>IF(AND(L303=3,M303=3),"Champions",IF(AND(L303=1,M303&gt;=2),"At risk",IF(AND(L303=3,M303=1),"New",IF(AND(L303=1,M303=1),"Hibernating",IF(AND(L303=2,M303=1),"Promising","Loyal")))))</x:f>
        <x:v>Hibernating</x:v>
      </x:c>
    </x:row>
    <x:row r="304">
      <x:c r="A304" s="1" t="str">
        <x:v>C0303</x:v>
      </x:c>
      <x:c r="B304" s="1" t="str">
        <x:v>Mateo</x:v>
      </x:c>
      <x:c r="C304" s="1" t="str">
        <x:v>customer0303@example.com</x:v>
      </x:c>
      <x:c r="D304" s="1" t="str">
        <x:v>Nigeria</x:v>
      </x:c>
      <x:c r="E304" s="5" t="d">
        <x:v>2025-04-15T00:00:00.000Z</x:v>
      </x:c>
      <x:c r="F304" s="5" t="d">
        <x:v>2026-09-06T00:00:00.000Z</x:v>
      </x:c>
      <x:c r="G304" s="1" t="n">
        <x:v>16</x:v>
      </x:c>
      <x:c r="H304" s="6" t="n">
        <x:v>1537.34</x:v>
      </x:c>
      <x:c r="I304" s="1" t="n">
        <x:v>2</x:v>
      </x:c>
      <x:c r="J304" s="1" t="str">
        <x:v>web</x:v>
      </x:c>
      <x:c r="K304" s="7" t="n">
        <x:f>DATE(2026,10,1)-F304</x:f>
        <x:v>25</x:v>
      </x:c>
      <x:c r="L304" s="7" t="n">
        <x:f>IF(K304&lt;=30,3,IF(K304&lt;=90,2,1))</x:f>
        <x:v>3</x:v>
      </x:c>
      <x:c r="M304" s="7" t="n">
        <x:f>IF(G304&gt;=8,3,IF(G304&gt;=3,2,1))</x:f>
        <x:v>3</x:v>
      </x:c>
      <x:c r="N304" s="7" t="n">
        <x:f>IF(H304&gt;=600,3,IF(H304&gt;=200,2,1))</x:f>
        <x:v>3</x:v>
      </x:c>
      <x:c r="O304" s="1" t="str">
        <x:f>IF(AND(L304=3,M304=3),"Champions",IF(AND(L304=1,M304&gt;=2),"At risk",IF(AND(L304=3,M304=1),"New",IF(AND(L304=1,M304=1),"Hibernating",IF(AND(L304=2,M304=1),"Promising","Loyal")))))</x:f>
        <x:v>Champions</x:v>
      </x:c>
    </x:row>
    <x:row r="305">
      <x:c r="A305" s="1" t="str">
        <x:v>C0304</x:v>
      </x:c>
      <x:c r="B305" s="1" t="str">
        <x:v>Arjun</x:v>
      </x:c>
      <x:c r="C305" s="1" t="str">
        <x:v>customer0304@example.com</x:v>
      </x:c>
      <x:c r="D305" s="1" t="str">
        <x:v>Australia</x:v>
      </x:c>
      <x:c r="E305" s="5" t="d">
        <x:v>2024-10-25T00:00:00.000Z</x:v>
      </x:c>
      <x:c r="F305" s="5" t="d">
        <x:v>2026-01-31T00:00:00.000Z</x:v>
      </x:c>
      <x:c r="G305" s="1" t="n">
        <x:v>1</x:v>
      </x:c>
      <x:c r="H305" s="6" t="n">
        <x:v>81.42</x:v>
      </x:c>
      <x:c r="I305" s="1" t="n">
        <x:v>4</x:v>
      </x:c>
      <x:c r="J305" s="1" t="str">
        <x:v>store</x:v>
      </x:c>
      <x:c r="K305" s="7" t="n">
        <x:f>DATE(2026,10,1)-F305</x:f>
        <x:v>243</x:v>
      </x:c>
      <x:c r="L305" s="7" t="n">
        <x:f>IF(K305&lt;=30,3,IF(K305&lt;=90,2,1))</x:f>
        <x:v>1</x:v>
      </x:c>
      <x:c r="M305" s="7" t="n">
        <x:f>IF(G305&gt;=8,3,IF(G305&gt;=3,2,1))</x:f>
        <x:v>1</x:v>
      </x:c>
      <x:c r="N305" s="7" t="n">
        <x:f>IF(H305&gt;=600,3,IF(H305&gt;=200,2,1))</x:f>
        <x:v>1</x:v>
      </x:c>
      <x:c r="O305" s="1" t="str">
        <x:f>IF(AND(L305=3,M305=3),"Champions",IF(AND(L305=1,M305&gt;=2),"At risk",IF(AND(L305=3,M305=1),"New",IF(AND(L305=1,M305=1),"Hibernating",IF(AND(L305=2,M305=1),"Promising","Loyal")))))</x:f>
        <x:v>Hibernating</x:v>
      </x:c>
    </x:row>
    <x:row r="306">
      <x:c r="A306" s="1" t="str">
        <x:v>C0305</x:v>
      </x:c>
      <x:c r="B306" s="1" t="str">
        <x:v>Mateo</x:v>
      </x:c>
      <x:c r="C306" s="1" t="str">
        <x:v>customer0305@example.com</x:v>
      </x:c>
      <x:c r="D306" s="1" t="str">
        <x:v>Brazil</x:v>
      </x:c>
      <x:c r="E306" s="5" t="d">
        <x:v>2024-12-06T00:00:00.000Z</x:v>
      </x:c>
      <x:c r="F306" s="5" t="d">
        <x:v>2026-08-07T00:00:00.000Z</x:v>
      </x:c>
      <x:c r="G306" s="1" t="n">
        <x:v>6</x:v>
      </x:c>
      <x:c r="H306" s="6" t="n">
        <x:v>568.29</x:v>
      </x:c>
      <x:c r="I306" s="1" t="n">
        <x:v>0</x:v>
      </x:c>
      <x:c r="J306" s="1" t="str">
        <x:v>store</x:v>
      </x:c>
      <x:c r="K306" s="7" t="n">
        <x:f>DATE(2026,10,1)-F306</x:f>
        <x:v>55</x:v>
      </x:c>
      <x:c r="L306" s="7" t="n">
        <x:f>IF(K306&lt;=30,3,IF(K306&lt;=90,2,1))</x:f>
        <x:v>2</x:v>
      </x:c>
      <x:c r="M306" s="7" t="n">
        <x:f>IF(G306&gt;=8,3,IF(G306&gt;=3,2,1))</x:f>
        <x:v>2</x:v>
      </x:c>
      <x:c r="N306" s="7" t="n">
        <x:f>IF(H306&gt;=600,3,IF(H306&gt;=200,2,1))</x:f>
        <x:v>2</x:v>
      </x:c>
      <x:c r="O306" s="1" t="str">
        <x:f>IF(AND(L306=3,M306=3),"Champions",IF(AND(L306=1,M306&gt;=2),"At risk",IF(AND(L306=3,M306=1),"New",IF(AND(L306=1,M306=1),"Hibernating",IF(AND(L306=2,M306=1),"Promising","Loyal")))))</x:f>
        <x:v>Loyal</x:v>
      </x:c>
    </x:row>
    <x:row r="307">
      <x:c r="A307" s="1" t="str">
        <x:v>C0306</x:v>
      </x:c>
      <x:c r="B307" s="1" t="str">
        <x:v>Lina</x:v>
      </x:c>
      <x:c r="C307" s="1" t="str">
        <x:v>customer0306@example.com</x:v>
      </x:c>
      <x:c r="D307" s="1" t="str">
        <x:v>Germany</x:v>
      </x:c>
      <x:c r="E307" s="5" t="d">
        <x:v>2025-04-06T00:00:00.000Z</x:v>
      </x:c>
      <x:c r="F307" s="5" t="d">
        <x:v>2025-10-11T00:00:00.000Z</x:v>
      </x:c>
      <x:c r="G307" s="1" t="n">
        <x:v>2</x:v>
      </x:c>
      <x:c r="H307" s="6" t="n">
        <x:v>92.71</x:v>
      </x:c>
      <x:c r="I307" s="1" t="n">
        <x:v>12</x:v>
      </x:c>
      <x:c r="J307" s="1" t="str">
        <x:v>app</x:v>
      </x:c>
      <x:c r="K307" s="7" t="n">
        <x:f>DATE(2026,10,1)-F307</x:f>
        <x:v>355</x:v>
      </x:c>
      <x:c r="L307" s="7" t="n">
        <x:f>IF(K307&lt;=30,3,IF(K307&lt;=90,2,1))</x:f>
        <x:v>1</x:v>
      </x:c>
      <x:c r="M307" s="7" t="n">
        <x:f>IF(G307&gt;=8,3,IF(G307&gt;=3,2,1))</x:f>
        <x:v>1</x:v>
      </x:c>
      <x:c r="N307" s="7" t="n">
        <x:f>IF(H307&gt;=600,3,IF(H307&gt;=200,2,1))</x:f>
        <x:v>1</x:v>
      </x:c>
      <x:c r="O307" s="1" t="str">
        <x:f>IF(AND(L307=3,M307=3),"Champions",IF(AND(L307=1,M307&gt;=2),"At risk",IF(AND(L307=3,M307=1),"New",IF(AND(L307=1,M307=1),"Hibernating",IF(AND(L307=2,M307=1),"Promising","Loyal")))))</x:f>
        <x:v>Hibernating</x:v>
      </x:c>
    </x:row>
    <x:row r="308">
      <x:c r="A308" s="1" t="str">
        <x:v>C0307</x:v>
      </x:c>
      <x:c r="B308" s="1" t="str">
        <x:v>Ravi</x:v>
      </x:c>
      <x:c r="C308" s="1" t="str">
        <x:v>customer0307@example.com</x:v>
      </x:c>
      <x:c r="D308" s="1" t="str">
        <x:v>Nigeria</x:v>
      </x:c>
      <x:c r="E308" s="5" t="d">
        <x:v>2025-04-20T00:00:00.000Z</x:v>
      </x:c>
      <x:c r="F308" s="5" t="d">
        <x:v>2026-03-24T00:00:00.000Z</x:v>
      </x:c>
      <x:c r="G308" s="1" t="n">
        <x:v>12</x:v>
      </x:c>
      <x:c r="H308" s="6" t="n">
        <x:v>516.73</x:v>
      </x:c>
      <x:c r="I308" s="1" t="n">
        <x:v>3</x:v>
      </x:c>
      <x:c r="J308" s="1" t="str">
        <x:v>web</x:v>
      </x:c>
      <x:c r="K308" s="7" t="n">
        <x:f>DATE(2026,10,1)-F308</x:f>
        <x:v>191</x:v>
      </x:c>
      <x:c r="L308" s="7" t="n">
        <x:f>IF(K308&lt;=30,3,IF(K308&lt;=90,2,1))</x:f>
        <x:v>1</x:v>
      </x:c>
      <x:c r="M308" s="7" t="n">
        <x:f>IF(G308&gt;=8,3,IF(G308&gt;=3,2,1))</x:f>
        <x:v>3</x:v>
      </x:c>
      <x:c r="N308" s="7" t="n">
        <x:f>IF(H308&gt;=600,3,IF(H308&gt;=200,2,1))</x:f>
        <x:v>2</x:v>
      </x:c>
      <x:c r="O308" s="1" t="str">
        <x:f>IF(AND(L308=3,M308=3),"Champions",IF(AND(L308=1,M308&gt;=2),"At risk",IF(AND(L308=3,M308=1),"New",IF(AND(L308=1,M308=1),"Hibernating",IF(AND(L308=2,M308=1),"Promising","Loyal")))))</x:f>
        <x:v>At risk</x:v>
      </x:c>
    </x:row>
    <x:row r="309">
      <x:c r="A309" s="1" t="str">
        <x:v>C0308</x:v>
      </x:c>
      <x:c r="B309" s="1" t="str">
        <x:v>Diego</x:v>
      </x:c>
      <x:c r="C309" s="1" t="str">
        <x:v>customer0308@example.com</x:v>
      </x:c>
      <x:c r="D309" s="1" t="str">
        <x:v>Australia</x:v>
      </x:c>
      <x:c r="E309" s="5" t="d">
        <x:v>2025-11-09T00:00:00.000Z</x:v>
      </x:c>
      <x:c r="F309" s="5" t="d">
        <x:v>2026-07-29T00:00:00.000Z</x:v>
      </x:c>
      <x:c r="G309" s="1" t="n">
        <x:v>3</x:v>
      </x:c>
      <x:c r="H309" s="6" t="n">
        <x:v>217.9</x:v>
      </x:c>
      <x:c r="I309" s="1" t="n">
        <x:v>4</x:v>
      </x:c>
      <x:c r="J309" s="1" t="str">
        <x:v>store</x:v>
      </x:c>
      <x:c r="K309" s="7" t="n">
        <x:f>DATE(2026,10,1)-F309</x:f>
        <x:v>64</x:v>
      </x:c>
      <x:c r="L309" s="7" t="n">
        <x:f>IF(K309&lt;=30,3,IF(K309&lt;=90,2,1))</x:f>
        <x:v>2</x:v>
      </x:c>
      <x:c r="M309" s="7" t="n">
        <x:f>IF(G309&gt;=8,3,IF(G309&gt;=3,2,1))</x:f>
        <x:v>2</x:v>
      </x:c>
      <x:c r="N309" s="7" t="n">
        <x:f>IF(H309&gt;=600,3,IF(H309&gt;=200,2,1))</x:f>
        <x:v>2</x:v>
      </x:c>
      <x:c r="O309" s="1" t="str">
        <x:f>IF(AND(L309=3,M309=3),"Champions",IF(AND(L309=1,M309&gt;=2),"At risk",IF(AND(L309=3,M309=1),"New",IF(AND(L309=1,M309=1),"Hibernating",IF(AND(L309=2,M309=1),"Promising","Loyal")))))</x:f>
        <x:v>Loyal</x:v>
      </x:c>
    </x:row>
    <x:row r="310">
      <x:c r="A310" s="1" t="str">
        <x:v>C0309</x:v>
      </x:c>
      <x:c r="B310" s="1" t="str">
        <x:v>Maya</x:v>
      </x:c>
      <x:c r="C310" s="1" t="str">
        <x:v>customer0309@example.com</x:v>
      </x:c>
      <x:c r="D310" s="1" t="str">
        <x:v>Nigeria</x:v>
      </x:c>
      <x:c r="E310" s="5" t="d">
        <x:v>2024-11-11T00:00:00.000Z</x:v>
      </x:c>
      <x:c r="F310" s="5" t="d">
        <x:v>2025-11-12T00:00:00.000Z</x:v>
      </x:c>
      <x:c r="G310" s="1" t="n">
        <x:v>2</x:v>
      </x:c>
      <x:c r="H310" s="6" t="n">
        <x:v>83.17</x:v>
      </x:c>
      <x:c r="I310" s="1" t="n">
        <x:v>10</x:v>
      </x:c>
      <x:c r="J310" s="1" t="str">
        <x:v>web</x:v>
      </x:c>
      <x:c r="K310" s="7" t="n">
        <x:f>DATE(2026,10,1)-F310</x:f>
        <x:v>323</x:v>
      </x:c>
      <x:c r="L310" s="7" t="n">
        <x:f>IF(K310&lt;=30,3,IF(K310&lt;=90,2,1))</x:f>
        <x:v>1</x:v>
      </x:c>
      <x:c r="M310" s="7" t="n">
        <x:f>IF(G310&gt;=8,3,IF(G310&gt;=3,2,1))</x:f>
        <x:v>1</x:v>
      </x:c>
      <x:c r="N310" s="7" t="n">
        <x:f>IF(H310&gt;=600,3,IF(H310&gt;=200,2,1))</x:f>
        <x:v>1</x:v>
      </x:c>
      <x:c r="O310" s="1" t="str">
        <x:f>IF(AND(L310=3,M310=3),"Champions",IF(AND(L310=1,M310&gt;=2),"At risk",IF(AND(L310=3,M310=1),"New",IF(AND(L310=1,M310=1),"Hibernating",IF(AND(L310=2,M310=1),"Promising","Loyal")))))</x:f>
        <x:v>Hibernating</x:v>
      </x:c>
    </x:row>
    <x:row r="311">
      <x:c r="A311" s="1" t="str">
        <x:v>C0310</x:v>
      </x:c>
      <x:c r="B311" s="1" t="str">
        <x:v>Hana</x:v>
      </x:c>
      <x:c r="C311" s="1" t="str">
        <x:v>customer0310@example.com</x:v>
      </x:c>
      <x:c r="D311" s="1" t="str">
        <x:v>Brazil</x:v>
      </x:c>
      <x:c r="E311" s="5" t="d">
        <x:v>2026-03-17T00:00:00.000Z</x:v>
      </x:c>
      <x:c r="F311" s="5" t="d">
        <x:v>2026-06-26T00:00:00.000Z</x:v>
      </x:c>
      <x:c r="G311" s="1" t="n">
        <x:v>4</x:v>
      </x:c>
      <x:c r="H311" s="6" t="n">
        <x:v>854.04</x:v>
      </x:c>
      <x:c r="I311" s="1" t="n">
        <x:v>8</x:v>
      </x:c>
      <x:c r="J311" s="1" t="str">
        <x:v>web</x:v>
      </x:c>
      <x:c r="K311" s="7" t="n">
        <x:f>DATE(2026,10,1)-F311</x:f>
        <x:v>97</x:v>
      </x:c>
      <x:c r="L311" s="7" t="n">
        <x:f>IF(K311&lt;=30,3,IF(K311&lt;=90,2,1))</x:f>
        <x:v>1</x:v>
      </x:c>
      <x:c r="M311" s="7" t="n">
        <x:f>IF(G311&gt;=8,3,IF(G311&gt;=3,2,1))</x:f>
        <x:v>2</x:v>
      </x:c>
      <x:c r="N311" s="7" t="n">
        <x:f>IF(H311&gt;=600,3,IF(H311&gt;=200,2,1))</x:f>
        <x:v>3</x:v>
      </x:c>
      <x:c r="O311" s="1" t="str">
        <x:f>IF(AND(L311=3,M311=3),"Champions",IF(AND(L311=1,M311&gt;=2),"At risk",IF(AND(L311=3,M311=1),"New",IF(AND(L311=1,M311=1),"Hibernating",IF(AND(L311=2,M311=1),"Promising","Loyal")))))</x:f>
        <x:v>At risk</x:v>
      </x:c>
    </x:row>
    <x:row r="312">
      <x:c r="A312" s="1" t="str">
        <x:v>C0311</x:v>
      </x:c>
      <x:c r="B312" s="1" t="str">
        <x:v>Priya</x:v>
      </x:c>
      <x:c r="C312" s="1" t="str">
        <x:v>customer0311@example.com</x:v>
      </x:c>
      <x:c r="D312" s="1" t="str">
        <x:v>UAE</x:v>
      </x:c>
      <x:c r="E312" s="5" t="d">
        <x:v>2026-08-06T00:00:00.000Z</x:v>
      </x:c>
      <x:c r="F312" s="5" t="d">
        <x:v>2026-09-01T00:00:00.000Z</x:v>
      </x:c>
      <x:c r="G312" s="1" t="n">
        <x:v>1</x:v>
      </x:c>
      <x:c r="H312" s="6" t="n">
        <x:v>160.77</x:v>
      </x:c>
      <x:c r="I312" s="1" t="n">
        <x:v>7</x:v>
      </x:c>
      <x:c r="J312" s="1" t="str">
        <x:v>store</x:v>
      </x:c>
      <x:c r="K312" s="7" t="n">
        <x:f>DATE(2026,10,1)-F312</x:f>
        <x:v>30</x:v>
      </x:c>
      <x:c r="L312" s="7" t="n">
        <x:f>IF(K312&lt;=30,3,IF(K312&lt;=90,2,1))</x:f>
        <x:v>3</x:v>
      </x:c>
      <x:c r="M312" s="7" t="n">
        <x:f>IF(G312&gt;=8,3,IF(G312&gt;=3,2,1))</x:f>
        <x:v>1</x:v>
      </x:c>
      <x:c r="N312" s="7" t="n">
        <x:f>IF(H312&gt;=600,3,IF(H312&gt;=200,2,1))</x:f>
        <x:v>1</x:v>
      </x:c>
      <x:c r="O312" s="1" t="str">
        <x:f>IF(AND(L312=3,M312=3),"Champions",IF(AND(L312=1,M312&gt;=2),"At risk",IF(AND(L312=3,M312=1),"New",IF(AND(L312=1,M312=1),"Hibernating",IF(AND(L312=2,M312=1),"Promising","Loyal")))))</x:f>
        <x:v>New</x:v>
      </x:c>
    </x:row>
    <x:row r="313">
      <x:c r="A313" s="1" t="str">
        <x:v>C0312</x:v>
      </x:c>
      <x:c r="B313" s="1" t="str">
        <x:v>Chloe</x:v>
      </x:c>
      <x:c r="C313" s="1" t="str">
        <x:v>customer0312@example.com</x:v>
      </x:c>
      <x:c r="D313" s="1" t="str">
        <x:v>Singapore</x:v>
      </x:c>
      <x:c r="E313" s="5" t="d">
        <x:v>2025-02-08T00:00:00.000Z</x:v>
      </x:c>
      <x:c r="F313" s="5" t="d">
        <x:v>2025-12-30T00:00:00.000Z</x:v>
      </x:c>
      <x:c r="G313" s="1" t="n">
        <x:v>1</x:v>
      </x:c>
      <x:c r="H313" s="6" t="n">
        <x:v>44.88</x:v>
      </x:c>
      <x:c r="I313" s="1" t="n">
        <x:v>4</x:v>
      </x:c>
      <x:c r="J313" s="1" t="str">
        <x:v>store</x:v>
      </x:c>
      <x:c r="K313" s="7" t="n">
        <x:f>DATE(2026,10,1)-F313</x:f>
        <x:v>275</x:v>
      </x:c>
      <x:c r="L313" s="7" t="n">
        <x:f>IF(K313&lt;=30,3,IF(K313&lt;=90,2,1))</x:f>
        <x:v>1</x:v>
      </x:c>
      <x:c r="M313" s="7" t="n">
        <x:f>IF(G313&gt;=8,3,IF(G313&gt;=3,2,1))</x:f>
        <x:v>1</x:v>
      </x:c>
      <x:c r="N313" s="7" t="n">
        <x:f>IF(H313&gt;=600,3,IF(H313&gt;=200,2,1))</x:f>
        <x:v>1</x:v>
      </x:c>
      <x:c r="O313" s="1" t="str">
        <x:f>IF(AND(L313=3,M313=3),"Champions",IF(AND(L313=1,M313&gt;=2),"At risk",IF(AND(L313=3,M313=1),"New",IF(AND(L313=1,M313=1),"Hibernating",IF(AND(L313=2,M313=1),"Promising","Loyal")))))</x:f>
        <x:v>Hibernating</x:v>
      </x:c>
    </x:row>
    <x:row r="314">
      <x:c r="A314" s="1" t="str">
        <x:v>C0313</x:v>
      </x:c>
      <x:c r="B314" s="1" t="str">
        <x:v>Jonas</x:v>
      </x:c>
      <x:c r="C314" s="1" t="str">
        <x:v>customer0313@example.com</x:v>
      </x:c>
      <x:c r="D314" s="1" t="str">
        <x:v>UAE</x:v>
      </x:c>
      <x:c r="E314" s="5" t="d">
        <x:v>2025-03-12T00:00:00.000Z</x:v>
      </x:c>
      <x:c r="F314" s="5" t="d">
        <x:v>2026-08-15T00:00:00.000Z</x:v>
      </x:c>
      <x:c r="G314" s="1" t="n">
        <x:v>8</x:v>
      </x:c>
      <x:c r="H314" s="6" t="n">
        <x:v>440.35</x:v>
      </x:c>
      <x:c r="I314" s="1" t="n">
        <x:v>10</x:v>
      </x:c>
      <x:c r="J314" s="1" t="str">
        <x:v>app</x:v>
      </x:c>
      <x:c r="K314" s="7" t="n">
        <x:f>DATE(2026,10,1)-F314</x:f>
        <x:v>47</x:v>
      </x:c>
      <x:c r="L314" s="7" t="n">
        <x:f>IF(K314&lt;=30,3,IF(K314&lt;=90,2,1))</x:f>
        <x:v>2</x:v>
      </x:c>
      <x:c r="M314" s="7" t="n">
        <x:f>IF(G314&gt;=8,3,IF(G314&gt;=3,2,1))</x:f>
        <x:v>3</x:v>
      </x:c>
      <x:c r="N314" s="7" t="n">
        <x:f>IF(H314&gt;=600,3,IF(H314&gt;=200,2,1))</x:f>
        <x:v>2</x:v>
      </x:c>
      <x:c r="O314" s="1" t="str">
        <x:f>IF(AND(L314=3,M314=3),"Champions",IF(AND(L314=1,M314&gt;=2),"At risk",IF(AND(L314=3,M314=1),"New",IF(AND(L314=1,M314=1),"Hibernating",IF(AND(L314=2,M314=1),"Promising","Loyal")))))</x:f>
        <x:v>Loyal</x:v>
      </x:c>
    </x:row>
    <x:row r="315">
      <x:c r="A315" s="1" t="str">
        <x:v>C0314</x:v>
      </x:c>
      <x:c r="B315" s="1" t="str">
        <x:v>Hana</x:v>
      </x:c>
      <x:c r="C315" s="1" t="str">
        <x:v>customer0314@example.com</x:v>
      </x:c>
      <x:c r="D315" s="1" t="str">
        <x:v>UK</x:v>
      </x:c>
      <x:c r="E315" s="5" t="d">
        <x:v>2025-08-10T00:00:00.000Z</x:v>
      </x:c>
      <x:c r="F315" s="5" t="d">
        <x:v>2026-02-18T00:00:00.000Z</x:v>
      </x:c>
      <x:c r="G315" s="1" t="n">
        <x:v>6</x:v>
      </x:c>
      <x:c r="H315" s="6" t="n">
        <x:v>830.62</x:v>
      </x:c>
      <x:c r="I315" s="1" t="n">
        <x:v>0</x:v>
      </x:c>
      <x:c r="J315" s="1" t="str">
        <x:v>store</x:v>
      </x:c>
      <x:c r="K315" s="7" t="n">
        <x:f>DATE(2026,10,1)-F315</x:f>
        <x:v>225</x:v>
      </x:c>
      <x:c r="L315" s="7" t="n">
        <x:f>IF(K315&lt;=30,3,IF(K315&lt;=90,2,1))</x:f>
        <x:v>1</x:v>
      </x:c>
      <x:c r="M315" s="7" t="n">
        <x:f>IF(G315&gt;=8,3,IF(G315&gt;=3,2,1))</x:f>
        <x:v>2</x:v>
      </x:c>
      <x:c r="N315" s="7" t="n">
        <x:f>IF(H315&gt;=600,3,IF(H315&gt;=200,2,1))</x:f>
        <x:v>3</x:v>
      </x:c>
      <x:c r="O315" s="1" t="str">
        <x:f>IF(AND(L315=3,M315=3),"Champions",IF(AND(L315=1,M315&gt;=2),"At risk",IF(AND(L315=3,M315=1),"New",IF(AND(L315=1,M315=1),"Hibernating",IF(AND(L315=2,M315=1),"Promising","Loyal")))))</x:f>
        <x:v>At risk</x:v>
      </x:c>
    </x:row>
    <x:row r="316">
      <x:c r="A316" s="1" t="str">
        <x:v>C0315</x:v>
      </x:c>
      <x:c r="B316" s="1" t="str">
        <x:v>Felix</x:v>
      </x:c>
      <x:c r="C316" s="1" t="str">
        <x:v>customer0315@example.com</x:v>
      </x:c>
      <x:c r="D316" s="1" t="str">
        <x:v>India</x:v>
      </x:c>
      <x:c r="E316" s="5" t="d">
        <x:v>2024-08-24T00:00:00.000Z</x:v>
      </x:c>
      <x:c r="F316" s="5" t="d">
        <x:v>2026-06-01T00:00:00.000Z</x:v>
      </x:c>
      <x:c r="G316" s="1" t="n">
        <x:v>8</x:v>
      </x:c>
      <x:c r="H316" s="6" t="n">
        <x:v>905.35</x:v>
      </x:c>
      <x:c r="I316" s="1" t="n">
        <x:v>11</x:v>
      </x:c>
      <x:c r="J316" s="1" t="str">
        <x:v>web</x:v>
      </x:c>
      <x:c r="K316" s="7" t="n">
        <x:f>DATE(2026,10,1)-F316</x:f>
        <x:v>122</x:v>
      </x:c>
      <x:c r="L316" s="7" t="n">
        <x:f>IF(K316&lt;=30,3,IF(K316&lt;=90,2,1))</x:f>
        <x:v>1</x:v>
      </x:c>
      <x:c r="M316" s="7" t="n">
        <x:f>IF(G316&gt;=8,3,IF(G316&gt;=3,2,1))</x:f>
        <x:v>3</x:v>
      </x:c>
      <x:c r="N316" s="7" t="n">
        <x:f>IF(H316&gt;=600,3,IF(H316&gt;=200,2,1))</x:f>
        <x:v>3</x:v>
      </x:c>
      <x:c r="O316" s="1" t="str">
        <x:f>IF(AND(L316=3,M316=3),"Champions",IF(AND(L316=1,M316&gt;=2),"At risk",IF(AND(L316=3,M316=1),"New",IF(AND(L316=1,M316=1),"Hibernating",IF(AND(L316=2,M316=1),"Promising","Loyal")))))</x:f>
        <x:v>At risk</x:v>
      </x:c>
    </x:row>
    <x:row r="317">
      <x:c r="A317" s="1" t="str">
        <x:v>C0316</x:v>
      </x:c>
      <x:c r="B317" s="1" t="str">
        <x:v>Aarav</x:v>
      </x:c>
      <x:c r="C317" s="1" t="str">
        <x:v>customer0316@example.com</x:v>
      </x:c>
      <x:c r="D317" s="1" t="str">
        <x:v>Germany</x:v>
      </x:c>
      <x:c r="E317" s="5" t="d">
        <x:v>2025-03-13T00:00:00.000Z</x:v>
      </x:c>
      <x:c r="F317" s="5" t="d">
        <x:v>2026-09-30T00:00:00.000Z</x:v>
      </x:c>
      <x:c r="G317" s="1" t="n">
        <x:v>12</x:v>
      </x:c>
      <x:c r="H317" s="6" t="n">
        <x:v>1737.02</x:v>
      </x:c>
      <x:c r="I317" s="1" t="n">
        <x:v>6</x:v>
      </x:c>
      <x:c r="J317" s="1" t="str">
        <x:v>app</x:v>
      </x:c>
      <x:c r="K317" s="7" t="n">
        <x:f>DATE(2026,10,1)-F317</x:f>
        <x:v>1</x:v>
      </x:c>
      <x:c r="L317" s="7" t="n">
        <x:f>IF(K317&lt;=30,3,IF(K317&lt;=90,2,1))</x:f>
        <x:v>3</x:v>
      </x:c>
      <x:c r="M317" s="7" t="n">
        <x:f>IF(G317&gt;=8,3,IF(G317&gt;=3,2,1))</x:f>
        <x:v>3</x:v>
      </x:c>
      <x:c r="N317" s="7" t="n">
        <x:f>IF(H317&gt;=600,3,IF(H317&gt;=200,2,1))</x:f>
        <x:v>3</x:v>
      </x:c>
      <x:c r="O317" s="1" t="str">
        <x:f>IF(AND(L317=3,M317=3),"Champions",IF(AND(L317=1,M317&gt;=2),"At risk",IF(AND(L317=3,M317=1),"New",IF(AND(L317=1,M317=1),"Hibernating",IF(AND(L317=2,M317=1),"Promising","Loyal")))))</x:f>
        <x:v>Champions</x:v>
      </x:c>
    </x:row>
    <x:row r="318">
      <x:c r="A318" s="1" t="str">
        <x:v>C0317</x:v>
      </x:c>
      <x:c r="B318" s="1" t="str">
        <x:v>Kai</x:v>
      </x:c>
      <x:c r="C318" s="1" t="str">
        <x:v>customer0317@example.com</x:v>
      </x:c>
      <x:c r="D318" s="1" t="str">
        <x:v>Japan</x:v>
      </x:c>
      <x:c r="E318" s="5" t="d">
        <x:v>2026-08-09T00:00:00.000Z</x:v>
      </x:c>
      <x:c r="F318" s="5" t="d">
        <x:v>2026-09-09T00:00:00.000Z</x:v>
      </x:c>
      <x:c r="G318" s="1" t="n">
        <x:v>1</x:v>
      </x:c>
      <x:c r="H318" s="6" t="n">
        <x:v>51.46</x:v>
      </x:c>
      <x:c r="I318" s="1" t="n">
        <x:v>9</x:v>
      </x:c>
      <x:c r="J318" s="1" t="str">
        <x:v>web</x:v>
      </x:c>
      <x:c r="K318" s="7" t="n">
        <x:f>DATE(2026,10,1)-F318</x:f>
        <x:v>22</x:v>
      </x:c>
      <x:c r="L318" s="7" t="n">
        <x:f>IF(K318&lt;=30,3,IF(K318&lt;=90,2,1))</x:f>
        <x:v>3</x:v>
      </x:c>
      <x:c r="M318" s="7" t="n">
        <x:f>IF(G318&gt;=8,3,IF(G318&gt;=3,2,1))</x:f>
        <x:v>1</x:v>
      </x:c>
      <x:c r="N318" s="7" t="n">
        <x:f>IF(H318&gt;=600,3,IF(H318&gt;=200,2,1))</x:f>
        <x:v>1</x:v>
      </x:c>
      <x:c r="O318" s="1" t="str">
        <x:f>IF(AND(L318=3,M318=3),"Champions",IF(AND(L318=1,M318&gt;=2),"At risk",IF(AND(L318=3,M318=1),"New",IF(AND(L318=1,M318=1),"Hibernating",IF(AND(L318=2,M318=1),"Promising","Loyal")))))</x:f>
        <x:v>New</x:v>
      </x:c>
    </x:row>
    <x:row r="319">
      <x:c r="A319" s="1" t="str">
        <x:v>C0318</x:v>
      </x:c>
      <x:c r="B319" s="1" t="str">
        <x:v>Kenji</x:v>
      </x:c>
      <x:c r="C319" s="1" t="str">
        <x:v>customer0318@example.com</x:v>
      </x:c>
      <x:c r="D319" s="1" t="str">
        <x:v>UK</x:v>
      </x:c>
      <x:c r="E319" s="5" t="d">
        <x:v>2025-12-08T00:00:00.000Z</x:v>
      </x:c>
      <x:c r="F319" s="5" t="d">
        <x:v>2026-04-11T00:00:00.000Z</x:v>
      </x:c>
      <x:c r="G319" s="1" t="n">
        <x:v>1</x:v>
      </x:c>
      <x:c r="H319" s="6" t="n">
        <x:v>86.94</x:v>
      </x:c>
      <x:c r="I319" s="1" t="n">
        <x:v>8</x:v>
      </x:c>
      <x:c r="J319" s="1" t="str">
        <x:v>store</x:v>
      </x:c>
      <x:c r="K319" s="7" t="n">
        <x:f>DATE(2026,10,1)-F319</x:f>
        <x:v>173</x:v>
      </x:c>
      <x:c r="L319" s="7" t="n">
        <x:f>IF(K319&lt;=30,3,IF(K319&lt;=90,2,1))</x:f>
        <x:v>1</x:v>
      </x:c>
      <x:c r="M319" s="7" t="n">
        <x:f>IF(G319&gt;=8,3,IF(G319&gt;=3,2,1))</x:f>
        <x:v>1</x:v>
      </x:c>
      <x:c r="N319" s="7" t="n">
        <x:f>IF(H319&gt;=600,3,IF(H319&gt;=200,2,1))</x:f>
        <x:v>1</x:v>
      </x:c>
      <x:c r="O319" s="1" t="str">
        <x:f>IF(AND(L319=3,M319=3),"Champions",IF(AND(L319=1,M319&gt;=2),"At risk",IF(AND(L319=3,M319=1),"New",IF(AND(L319=1,M319=1),"Hibernating",IF(AND(L319=2,M319=1),"Promising","Loyal")))))</x:f>
        <x:v>Hibernating</x:v>
      </x:c>
    </x:row>
    <x:row r="320">
      <x:c r="A320" s="1" t="str">
        <x:v>C0319</x:v>
      </x:c>
      <x:c r="B320" s="1" t="str">
        <x:v>Priya</x:v>
      </x:c>
      <x:c r="C320" s="1" t="str">
        <x:v>customer0319@example.com</x:v>
      </x:c>
      <x:c r="D320" s="1" t="str">
        <x:v>Australia</x:v>
      </x:c>
      <x:c r="E320" s="5" t="d">
        <x:v>2025-04-10T00:00:00.000Z</x:v>
      </x:c>
      <x:c r="F320" s="5" t="d">
        <x:v>2026-09-27T00:00:00.000Z</x:v>
      </x:c>
      <x:c r="G320" s="1" t="n">
        <x:v>9</x:v>
      </x:c>
      <x:c r="H320" s="6" t="n">
        <x:v>872.86</x:v>
      </x:c>
      <x:c r="I320" s="1" t="n">
        <x:v>9</x:v>
      </x:c>
      <x:c r="J320" s="1" t="str">
        <x:v>web</x:v>
      </x:c>
      <x:c r="K320" s="7" t="n">
        <x:f>DATE(2026,10,1)-F320</x:f>
        <x:v>4</x:v>
      </x:c>
      <x:c r="L320" s="7" t="n">
        <x:f>IF(K320&lt;=30,3,IF(K320&lt;=90,2,1))</x:f>
        <x:v>3</x:v>
      </x:c>
      <x:c r="M320" s="7" t="n">
        <x:f>IF(G320&gt;=8,3,IF(G320&gt;=3,2,1))</x:f>
        <x:v>3</x:v>
      </x:c>
      <x:c r="N320" s="7" t="n">
        <x:f>IF(H320&gt;=600,3,IF(H320&gt;=200,2,1))</x:f>
        <x:v>3</x:v>
      </x:c>
      <x:c r="O320" s="1" t="str">
        <x:f>IF(AND(L320=3,M320=3),"Champions",IF(AND(L320=1,M320&gt;=2),"At risk",IF(AND(L320=3,M320=1),"New",IF(AND(L320=1,M320=1),"Hibernating",IF(AND(L320=2,M320=1),"Promising","Loyal")))))</x:f>
        <x:v>Champions</x:v>
      </x:c>
    </x:row>
    <x:row r="321">
      <x:c r="A321" s="1" t="str">
        <x:v>C0320</x:v>
      </x:c>
      <x:c r="B321" s="1" t="str">
        <x:v>Ravi</x:v>
      </x:c>
      <x:c r="C321" s="1" t="str">
        <x:v>customer0320@example.com</x:v>
      </x:c>
      <x:c r="D321" s="1" t="str">
        <x:v>UK</x:v>
      </x:c>
      <x:c r="E321" s="5" t="d">
        <x:v>2024-10-08T00:00:00.000Z</x:v>
      </x:c>
      <x:c r="F321" s="5" t="d">
        <x:v>2026-05-23T00:00:00.000Z</x:v>
      </x:c>
      <x:c r="G321" s="1" t="n">
        <x:v>1</x:v>
      </x:c>
      <x:c r="H321" s="6" t="n">
        <x:v>134.8</x:v>
      </x:c>
      <x:c r="I321" s="1" t="n">
        <x:v>11</x:v>
      </x:c>
      <x:c r="J321" s="1" t="str">
        <x:v>app</x:v>
      </x:c>
      <x:c r="K321" s="7" t="n">
        <x:f>DATE(2026,10,1)-F321</x:f>
        <x:v>131</x:v>
      </x:c>
      <x:c r="L321" s="7" t="n">
        <x:f>IF(K321&lt;=30,3,IF(K321&lt;=90,2,1))</x:f>
        <x:v>1</x:v>
      </x:c>
      <x:c r="M321" s="7" t="n">
        <x:f>IF(G321&gt;=8,3,IF(G321&gt;=3,2,1))</x:f>
        <x:v>1</x:v>
      </x:c>
      <x:c r="N321" s="7" t="n">
        <x:f>IF(H321&gt;=600,3,IF(H321&gt;=200,2,1))</x:f>
        <x:v>1</x:v>
      </x:c>
      <x:c r="O321" s="1" t="str">
        <x:f>IF(AND(L321=3,M321=3),"Champions",IF(AND(L321=1,M321&gt;=2),"At risk",IF(AND(L321=3,M321=1),"New",IF(AND(L321=1,M321=1),"Hibernating",IF(AND(L321=2,M321=1),"Promising","Loyal")))))</x:f>
        <x:v>Hibernating</x:v>
      </x:c>
    </x:row>
    <x:row r="322">
      <x:c r="A322" s="1" t="str">
        <x:v>C0321</x:v>
      </x:c>
      <x:c r="B322" s="1" t="str">
        <x:v>Mei</x:v>
      </x:c>
      <x:c r="C322" s="1" t="str">
        <x:v>customer0321@example.com</x:v>
      </x:c>
      <x:c r="D322" s="1" t="str">
        <x:v>Nigeria</x:v>
      </x:c>
      <x:c r="E322" s="5" t="d">
        <x:v>2026-05-22T00:00:00.000Z</x:v>
      </x:c>
      <x:c r="F322" s="5" t="d">
        <x:v>2026-08-31T00:00:00.000Z</x:v>
      </x:c>
      <x:c r="G322" s="1" t="n">
        <x:v>3</x:v>
      </x:c>
      <x:c r="H322" s="6" t="n">
        <x:v>386.63</x:v>
      </x:c>
      <x:c r="I322" s="1" t="n">
        <x:v>1</x:v>
      </x:c>
      <x:c r="J322" s="1" t="str">
        <x:v>web</x:v>
      </x:c>
      <x:c r="K322" s="7" t="n">
        <x:f>DATE(2026,10,1)-F322</x:f>
        <x:v>31</x:v>
      </x:c>
      <x:c r="L322" s="7" t="n">
        <x:f>IF(K322&lt;=30,3,IF(K322&lt;=90,2,1))</x:f>
        <x:v>2</x:v>
      </x:c>
      <x:c r="M322" s="7" t="n">
        <x:f>IF(G322&gt;=8,3,IF(G322&gt;=3,2,1))</x:f>
        <x:v>2</x:v>
      </x:c>
      <x:c r="N322" s="7" t="n">
        <x:f>IF(H322&gt;=600,3,IF(H322&gt;=200,2,1))</x:f>
        <x:v>2</x:v>
      </x:c>
      <x:c r="O322" s="1" t="str">
        <x:f>IF(AND(L322=3,M322=3),"Champions",IF(AND(L322=1,M322&gt;=2),"At risk",IF(AND(L322=3,M322=1),"New",IF(AND(L322=1,M322=1),"Hibernating",IF(AND(L322=2,M322=1),"Promising","Loyal")))))</x:f>
        <x:v>Loyal</x:v>
      </x:c>
    </x:row>
    <x:row r="323">
      <x:c r="A323" s="1" t="str">
        <x:v>C0322</x:v>
      </x:c>
      <x:c r="B323" s="1" t="str">
        <x:v>Diego</x:v>
      </x:c>
      <x:c r="C323" s="1" t="str">
        <x:v>customer0322@example.com</x:v>
      </x:c>
      <x:c r="D323" s="1" t="str">
        <x:v>India</x:v>
      </x:c>
      <x:c r="E323" s="5" t="d">
        <x:v>2025-06-24T00:00:00.000Z</x:v>
      </x:c>
      <x:c r="F323" s="5" t="d">
        <x:v>2026-08-03T00:00:00.000Z</x:v>
      </x:c>
      <x:c r="G323" s="1" t="n">
        <x:v>3</x:v>
      </x:c>
      <x:c r="H323" s="6" t="n">
        <x:v>238.28</x:v>
      </x:c>
      <x:c r="I323" s="1" t="n">
        <x:v>7</x:v>
      </x:c>
      <x:c r="J323" s="1" t="str">
        <x:v>app</x:v>
      </x:c>
      <x:c r="K323" s="7" t="n">
        <x:f>DATE(2026,10,1)-F323</x:f>
        <x:v>59</x:v>
      </x:c>
      <x:c r="L323" s="7" t="n">
        <x:f>IF(K323&lt;=30,3,IF(K323&lt;=90,2,1))</x:f>
        <x:v>2</x:v>
      </x:c>
      <x:c r="M323" s="7" t="n">
        <x:f>IF(G323&gt;=8,3,IF(G323&gt;=3,2,1))</x:f>
        <x:v>2</x:v>
      </x:c>
      <x:c r="N323" s="7" t="n">
        <x:f>IF(H323&gt;=600,3,IF(H323&gt;=200,2,1))</x:f>
        <x:v>2</x:v>
      </x:c>
      <x:c r="O323" s="1" t="str">
        <x:f>IF(AND(L323=3,M323=3),"Champions",IF(AND(L323=1,M323&gt;=2),"At risk",IF(AND(L323=3,M323=1),"New",IF(AND(L323=1,M323=1),"Hibernating",IF(AND(L323=2,M323=1),"Promising","Loyal")))))</x:f>
        <x:v>Loyal</x:v>
      </x:c>
    </x:row>
    <x:row r="324">
      <x:c r="A324" s="1" t="str">
        <x:v>C0323</x:v>
      </x:c>
      <x:c r="B324" s="1" t="str">
        <x:v>Mei</x:v>
      </x:c>
      <x:c r="C324" s="1" t="str">
        <x:v>customer0323@example.com</x:v>
      </x:c>
      <x:c r="D324" s="1" t="str">
        <x:v>UK</x:v>
      </x:c>
      <x:c r="E324" s="5" t="d">
        <x:v>2026-08-17T00:00:00.000Z</x:v>
      </x:c>
      <x:c r="F324" s="5" t="d">
        <x:v>2026-09-23T00:00:00.000Z</x:v>
      </x:c>
      <x:c r="G324" s="1" t="n">
        <x:v>1</x:v>
      </x:c>
      <x:c r="H324" s="6" t="n">
        <x:v>27.04</x:v>
      </x:c>
      <x:c r="I324" s="1" t="n">
        <x:v>5</x:v>
      </x:c>
      <x:c r="J324" s="1" t="str">
        <x:v>app</x:v>
      </x:c>
      <x:c r="K324" s="7" t="n">
        <x:f>DATE(2026,10,1)-F324</x:f>
        <x:v>8</x:v>
      </x:c>
      <x:c r="L324" s="7" t="n">
        <x:f>IF(K324&lt;=30,3,IF(K324&lt;=90,2,1))</x:f>
        <x:v>3</x:v>
      </x:c>
      <x:c r="M324" s="7" t="n">
        <x:f>IF(G324&gt;=8,3,IF(G324&gt;=3,2,1))</x:f>
        <x:v>1</x:v>
      </x:c>
      <x:c r="N324" s="7" t="n">
        <x:f>IF(H324&gt;=600,3,IF(H324&gt;=200,2,1))</x:f>
        <x:v>1</x:v>
      </x:c>
      <x:c r="O324" s="1" t="str">
        <x:f>IF(AND(L324=3,M324=3),"Champions",IF(AND(L324=1,M324&gt;=2),"At risk",IF(AND(L324=3,M324=1),"New",IF(AND(L324=1,M324=1),"Hibernating",IF(AND(L324=2,M324=1),"Promising","Loyal")))))</x:f>
        <x:v>New</x:v>
      </x:c>
    </x:row>
    <x:row r="325">
      <x:c r="A325" s="1" t="str">
        <x:v>C0324</x:v>
      </x:c>
      <x:c r="B325" s="1" t="str">
        <x:v>Jonas</x:v>
      </x:c>
      <x:c r="C325" s="1" t="str">
        <x:v>customer0324@example.com</x:v>
      </x:c>
      <x:c r="D325" s="1" t="str">
        <x:v>Australia</x:v>
      </x:c>
      <x:c r="E325" s="5" t="d">
        <x:v>2025-02-17T00:00:00.000Z</x:v>
      </x:c>
      <x:c r="F325" s="5" t="d">
        <x:v>2025-11-02T00:00:00.000Z</x:v>
      </x:c>
      <x:c r="G325" s="1" t="n">
        <x:v>2</x:v>
      </x:c>
      <x:c r="H325" s="6" t="n">
        <x:v>88.22</x:v>
      </x:c>
      <x:c r="I325" s="1" t="n">
        <x:v>1</x:v>
      </x:c>
      <x:c r="J325" s="1" t="str">
        <x:v>app</x:v>
      </x:c>
      <x:c r="K325" s="7" t="n">
        <x:f>DATE(2026,10,1)-F325</x:f>
        <x:v>333</x:v>
      </x:c>
      <x:c r="L325" s="7" t="n">
        <x:f>IF(K325&lt;=30,3,IF(K325&lt;=90,2,1))</x:f>
        <x:v>1</x:v>
      </x:c>
      <x:c r="M325" s="7" t="n">
        <x:f>IF(G325&gt;=8,3,IF(G325&gt;=3,2,1))</x:f>
        <x:v>1</x:v>
      </x:c>
      <x:c r="N325" s="7" t="n">
        <x:f>IF(H325&gt;=600,3,IF(H325&gt;=200,2,1))</x:f>
        <x:v>1</x:v>
      </x:c>
      <x:c r="O325" s="1" t="str">
        <x:f>IF(AND(L325=3,M325=3),"Champions",IF(AND(L325=1,M325&gt;=2),"At risk",IF(AND(L325=3,M325=1),"New",IF(AND(L325=1,M325=1),"Hibernating",IF(AND(L325=2,M325=1),"Promising","Loyal")))))</x:f>
        <x:v>Hibernating</x:v>
      </x:c>
    </x:row>
    <x:row r="326">
      <x:c r="A326" s="1" t="str">
        <x:v>C0325</x:v>
      </x:c>
      <x:c r="B326" s="1" t="str">
        <x:v>Jonas</x:v>
      </x:c>
      <x:c r="C326" s="1" t="str">
        <x:v>customer0325@example.com</x:v>
      </x:c>
      <x:c r="D326" s="1" t="str">
        <x:v>Australia</x:v>
      </x:c>
      <x:c r="E326" s="5" t="d">
        <x:v>2026-08-15T00:00:00.000Z</x:v>
      </x:c>
      <x:c r="F326" s="5" t="d">
        <x:v>2026-09-09T00:00:00.000Z</x:v>
      </x:c>
      <x:c r="G326" s="1" t="n">
        <x:v>1</x:v>
      </x:c>
      <x:c r="H326" s="6" t="n">
        <x:v>86.16</x:v>
      </x:c>
      <x:c r="I326" s="1" t="n">
        <x:v>0</x:v>
      </x:c>
      <x:c r="J326" s="1" t="str">
        <x:v>app</x:v>
      </x:c>
      <x:c r="K326" s="7" t="n">
        <x:f>DATE(2026,10,1)-F326</x:f>
        <x:v>22</x:v>
      </x:c>
      <x:c r="L326" s="7" t="n">
        <x:f>IF(K326&lt;=30,3,IF(K326&lt;=90,2,1))</x:f>
        <x:v>3</x:v>
      </x:c>
      <x:c r="M326" s="7" t="n">
        <x:f>IF(G326&gt;=8,3,IF(G326&gt;=3,2,1))</x:f>
        <x:v>1</x:v>
      </x:c>
      <x:c r="N326" s="7" t="n">
        <x:f>IF(H326&gt;=600,3,IF(H326&gt;=200,2,1))</x:f>
        <x:v>1</x:v>
      </x:c>
      <x:c r="O326" s="1" t="str">
        <x:f>IF(AND(L326=3,M326=3),"Champions",IF(AND(L326=1,M326&gt;=2),"At risk",IF(AND(L326=3,M326=1),"New",IF(AND(L326=1,M326=1),"Hibernating",IF(AND(L326=2,M326=1),"Promising","Loyal")))))</x:f>
        <x:v>New</x:v>
      </x:c>
    </x:row>
    <x:row r="327">
      <x:c r="A327" s="1" t="str">
        <x:v>C0326</x:v>
      </x:c>
      <x:c r="B327" s="1" t="str">
        <x:v>Jonas</x:v>
      </x:c>
      <x:c r="C327" s="1" t="str">
        <x:v>customer0326@example.com</x:v>
      </x:c>
      <x:c r="D327" s="1" t="str">
        <x:v>Germany</x:v>
      </x:c>
      <x:c r="E327" s="5" t="d">
        <x:v>2026-09-18T00:00:00.000Z</x:v>
      </x:c>
      <x:c r="F327" s="5" t="d">
        <x:v>2026-09-25T00:00:00.000Z</x:v>
      </x:c>
      <x:c r="G327" s="1" t="n">
        <x:v>13</x:v>
      </x:c>
      <x:c r="H327" s="6" t="n">
        <x:v>1206.41</x:v>
      </x:c>
      <x:c r="I327" s="1" t="n">
        <x:v>6</x:v>
      </x:c>
      <x:c r="J327" s="1" t="str">
        <x:v>store</x:v>
      </x:c>
      <x:c r="K327" s="7" t="n">
        <x:f>DATE(2026,10,1)-F327</x:f>
        <x:v>6</x:v>
      </x:c>
      <x:c r="L327" s="7" t="n">
        <x:f>IF(K327&lt;=30,3,IF(K327&lt;=90,2,1))</x:f>
        <x:v>3</x:v>
      </x:c>
      <x:c r="M327" s="7" t="n">
        <x:f>IF(G327&gt;=8,3,IF(G327&gt;=3,2,1))</x:f>
        <x:v>3</x:v>
      </x:c>
      <x:c r="N327" s="7" t="n">
        <x:f>IF(H327&gt;=600,3,IF(H327&gt;=200,2,1))</x:f>
        <x:v>3</x:v>
      </x:c>
      <x:c r="O327" s="1" t="str">
        <x:f>IF(AND(L327=3,M327=3),"Champions",IF(AND(L327=1,M327&gt;=2),"At risk",IF(AND(L327=3,M327=1),"New",IF(AND(L327=1,M327=1),"Hibernating",IF(AND(L327=2,M327=1),"Promising","Loyal")))))</x:f>
        <x:v>Champions</x:v>
      </x:c>
    </x:row>
    <x:row r="328">
      <x:c r="A328" s="1" t="str">
        <x:v>C0327</x:v>
      </x:c>
      <x:c r="B328" s="1" t="str">
        <x:v>Mateo</x:v>
      </x:c>
      <x:c r="C328" s="1" t="str">
        <x:v>customer0327@example.com</x:v>
      </x:c>
      <x:c r="D328" s="1" t="str">
        <x:v>Singapore</x:v>
      </x:c>
      <x:c r="E328" s="5" t="d">
        <x:v>2025-09-01T00:00:00.000Z</x:v>
      </x:c>
      <x:c r="F328" s="5" t="d">
        <x:v>2026-08-10T00:00:00.000Z</x:v>
      </x:c>
      <x:c r="G328" s="1" t="n">
        <x:v>7</x:v>
      </x:c>
      <x:c r="H328" s="6" t="n">
        <x:v>810.04</x:v>
      </x:c>
      <x:c r="I328" s="1" t="n">
        <x:v>1</x:v>
      </x:c>
      <x:c r="J328" s="1" t="str">
        <x:v>web</x:v>
      </x:c>
      <x:c r="K328" s="7" t="n">
        <x:f>DATE(2026,10,1)-F328</x:f>
        <x:v>52</x:v>
      </x:c>
      <x:c r="L328" s="7" t="n">
        <x:f>IF(K328&lt;=30,3,IF(K328&lt;=90,2,1))</x:f>
        <x:v>2</x:v>
      </x:c>
      <x:c r="M328" s="7" t="n">
        <x:f>IF(G328&gt;=8,3,IF(G328&gt;=3,2,1))</x:f>
        <x:v>2</x:v>
      </x:c>
      <x:c r="N328" s="7" t="n">
        <x:f>IF(H328&gt;=600,3,IF(H328&gt;=200,2,1))</x:f>
        <x:v>3</x:v>
      </x:c>
      <x:c r="O328" s="1" t="str">
        <x:f>IF(AND(L328=3,M328=3),"Champions",IF(AND(L328=1,M328&gt;=2),"At risk",IF(AND(L328=3,M328=1),"New",IF(AND(L328=1,M328=1),"Hibernating",IF(AND(L328=2,M328=1),"Promising","Loyal")))))</x:f>
        <x:v>Loyal</x:v>
      </x:c>
    </x:row>
    <x:row r="329">
      <x:c r="A329" s="1" t="str">
        <x:v>C0328</x:v>
      </x:c>
      <x:c r="B329" s="1" t="str">
        <x:v>Ines</x:v>
      </x:c>
      <x:c r="C329" s="1" t="str">
        <x:v>customer0328@example.com</x:v>
      </x:c>
      <x:c r="D329" s="1" t="str">
        <x:v>Brazil</x:v>
      </x:c>
      <x:c r="E329" s="5" t="d">
        <x:v>2024-09-04T00:00:00.000Z</x:v>
      </x:c>
      <x:c r="F329" s="5" t="d">
        <x:v>2025-12-26T00:00:00.000Z</x:v>
      </x:c>
      <x:c r="G329" s="1" t="n">
        <x:v>1</x:v>
      </x:c>
      <x:c r="H329" s="6" t="n">
        <x:v>82.79</x:v>
      </x:c>
      <x:c r="I329" s="1" t="n">
        <x:v>3</x:v>
      </x:c>
      <x:c r="J329" s="1" t="str">
        <x:v>web</x:v>
      </x:c>
      <x:c r="K329" s="7" t="n">
        <x:f>DATE(2026,10,1)-F329</x:f>
        <x:v>279</x:v>
      </x:c>
      <x:c r="L329" s="7" t="n">
        <x:f>IF(K329&lt;=30,3,IF(K329&lt;=90,2,1))</x:f>
        <x:v>1</x:v>
      </x:c>
      <x:c r="M329" s="7" t="n">
        <x:f>IF(G329&gt;=8,3,IF(G329&gt;=3,2,1))</x:f>
        <x:v>1</x:v>
      </x:c>
      <x:c r="N329" s="7" t="n">
        <x:f>IF(H329&gt;=600,3,IF(H329&gt;=200,2,1))</x:f>
        <x:v>1</x:v>
      </x:c>
      <x:c r="O329" s="1" t="str">
        <x:f>IF(AND(L329=3,M329=3),"Champions",IF(AND(L329=1,M329&gt;=2),"At risk",IF(AND(L329=3,M329=1),"New",IF(AND(L329=1,M329=1),"Hibernating",IF(AND(L329=2,M329=1),"Promising","Loyal")))))</x:f>
        <x:v>Hibernating</x:v>
      </x:c>
    </x:row>
    <x:row r="330">
      <x:c r="A330" s="1" t="str">
        <x:v>C0329</x:v>
      </x:c>
      <x:c r="B330" s="1" t="str">
        <x:v>Zara</x:v>
      </x:c>
      <x:c r="C330" s="1" t="str">
        <x:v>customer0329@example.com</x:v>
      </x:c>
      <x:c r="D330" s="1" t="str">
        <x:v>UK</x:v>
      </x:c>
      <x:c r="E330" s="5" t="d">
        <x:v>2026-04-03T00:00:00.000Z</x:v>
      </x:c>
      <x:c r="F330" s="5" t="d">
        <x:v>2026-09-09T00:00:00.000Z</x:v>
      </x:c>
      <x:c r="G330" s="1" t="n">
        <x:v>8</x:v>
      </x:c>
      <x:c r="H330" s="6" t="n">
        <x:v>1146.27</x:v>
      </x:c>
      <x:c r="I330" s="1" t="n">
        <x:v>1</x:v>
      </x:c>
      <x:c r="J330" s="1" t="str">
        <x:v>app</x:v>
      </x:c>
      <x:c r="K330" s="7" t="n">
        <x:f>DATE(2026,10,1)-F330</x:f>
        <x:v>22</x:v>
      </x:c>
      <x:c r="L330" s="7" t="n">
        <x:f>IF(K330&lt;=30,3,IF(K330&lt;=90,2,1))</x:f>
        <x:v>3</x:v>
      </x:c>
      <x:c r="M330" s="7" t="n">
        <x:f>IF(G330&gt;=8,3,IF(G330&gt;=3,2,1))</x:f>
        <x:v>3</x:v>
      </x:c>
      <x:c r="N330" s="7" t="n">
        <x:f>IF(H330&gt;=600,3,IF(H330&gt;=200,2,1))</x:f>
        <x:v>3</x:v>
      </x:c>
      <x:c r="O330" s="1" t="str">
        <x:f>IF(AND(L330=3,M330=3),"Champions",IF(AND(L330=1,M330&gt;=2),"At risk",IF(AND(L330=3,M330=1),"New",IF(AND(L330=1,M330=1),"Hibernating",IF(AND(L330=2,M330=1),"Promising","Loyal")))))</x:f>
        <x:v>Champions</x:v>
      </x:c>
    </x:row>
    <x:row r="331">
      <x:c r="A331" s="1" t="str">
        <x:v>C0330</x:v>
      </x:c>
      <x:c r="B331" s="1" t="str">
        <x:v>Amara</x:v>
      </x:c>
      <x:c r="C331" s="1" t="str">
        <x:v>customer0330@example.com</x:v>
      </x:c>
      <x:c r="D331" s="1" t="str">
        <x:v>Brazil</x:v>
      </x:c>
      <x:c r="E331" s="5" t="d">
        <x:v>2026-01-03T00:00:00.000Z</x:v>
      </x:c>
      <x:c r="F331" s="5" t="d">
        <x:v>2026-09-05T00:00:00.000Z</x:v>
      </x:c>
      <x:c r="G331" s="1" t="n">
        <x:v>7</x:v>
      </x:c>
      <x:c r="H331" s="6" t="n">
        <x:v>510.32</x:v>
      </x:c>
      <x:c r="I331" s="1" t="n">
        <x:v>5</x:v>
      </x:c>
      <x:c r="J331" s="1" t="str">
        <x:v>app</x:v>
      </x:c>
      <x:c r="K331" s="7" t="n">
        <x:f>DATE(2026,10,1)-F331</x:f>
        <x:v>26</x:v>
      </x:c>
      <x:c r="L331" s="7" t="n">
        <x:f>IF(K331&lt;=30,3,IF(K331&lt;=90,2,1))</x:f>
        <x:v>3</x:v>
      </x:c>
      <x:c r="M331" s="7" t="n">
        <x:f>IF(G331&gt;=8,3,IF(G331&gt;=3,2,1))</x:f>
        <x:v>2</x:v>
      </x:c>
      <x:c r="N331" s="7" t="n">
        <x:f>IF(H331&gt;=600,3,IF(H331&gt;=200,2,1))</x:f>
        <x:v>2</x:v>
      </x:c>
      <x:c r="O331" s="1" t="str">
        <x:f>IF(AND(L331=3,M331=3),"Champions",IF(AND(L331=1,M331&gt;=2),"At risk",IF(AND(L331=3,M331=1),"New",IF(AND(L331=1,M331=1),"Hibernating",IF(AND(L331=2,M331=1),"Promising","Loyal")))))</x:f>
        <x:v>Loyal</x:v>
      </x:c>
    </x:row>
    <x:row r="332">
      <x:c r="A332" s="1" t="str">
        <x:v>C0331</x:v>
      </x:c>
      <x:c r="B332" s="1" t="str">
        <x:v>Ethan</x:v>
      </x:c>
      <x:c r="C332" s="1" t="str">
        <x:v>customer0331@example.com</x:v>
      </x:c>
      <x:c r="D332" s="1" t="str">
        <x:v>USA</x:v>
      </x:c>
      <x:c r="E332" s="5" t="d">
        <x:v>2026-08-19T00:00:00.000Z</x:v>
      </x:c>
      <x:c r="F332" s="5" t="d">
        <x:v>2026-09-18T00:00:00.000Z</x:v>
      </x:c>
      <x:c r="G332" s="1" t="n">
        <x:v>1</x:v>
      </x:c>
      <x:c r="H332" s="6" t="n">
        <x:v>67.56</x:v>
      </x:c>
      <x:c r="I332" s="1" t="n">
        <x:v>3</x:v>
      </x:c>
      <x:c r="J332" s="1" t="str">
        <x:v>web</x:v>
      </x:c>
      <x:c r="K332" s="7" t="n">
        <x:f>DATE(2026,10,1)-F332</x:f>
        <x:v>13</x:v>
      </x:c>
      <x:c r="L332" s="7" t="n">
        <x:f>IF(K332&lt;=30,3,IF(K332&lt;=90,2,1))</x:f>
        <x:v>3</x:v>
      </x:c>
      <x:c r="M332" s="7" t="n">
        <x:f>IF(G332&gt;=8,3,IF(G332&gt;=3,2,1))</x:f>
        <x:v>1</x:v>
      </x:c>
      <x:c r="N332" s="7" t="n">
        <x:f>IF(H332&gt;=600,3,IF(H332&gt;=200,2,1))</x:f>
        <x:v>1</x:v>
      </x:c>
      <x:c r="O332" s="1" t="str">
        <x:f>IF(AND(L332=3,M332=3),"Champions",IF(AND(L332=1,M332&gt;=2),"At risk",IF(AND(L332=3,M332=1),"New",IF(AND(L332=1,M332=1),"Hibernating",IF(AND(L332=2,M332=1),"Promising","Loyal")))))</x:f>
        <x:v>New</x:v>
      </x:c>
    </x:row>
    <x:row r="333">
      <x:c r="A333" s="1" t="str">
        <x:v>C0332</x:v>
      </x:c>
      <x:c r="B333" s="1" t="str">
        <x:v>Diego</x:v>
      </x:c>
      <x:c r="C333" s="1" t="str">
        <x:v>customer0332@example.com</x:v>
      </x:c>
      <x:c r="D333" s="1" t="str">
        <x:v>Brazil</x:v>
      </x:c>
      <x:c r="E333" s="5" t="d">
        <x:v>2026-08-11T00:00:00.000Z</x:v>
      </x:c>
      <x:c r="F333" s="5" t="d">
        <x:v>2026-09-08T00:00:00.000Z</x:v>
      </x:c>
      <x:c r="G333" s="1" t="n">
        <x:v>2</x:v>
      </x:c>
      <x:c r="H333" s="6" t="n">
        <x:v>115.35</x:v>
      </x:c>
      <x:c r="I333" s="1" t="n">
        <x:v>8</x:v>
      </x:c>
      <x:c r="J333" s="1" t="str">
        <x:v>app</x:v>
      </x:c>
      <x:c r="K333" s="7" t="n">
        <x:f>DATE(2026,10,1)-F333</x:f>
        <x:v>23</x:v>
      </x:c>
      <x:c r="L333" s="7" t="n">
        <x:f>IF(K333&lt;=30,3,IF(K333&lt;=90,2,1))</x:f>
        <x:v>3</x:v>
      </x:c>
      <x:c r="M333" s="7" t="n">
        <x:f>IF(G333&gt;=8,3,IF(G333&gt;=3,2,1))</x:f>
        <x:v>1</x:v>
      </x:c>
      <x:c r="N333" s="7" t="n">
        <x:f>IF(H333&gt;=600,3,IF(H333&gt;=200,2,1))</x:f>
        <x:v>1</x:v>
      </x:c>
      <x:c r="O333" s="1" t="str">
        <x:f>IF(AND(L333=3,M333=3),"Champions",IF(AND(L333=1,M333&gt;=2),"At risk",IF(AND(L333=3,M333=1),"New",IF(AND(L333=1,M333=1),"Hibernating",IF(AND(L333=2,M333=1),"Promising","Loyal")))))</x:f>
        <x:v>New</x:v>
      </x:c>
    </x:row>
    <x:row r="334">
      <x:c r="A334" s="1" t="str">
        <x:v>C0333</x:v>
      </x:c>
      <x:c r="B334" s="1" t="str">
        <x:v>Nia</x:v>
      </x:c>
      <x:c r="C334" s="1" t="str">
        <x:v>customer0333@example.com</x:v>
      </x:c>
      <x:c r="D334" s="1" t="str">
        <x:v>Japan</x:v>
      </x:c>
      <x:c r="E334" s="5" t="d">
        <x:v>2025-10-16T00:00:00.000Z</x:v>
      </x:c>
      <x:c r="F334" s="5" t="d">
        <x:v>2026-02-18T00:00:00.000Z</x:v>
      </x:c>
      <x:c r="G334" s="1" t="n">
        <x:v>6</x:v>
      </x:c>
      <x:c r="H334" s="6" t="n">
        <x:v>394.34</x:v>
      </x:c>
      <x:c r="I334" s="1" t="n">
        <x:v>1</x:v>
      </x:c>
      <x:c r="J334" s="1" t="str">
        <x:v>store</x:v>
      </x:c>
      <x:c r="K334" s="7" t="n">
        <x:f>DATE(2026,10,1)-F334</x:f>
        <x:v>225</x:v>
      </x:c>
      <x:c r="L334" s="7" t="n">
        <x:f>IF(K334&lt;=30,3,IF(K334&lt;=90,2,1))</x:f>
        <x:v>1</x:v>
      </x:c>
      <x:c r="M334" s="7" t="n">
        <x:f>IF(G334&gt;=8,3,IF(G334&gt;=3,2,1))</x:f>
        <x:v>2</x:v>
      </x:c>
      <x:c r="N334" s="7" t="n">
        <x:f>IF(H334&gt;=600,3,IF(H334&gt;=200,2,1))</x:f>
        <x:v>2</x:v>
      </x:c>
      <x:c r="O334" s="1" t="str">
        <x:f>IF(AND(L334=3,M334=3),"Champions",IF(AND(L334=1,M334&gt;=2),"At risk",IF(AND(L334=3,M334=1),"New",IF(AND(L334=1,M334=1),"Hibernating",IF(AND(L334=2,M334=1),"Promising","Loyal")))))</x:f>
        <x:v>At risk</x:v>
      </x:c>
    </x:row>
    <x:row r="335">
      <x:c r="A335" s="1" t="str">
        <x:v>C0334</x:v>
      </x:c>
      <x:c r="B335" s="1" t="str">
        <x:v>Kenji</x:v>
      </x:c>
      <x:c r="C335" s="1" t="str">
        <x:v>customer0334@example.com</x:v>
      </x:c>
      <x:c r="D335" s="1" t="str">
        <x:v>Germany</x:v>
      </x:c>
      <x:c r="E335" s="5" t="d">
        <x:v>2024-05-06T00:00:00.000Z</x:v>
      </x:c>
      <x:c r="F335" s="5" t="d">
        <x:v>2025-12-08T00:00:00.000Z</x:v>
      </x:c>
      <x:c r="G335" s="1" t="n">
        <x:v>1</x:v>
      </x:c>
      <x:c r="H335" s="6" t="n">
        <x:v>130.07</x:v>
      </x:c>
      <x:c r="I335" s="1" t="n">
        <x:v>0</x:v>
      </x:c>
      <x:c r="J335" s="1" t="str">
        <x:v>web</x:v>
      </x:c>
      <x:c r="K335" s="7" t="n">
        <x:f>DATE(2026,10,1)-F335</x:f>
        <x:v>297</x:v>
      </x:c>
      <x:c r="L335" s="7" t="n">
        <x:f>IF(K335&lt;=30,3,IF(K335&lt;=90,2,1))</x:f>
        <x:v>1</x:v>
      </x:c>
      <x:c r="M335" s="7" t="n">
        <x:f>IF(G335&gt;=8,3,IF(G335&gt;=3,2,1))</x:f>
        <x:v>1</x:v>
      </x:c>
      <x:c r="N335" s="7" t="n">
        <x:f>IF(H335&gt;=600,3,IF(H335&gt;=200,2,1))</x:f>
        <x:v>1</x:v>
      </x:c>
      <x:c r="O335" s="1" t="str">
        <x:f>IF(AND(L335=3,M335=3),"Champions",IF(AND(L335=1,M335&gt;=2),"At risk",IF(AND(L335=3,M335=1),"New",IF(AND(L335=1,M335=1),"Hibernating",IF(AND(L335=2,M335=1),"Promising","Loyal")))))</x:f>
        <x:v>Hibernating</x:v>
      </x:c>
    </x:row>
    <x:row r="336">
      <x:c r="A336" s="1" t="str">
        <x:v>C0335</x:v>
      </x:c>
      <x:c r="B336" s="1" t="str">
        <x:v>Ravi</x:v>
      </x:c>
      <x:c r="C336" s="1" t="str">
        <x:v>customer0335@example.com</x:v>
      </x:c>
      <x:c r="D336" s="1" t="str">
        <x:v>USA</x:v>
      </x:c>
      <x:c r="E336" s="5" t="d">
        <x:v>2026-08-25T00:00:00.000Z</x:v>
      </x:c>
      <x:c r="F336" s="5" t="d">
        <x:v>2026-09-08T00:00:00.000Z</x:v>
      </x:c>
      <x:c r="G336" s="1" t="n">
        <x:v>1</x:v>
      </x:c>
      <x:c r="H336" s="6" t="n">
        <x:v>144.18</x:v>
      </x:c>
      <x:c r="I336" s="1" t="n">
        <x:v>10</x:v>
      </x:c>
      <x:c r="J336" s="1" t="str">
        <x:v>app</x:v>
      </x:c>
      <x:c r="K336" s="7" t="n">
        <x:f>DATE(2026,10,1)-F336</x:f>
        <x:v>23</x:v>
      </x:c>
      <x:c r="L336" s="7" t="n">
        <x:f>IF(K336&lt;=30,3,IF(K336&lt;=90,2,1))</x:f>
        <x:v>3</x:v>
      </x:c>
      <x:c r="M336" s="7" t="n">
        <x:f>IF(G336&gt;=8,3,IF(G336&gt;=3,2,1))</x:f>
        <x:v>1</x:v>
      </x:c>
      <x:c r="N336" s="7" t="n">
        <x:f>IF(H336&gt;=600,3,IF(H336&gt;=200,2,1))</x:f>
        <x:v>1</x:v>
      </x:c>
      <x:c r="O336" s="1" t="str">
        <x:f>IF(AND(L336=3,M336=3),"Champions",IF(AND(L336=1,M336&gt;=2),"At risk",IF(AND(L336=3,M336=1),"New",IF(AND(L336=1,M336=1),"Hibernating",IF(AND(L336=2,M336=1),"Promising","Loyal")))))</x:f>
        <x:v>New</x:v>
      </x:c>
    </x:row>
    <x:row r="337">
      <x:c r="A337" s="1" t="str">
        <x:v>C0336</x:v>
      </x:c>
      <x:c r="B337" s="1" t="str">
        <x:v>Lucas</x:v>
      </x:c>
      <x:c r="C337" s="1" t="str">
        <x:v>customer0336@example.com</x:v>
      </x:c>
      <x:c r="D337" s="1" t="str">
        <x:v>Singapore</x:v>
      </x:c>
      <x:c r="E337" s="5" t="d">
        <x:v>2025-11-19T00:00:00.000Z</x:v>
      </x:c>
      <x:c r="F337" s="5" t="d">
        <x:v>2026-09-19T00:00:00.000Z</x:v>
      </x:c>
      <x:c r="G337" s="1" t="n">
        <x:v>20</x:v>
      </x:c>
      <x:c r="H337" s="6" t="n">
        <x:v>1400.58</x:v>
      </x:c>
      <x:c r="I337" s="1" t="n">
        <x:v>11</x:v>
      </x:c>
      <x:c r="J337" s="1" t="str">
        <x:v>web</x:v>
      </x:c>
      <x:c r="K337" s="7" t="n">
        <x:f>DATE(2026,10,1)-F337</x:f>
        <x:v>12</x:v>
      </x:c>
      <x:c r="L337" s="7" t="n">
        <x:f>IF(K337&lt;=30,3,IF(K337&lt;=90,2,1))</x:f>
        <x:v>3</x:v>
      </x:c>
      <x:c r="M337" s="7" t="n">
        <x:f>IF(G337&gt;=8,3,IF(G337&gt;=3,2,1))</x:f>
        <x:v>3</x:v>
      </x:c>
      <x:c r="N337" s="7" t="n">
        <x:f>IF(H337&gt;=600,3,IF(H337&gt;=200,2,1))</x:f>
        <x:v>3</x:v>
      </x:c>
      <x:c r="O337" s="1" t="str">
        <x:f>IF(AND(L337=3,M337=3),"Champions",IF(AND(L337=1,M337&gt;=2),"At risk",IF(AND(L337=3,M337=1),"New",IF(AND(L337=1,M337=1),"Hibernating",IF(AND(L337=2,M337=1),"Promising","Loyal")))))</x:f>
        <x:v>Champions</x:v>
      </x:c>
    </x:row>
    <x:row r="338">
      <x:c r="A338" s="1" t="str">
        <x:v>C0337</x:v>
      </x:c>
      <x:c r="B338" s="1" t="str">
        <x:v>Ines</x:v>
      </x:c>
      <x:c r="C338" s="1" t="str">
        <x:v>customer0337@example.com</x:v>
      </x:c>
      <x:c r="D338" s="1" t="str">
        <x:v>Brazil</x:v>
      </x:c>
      <x:c r="E338" s="5" t="d">
        <x:v>2025-08-09T00:00:00.000Z</x:v>
      </x:c>
      <x:c r="F338" s="5" t="d">
        <x:v>2026-09-21T00:00:00.000Z</x:v>
      </x:c>
      <x:c r="G338" s="1" t="n">
        <x:v>10</x:v>
      </x:c>
      <x:c r="H338" s="6" t="n">
        <x:v>1906.93</x:v>
      </x:c>
      <x:c r="I338" s="1" t="n">
        <x:v>6</x:v>
      </x:c>
      <x:c r="J338" s="1" t="str">
        <x:v>web</x:v>
      </x:c>
      <x:c r="K338" s="7" t="n">
        <x:f>DATE(2026,10,1)-F338</x:f>
        <x:v>10</x:v>
      </x:c>
      <x:c r="L338" s="7" t="n">
        <x:f>IF(K338&lt;=30,3,IF(K338&lt;=90,2,1))</x:f>
        <x:v>3</x:v>
      </x:c>
      <x:c r="M338" s="7" t="n">
        <x:f>IF(G338&gt;=8,3,IF(G338&gt;=3,2,1))</x:f>
        <x:v>3</x:v>
      </x:c>
      <x:c r="N338" s="7" t="n">
        <x:f>IF(H338&gt;=600,3,IF(H338&gt;=200,2,1))</x:f>
        <x:v>3</x:v>
      </x:c>
      <x:c r="O338" s="1" t="str">
        <x:f>IF(AND(L338=3,M338=3),"Champions",IF(AND(L338=1,M338&gt;=2),"At risk",IF(AND(L338=3,M338=1),"New",IF(AND(L338=1,M338=1),"Hibernating",IF(AND(L338=2,M338=1),"Promising","Loyal")))))</x:f>
        <x:v>Champions</x:v>
      </x:c>
    </x:row>
    <x:row r="339">
      <x:c r="A339" s="1" t="str">
        <x:v>C0338</x:v>
      </x:c>
      <x:c r="B339" s="1" t="str">
        <x:v>Nia</x:v>
      </x:c>
      <x:c r="C339" s="1" t="str">
        <x:v>customer0338@example.com</x:v>
      </x:c>
      <x:c r="D339" s="1" t="str">
        <x:v>Brazil</x:v>
      </x:c>
      <x:c r="E339" s="5" t="d">
        <x:v>2025-04-07T00:00:00.000Z</x:v>
      </x:c>
      <x:c r="F339" s="5" t="d">
        <x:v>2026-04-17T00:00:00.000Z</x:v>
      </x:c>
      <x:c r="G339" s="1" t="n">
        <x:v>2</x:v>
      </x:c>
      <x:c r="H339" s="6" t="n">
        <x:v>45.87</x:v>
      </x:c>
      <x:c r="I339" s="1" t="n">
        <x:v>6</x:v>
      </x:c>
      <x:c r="J339" s="1" t="str">
        <x:v>app</x:v>
      </x:c>
      <x:c r="K339" s="7" t="n">
        <x:f>DATE(2026,10,1)-F339</x:f>
        <x:v>167</x:v>
      </x:c>
      <x:c r="L339" s="7" t="n">
        <x:f>IF(K339&lt;=30,3,IF(K339&lt;=90,2,1))</x:f>
        <x:v>1</x:v>
      </x:c>
      <x:c r="M339" s="7" t="n">
        <x:f>IF(G339&gt;=8,3,IF(G339&gt;=3,2,1))</x:f>
        <x:v>1</x:v>
      </x:c>
      <x:c r="N339" s="7" t="n">
        <x:f>IF(H339&gt;=600,3,IF(H339&gt;=200,2,1))</x:f>
        <x:v>1</x:v>
      </x:c>
      <x:c r="O339" s="1" t="str">
        <x:f>IF(AND(L339=3,M339=3),"Champions",IF(AND(L339=1,M339&gt;=2),"At risk",IF(AND(L339=3,M339=1),"New",IF(AND(L339=1,M339=1),"Hibernating",IF(AND(L339=2,M339=1),"Promising","Loyal")))))</x:f>
        <x:v>Hibernating</x:v>
      </x:c>
    </x:row>
    <x:row r="340">
      <x:c r="A340" s="1" t="str">
        <x:v>C0339</x:v>
      </x:c>
      <x:c r="B340" s="1" t="str">
        <x:v>Chloe</x:v>
      </x:c>
      <x:c r="C340" s="1" t="str">
        <x:v>customer0339@example.com</x:v>
      </x:c>
      <x:c r="D340" s="1" t="str">
        <x:v>Singapore</x:v>
      </x:c>
      <x:c r="E340" s="5" t="d">
        <x:v>2026-08-14T00:00:00.000Z</x:v>
      </x:c>
      <x:c r="F340" s="5" t="d">
        <x:v>2026-09-08T00:00:00.000Z</x:v>
      </x:c>
      <x:c r="G340" s="1" t="n">
        <x:v>2</x:v>
      </x:c>
      <x:c r="H340" s="6" t="n">
        <x:v>59.75</x:v>
      </x:c>
      <x:c r="I340" s="1" t="n">
        <x:v>2</x:v>
      </x:c>
      <x:c r="J340" s="1" t="str">
        <x:v>web</x:v>
      </x:c>
      <x:c r="K340" s="7" t="n">
        <x:f>DATE(2026,10,1)-F340</x:f>
        <x:v>23</x:v>
      </x:c>
      <x:c r="L340" s="7" t="n">
        <x:f>IF(K340&lt;=30,3,IF(K340&lt;=90,2,1))</x:f>
        <x:v>3</x:v>
      </x:c>
      <x:c r="M340" s="7" t="n">
        <x:f>IF(G340&gt;=8,3,IF(G340&gt;=3,2,1))</x:f>
        <x:v>1</x:v>
      </x:c>
      <x:c r="N340" s="7" t="n">
        <x:f>IF(H340&gt;=600,3,IF(H340&gt;=200,2,1))</x:f>
        <x:v>1</x:v>
      </x:c>
      <x:c r="O340" s="1" t="str">
        <x:f>IF(AND(L340=3,M340=3),"Champions",IF(AND(L340=1,M340&gt;=2),"At risk",IF(AND(L340=3,M340=1),"New",IF(AND(L340=1,M340=1),"Hibernating",IF(AND(L340=2,M340=1),"Promising","Loyal")))))</x:f>
        <x:v>New</x:v>
      </x:c>
    </x:row>
    <x:row r="341">
      <x:c r="A341" s="1" t="str">
        <x:v>C0340</x:v>
      </x:c>
      <x:c r="B341" s="1" t="str">
        <x:v>Maya</x:v>
      </x:c>
      <x:c r="C341" s="1" t="str">
        <x:v>customer0340@example.com</x:v>
      </x:c>
      <x:c r="D341" s="1" t="str">
        <x:v>UAE</x:v>
      </x:c>
      <x:c r="E341" s="5" t="d">
        <x:v>2024-10-18T00:00:00.000Z</x:v>
      </x:c>
      <x:c r="F341" s="5" t="d">
        <x:v>2026-09-11T00:00:00.000Z</x:v>
      </x:c>
      <x:c r="G341" s="1" t="n">
        <x:v>19</x:v>
      </x:c>
      <x:c r="H341" s="6" t="n">
        <x:v>950.71</x:v>
      </x:c>
      <x:c r="I341" s="1" t="n">
        <x:v>0</x:v>
      </x:c>
      <x:c r="J341" s="1" t="str">
        <x:v>store</x:v>
      </x:c>
      <x:c r="K341" s="7" t="n">
        <x:f>DATE(2026,10,1)-F341</x:f>
        <x:v>20</x:v>
      </x:c>
      <x:c r="L341" s="7" t="n">
        <x:f>IF(K341&lt;=30,3,IF(K341&lt;=90,2,1))</x:f>
        <x:v>3</x:v>
      </x:c>
      <x:c r="M341" s="7" t="n">
        <x:f>IF(G341&gt;=8,3,IF(G341&gt;=3,2,1))</x:f>
        <x:v>3</x:v>
      </x:c>
      <x:c r="N341" s="7" t="n">
        <x:f>IF(H341&gt;=600,3,IF(H341&gt;=200,2,1))</x:f>
        <x:v>3</x:v>
      </x:c>
      <x:c r="O341" s="1" t="str">
        <x:f>IF(AND(L341=3,M341=3),"Champions",IF(AND(L341=1,M341&gt;=2),"At risk",IF(AND(L341=3,M341=1),"New",IF(AND(L341=1,M341=1),"Hibernating",IF(AND(L341=2,M341=1),"Promising","Loyal")))))</x:f>
        <x:v>Champions</x:v>
      </x:c>
    </x:row>
    <x:row r="342">
      <x:c r="A342" s="1" t="str">
        <x:v>C0341</x:v>
      </x:c>
      <x:c r="B342" s="1" t="str">
        <x:v>Elena</x:v>
      </x:c>
      <x:c r="C342" s="1" t="str">
        <x:v>customer0341@example.com</x:v>
      </x:c>
      <x:c r="D342" s="1" t="str">
        <x:v>India</x:v>
      </x:c>
      <x:c r="E342" s="5" t="d">
        <x:v>2025-08-03T00:00:00.000Z</x:v>
      </x:c>
      <x:c r="F342" s="5" t="d">
        <x:v>2026-08-27T00:00:00.000Z</x:v>
      </x:c>
      <x:c r="G342" s="1" t="n">
        <x:v>9</x:v>
      </x:c>
      <x:c r="H342" s="6" t="n">
        <x:v>412.15</x:v>
      </x:c>
      <x:c r="I342" s="1" t="n">
        <x:v>8</x:v>
      </x:c>
      <x:c r="J342" s="1" t="str">
        <x:v>web</x:v>
      </x:c>
      <x:c r="K342" s="7" t="n">
        <x:f>DATE(2026,10,1)-F342</x:f>
        <x:v>35</x:v>
      </x:c>
      <x:c r="L342" s="7" t="n">
        <x:f>IF(K342&lt;=30,3,IF(K342&lt;=90,2,1))</x:f>
        <x:v>2</x:v>
      </x:c>
      <x:c r="M342" s="7" t="n">
        <x:f>IF(G342&gt;=8,3,IF(G342&gt;=3,2,1))</x:f>
        <x:v>3</x:v>
      </x:c>
      <x:c r="N342" s="7" t="n">
        <x:f>IF(H342&gt;=600,3,IF(H342&gt;=200,2,1))</x:f>
        <x:v>2</x:v>
      </x:c>
      <x:c r="O342" s="1" t="str">
        <x:f>IF(AND(L342=3,M342=3),"Champions",IF(AND(L342=1,M342&gt;=2),"At risk",IF(AND(L342=3,M342=1),"New",IF(AND(L342=1,M342=1),"Hibernating",IF(AND(L342=2,M342=1),"Promising","Loyal")))))</x:f>
        <x:v>Loyal</x:v>
      </x:c>
    </x:row>
    <x:row r="343">
      <x:c r="A343" s="1" t="str">
        <x:v>C0342</x:v>
      </x:c>
      <x:c r="B343" s="1" t="str">
        <x:v>Omar</x:v>
      </x:c>
      <x:c r="C343" s="1" t="str">
        <x:v>customer0342@example.com</x:v>
      </x:c>
      <x:c r="D343" s="1" t="str">
        <x:v>UAE</x:v>
      </x:c>
      <x:c r="E343" s="5" t="d">
        <x:v>2026-08-23T00:00:00.000Z</x:v>
      </x:c>
      <x:c r="F343" s="5" t="d">
        <x:v>2026-09-25T00:00:00.000Z</x:v>
      </x:c>
      <x:c r="G343" s="1" t="n">
        <x:v>1</x:v>
      </x:c>
      <x:c r="H343" s="6" t="n">
        <x:v>111.23</x:v>
      </x:c>
      <x:c r="I343" s="1" t="n">
        <x:v>10</x:v>
      </x:c>
      <x:c r="J343" s="1" t="str">
        <x:v>store</x:v>
      </x:c>
      <x:c r="K343" s="7" t="n">
        <x:f>DATE(2026,10,1)-F343</x:f>
        <x:v>6</x:v>
      </x:c>
      <x:c r="L343" s="7" t="n">
        <x:f>IF(K343&lt;=30,3,IF(K343&lt;=90,2,1))</x:f>
        <x:v>3</x:v>
      </x:c>
      <x:c r="M343" s="7" t="n">
        <x:f>IF(G343&gt;=8,3,IF(G343&gt;=3,2,1))</x:f>
        <x:v>1</x:v>
      </x:c>
      <x:c r="N343" s="7" t="n">
        <x:f>IF(H343&gt;=600,3,IF(H343&gt;=200,2,1))</x:f>
        <x:v>1</x:v>
      </x:c>
      <x:c r="O343" s="1" t="str">
        <x:f>IF(AND(L343=3,M343=3),"Champions",IF(AND(L343=1,M343&gt;=2),"At risk",IF(AND(L343=3,M343=1),"New",IF(AND(L343=1,M343=1),"Hibernating",IF(AND(L343=2,M343=1),"Promising","Loyal")))))</x:f>
        <x:v>New</x:v>
      </x:c>
    </x:row>
    <x:row r="344">
      <x:c r="A344" s="1" t="str">
        <x:v>C0343</x:v>
      </x:c>
      <x:c r="B344" s="1" t="str">
        <x:v>Jonas</x:v>
      </x:c>
      <x:c r="C344" s="1" t="str">
        <x:v>customer0343@example.com</x:v>
      </x:c>
      <x:c r="D344" s="1" t="str">
        <x:v>India</x:v>
      </x:c>
      <x:c r="E344" s="5" t="d">
        <x:v>2026-08-14T00:00:00.000Z</x:v>
      </x:c>
      <x:c r="F344" s="5" t="d">
        <x:v>2026-09-01T00:00:00.000Z</x:v>
      </x:c>
      <x:c r="G344" s="1" t="n">
        <x:v>1</x:v>
      </x:c>
      <x:c r="H344" s="6" t="n">
        <x:v>37.9</x:v>
      </x:c>
      <x:c r="I344" s="1" t="n">
        <x:v>9</x:v>
      </x:c>
      <x:c r="J344" s="1" t="str">
        <x:v>store</x:v>
      </x:c>
      <x:c r="K344" s="7" t="n">
        <x:f>DATE(2026,10,1)-F344</x:f>
        <x:v>30</x:v>
      </x:c>
      <x:c r="L344" s="7" t="n">
        <x:f>IF(K344&lt;=30,3,IF(K344&lt;=90,2,1))</x:f>
        <x:v>3</x:v>
      </x:c>
      <x:c r="M344" s="7" t="n">
        <x:f>IF(G344&gt;=8,3,IF(G344&gt;=3,2,1))</x:f>
        <x:v>1</x:v>
      </x:c>
      <x:c r="N344" s="7" t="n">
        <x:f>IF(H344&gt;=600,3,IF(H344&gt;=200,2,1))</x:f>
        <x:v>1</x:v>
      </x:c>
      <x:c r="O344" s="1" t="str">
        <x:f>IF(AND(L344=3,M344=3),"Champions",IF(AND(L344=1,M344&gt;=2),"At risk",IF(AND(L344=3,M344=1),"New",IF(AND(L344=1,M344=1),"Hibernating",IF(AND(L344=2,M344=1),"Promising","Loyal")))))</x:f>
        <x:v>New</x:v>
      </x:c>
    </x:row>
    <x:row r="345">
      <x:c r="A345" s="1" t="str">
        <x:v>C0344</x:v>
      </x:c>
      <x:c r="B345" s="1" t="str">
        <x:v>Lucas</x:v>
      </x:c>
      <x:c r="C345" s="1" t="str">
        <x:v>customer0344@example.com</x:v>
      </x:c>
      <x:c r="D345" s="1" t="str">
        <x:v>Brazil</x:v>
      </x:c>
      <x:c r="E345" s="5" t="d">
        <x:v>2026-09-03T00:00:00.000Z</x:v>
      </x:c>
      <x:c r="F345" s="5" t="d">
        <x:v>2026-09-23T00:00:00.000Z</x:v>
      </x:c>
      <x:c r="G345" s="1" t="n">
        <x:v>1</x:v>
      </x:c>
      <x:c r="H345" s="6" t="n">
        <x:v>25.94</x:v>
      </x:c>
      <x:c r="I345" s="1" t="n">
        <x:v>11</x:v>
      </x:c>
      <x:c r="J345" s="1" t="str">
        <x:v>app</x:v>
      </x:c>
      <x:c r="K345" s="7" t="n">
        <x:f>DATE(2026,10,1)-F345</x:f>
        <x:v>8</x:v>
      </x:c>
      <x:c r="L345" s="7" t="n">
        <x:f>IF(K345&lt;=30,3,IF(K345&lt;=90,2,1))</x:f>
        <x:v>3</x:v>
      </x:c>
      <x:c r="M345" s="7" t="n">
        <x:f>IF(G345&gt;=8,3,IF(G345&gt;=3,2,1))</x:f>
        <x:v>1</x:v>
      </x:c>
      <x:c r="N345" s="7" t="n">
        <x:f>IF(H345&gt;=600,3,IF(H345&gt;=200,2,1))</x:f>
        <x:v>1</x:v>
      </x:c>
      <x:c r="O345" s="1" t="str">
        <x:f>IF(AND(L345=3,M345=3),"Champions",IF(AND(L345=1,M345&gt;=2),"At risk",IF(AND(L345=3,M345=1),"New",IF(AND(L345=1,M345=1),"Hibernating",IF(AND(L345=2,M345=1),"Promising","Loyal")))))</x:f>
        <x:v>New</x:v>
      </x:c>
    </x:row>
    <x:row r="346">
      <x:c r="A346" s="1" t="str">
        <x:v>C0345</x:v>
      </x:c>
      <x:c r="B346" s="1" t="str">
        <x:v>Ethan</x:v>
      </x:c>
      <x:c r="C346" s="1" t="str">
        <x:v>customer0345@example.com</x:v>
      </x:c>
      <x:c r="D346" s="1" t="str">
        <x:v>Singapore</x:v>
      </x:c>
      <x:c r="E346" s="5" t="d">
        <x:v>2025-06-06T00:00:00.000Z</x:v>
      </x:c>
      <x:c r="F346" s="5" t="d">
        <x:v>2026-03-20T00:00:00.000Z</x:v>
      </x:c>
      <x:c r="G346" s="1" t="n">
        <x:v>12</x:v>
      </x:c>
      <x:c r="H346" s="6" t="n">
        <x:v>1203.05</x:v>
      </x:c>
      <x:c r="I346" s="1" t="n">
        <x:v>5</x:v>
      </x:c>
      <x:c r="J346" s="1" t="str">
        <x:v>web</x:v>
      </x:c>
      <x:c r="K346" s="7" t="n">
        <x:f>DATE(2026,10,1)-F346</x:f>
        <x:v>195</x:v>
      </x:c>
      <x:c r="L346" s="7" t="n">
        <x:f>IF(K346&lt;=30,3,IF(K346&lt;=90,2,1))</x:f>
        <x:v>1</x:v>
      </x:c>
      <x:c r="M346" s="7" t="n">
        <x:f>IF(G346&gt;=8,3,IF(G346&gt;=3,2,1))</x:f>
        <x:v>3</x:v>
      </x:c>
      <x:c r="N346" s="7" t="n">
        <x:f>IF(H346&gt;=600,3,IF(H346&gt;=200,2,1))</x:f>
        <x:v>3</x:v>
      </x:c>
      <x:c r="O346" s="1" t="str">
        <x:f>IF(AND(L346=3,M346=3),"Champions",IF(AND(L346=1,M346&gt;=2),"At risk",IF(AND(L346=3,M346=1),"New",IF(AND(L346=1,M346=1),"Hibernating",IF(AND(L346=2,M346=1),"Promising","Loyal")))))</x:f>
        <x:v>At risk</x:v>
      </x:c>
    </x:row>
    <x:row r="347">
      <x:c r="A347" s="1" t="str">
        <x:v>C0346</x:v>
      </x:c>
      <x:c r="B347" s="1" t="str">
        <x:v>Felix</x:v>
      </x:c>
      <x:c r="C347" s="1" t="str">
        <x:v>customer0346@example.com</x:v>
      </x:c>
      <x:c r="D347" s="1" t="str">
        <x:v>Australia</x:v>
      </x:c>
      <x:c r="E347" s="5" t="d">
        <x:v>2024-06-28T00:00:00.000Z</x:v>
      </x:c>
      <x:c r="F347" s="5" t="d">
        <x:v>2026-04-02T00:00:00.000Z</x:v>
      </x:c>
      <x:c r="G347" s="1" t="n">
        <x:v>11</x:v>
      </x:c>
      <x:c r="H347" s="6" t="n">
        <x:v>1099.4</x:v>
      </x:c>
      <x:c r="I347" s="1" t="n">
        <x:v>8</x:v>
      </x:c>
      <x:c r="J347" s="1" t="str">
        <x:v>app</x:v>
      </x:c>
      <x:c r="K347" s="7" t="n">
        <x:f>DATE(2026,10,1)-F347</x:f>
        <x:v>182</x:v>
      </x:c>
      <x:c r="L347" s="7" t="n">
        <x:f>IF(K347&lt;=30,3,IF(K347&lt;=90,2,1))</x:f>
        <x:v>1</x:v>
      </x:c>
      <x:c r="M347" s="7" t="n">
        <x:f>IF(G347&gt;=8,3,IF(G347&gt;=3,2,1))</x:f>
        <x:v>3</x:v>
      </x:c>
      <x:c r="N347" s="7" t="n">
        <x:f>IF(H347&gt;=600,3,IF(H347&gt;=200,2,1))</x:f>
        <x:v>3</x:v>
      </x:c>
      <x:c r="O347" s="1" t="str">
        <x:f>IF(AND(L347=3,M347=3),"Champions",IF(AND(L347=1,M347&gt;=2),"At risk",IF(AND(L347=3,M347=1),"New",IF(AND(L347=1,M347=1),"Hibernating",IF(AND(L347=2,M347=1),"Promising","Loyal")))))</x:f>
        <x:v>At risk</x:v>
      </x:c>
    </x:row>
    <x:row r="348">
      <x:c r="A348" s="1" t="str">
        <x:v>C0347</x:v>
      </x:c>
      <x:c r="B348" s="1" t="str">
        <x:v>Priya</x:v>
      </x:c>
      <x:c r="C348" s="1" t="str">
        <x:v>customer0347@example.com</x:v>
      </x:c>
      <x:c r="D348" s="1" t="str">
        <x:v>USA</x:v>
      </x:c>
      <x:c r="E348" s="5" t="d">
        <x:v>2026-09-16T00:00:00.000Z</x:v>
      </x:c>
      <x:c r="F348" s="5" t="d">
        <x:v>2026-09-24T00:00:00.000Z</x:v>
      </x:c>
      <x:c r="G348" s="1" t="n">
        <x:v>2</x:v>
      </x:c>
      <x:c r="H348" s="6" t="n">
        <x:v>127.7</x:v>
      </x:c>
      <x:c r="I348" s="1" t="n">
        <x:v>0</x:v>
      </x:c>
      <x:c r="J348" s="1" t="str">
        <x:v>store</x:v>
      </x:c>
      <x:c r="K348" s="7" t="n">
        <x:f>DATE(2026,10,1)-F348</x:f>
        <x:v>7</x:v>
      </x:c>
      <x:c r="L348" s="7" t="n">
        <x:f>IF(K348&lt;=30,3,IF(K348&lt;=90,2,1))</x:f>
        <x:v>3</x:v>
      </x:c>
      <x:c r="M348" s="7" t="n">
        <x:f>IF(G348&gt;=8,3,IF(G348&gt;=3,2,1))</x:f>
        <x:v>1</x:v>
      </x:c>
      <x:c r="N348" s="7" t="n">
        <x:f>IF(H348&gt;=600,3,IF(H348&gt;=200,2,1))</x:f>
        <x:v>1</x:v>
      </x:c>
      <x:c r="O348" s="1" t="str">
        <x:f>IF(AND(L348=3,M348=3),"Champions",IF(AND(L348=1,M348&gt;=2),"At risk",IF(AND(L348=3,M348=1),"New",IF(AND(L348=1,M348=1),"Hibernating",IF(AND(L348=2,M348=1),"Promising","Loyal")))))</x:f>
        <x:v>New</x:v>
      </x:c>
    </x:row>
    <x:row r="349">
      <x:c r="A349" s="1" t="str">
        <x:v>C0348</x:v>
      </x:c>
      <x:c r="B349" s="1" t="str">
        <x:v>Zara</x:v>
      </x:c>
      <x:c r="C349" s="1" t="str">
        <x:v>customer0348@example.com</x:v>
      </x:c>
      <x:c r="D349" s="1" t="str">
        <x:v>Japan</x:v>
      </x:c>
      <x:c r="E349" s="5" t="d">
        <x:v>2024-04-29T00:00:00.000Z</x:v>
      </x:c>
      <x:c r="F349" s="5" t="d">
        <x:v>2026-02-10T00:00:00.000Z</x:v>
      </x:c>
      <x:c r="G349" s="1" t="n">
        <x:v>1</x:v>
      </x:c>
      <x:c r="H349" s="6" t="n">
        <x:v>110.62</x:v>
      </x:c>
      <x:c r="I349" s="1" t="n">
        <x:v>4</x:v>
      </x:c>
      <x:c r="J349" s="1" t="str">
        <x:v>app</x:v>
      </x:c>
      <x:c r="K349" s="7" t="n">
        <x:f>DATE(2026,10,1)-F349</x:f>
        <x:v>233</x:v>
      </x:c>
      <x:c r="L349" s="7" t="n">
        <x:f>IF(K349&lt;=30,3,IF(K349&lt;=90,2,1))</x:f>
        <x:v>1</x:v>
      </x:c>
      <x:c r="M349" s="7" t="n">
        <x:f>IF(G349&gt;=8,3,IF(G349&gt;=3,2,1))</x:f>
        <x:v>1</x:v>
      </x:c>
      <x:c r="N349" s="7" t="n">
        <x:f>IF(H349&gt;=600,3,IF(H349&gt;=200,2,1))</x:f>
        <x:v>1</x:v>
      </x:c>
      <x:c r="O349" s="1" t="str">
        <x:f>IF(AND(L349=3,M349=3),"Champions",IF(AND(L349=1,M349&gt;=2),"At risk",IF(AND(L349=3,M349=1),"New",IF(AND(L349=1,M349=1),"Hibernating",IF(AND(L349=2,M349=1),"Promising","Loyal")))))</x:f>
        <x:v>Hibernating</x:v>
      </x:c>
    </x:row>
    <x:row r="350">
      <x:c r="A350" s="1" t="str">
        <x:v>C0349</x:v>
      </x:c>
      <x:c r="B350" s="1" t="str">
        <x:v>Lucas</x:v>
      </x:c>
      <x:c r="C350" s="1" t="str">
        <x:v>customer0349@example.com</x:v>
      </x:c>
      <x:c r="D350" s="1" t="str">
        <x:v>Germany</x:v>
      </x:c>
      <x:c r="E350" s="5" t="d">
        <x:v>2025-12-25T00:00:00.000Z</x:v>
      </x:c>
      <x:c r="F350" s="5" t="d">
        <x:v>2026-03-29T00:00:00.000Z</x:v>
      </x:c>
      <x:c r="G350" s="1" t="n">
        <x:v>2</x:v>
      </x:c>
      <x:c r="H350" s="6" t="n">
        <x:v>75.77</x:v>
      </x:c>
      <x:c r="I350" s="1" t="n">
        <x:v>2</x:v>
      </x:c>
      <x:c r="J350" s="1" t="str">
        <x:v>app</x:v>
      </x:c>
      <x:c r="K350" s="7" t="n">
        <x:f>DATE(2026,10,1)-F350</x:f>
        <x:v>186</x:v>
      </x:c>
      <x:c r="L350" s="7" t="n">
        <x:f>IF(K350&lt;=30,3,IF(K350&lt;=90,2,1))</x:f>
        <x:v>1</x:v>
      </x:c>
      <x:c r="M350" s="7" t="n">
        <x:f>IF(G350&gt;=8,3,IF(G350&gt;=3,2,1))</x:f>
        <x:v>1</x:v>
      </x:c>
      <x:c r="N350" s="7" t="n">
        <x:f>IF(H350&gt;=600,3,IF(H350&gt;=200,2,1))</x:f>
        <x:v>1</x:v>
      </x:c>
      <x:c r="O350" s="1" t="str">
        <x:f>IF(AND(L350=3,M350=3),"Champions",IF(AND(L350=1,M350&gt;=2),"At risk",IF(AND(L350=3,M350=1),"New",IF(AND(L350=1,M350=1),"Hibernating",IF(AND(L350=2,M350=1),"Promising","Loyal")))))</x:f>
        <x:v>Hibernating</x:v>
      </x:c>
    </x:row>
    <x:row r="351">
      <x:c r="A351" s="1" t="str">
        <x:v>C0350</x:v>
      </x:c>
      <x:c r="B351" s="1" t="str">
        <x:v>Aarav</x:v>
      </x:c>
      <x:c r="C351" s="1" t="str">
        <x:v>customer0350@example.com</x:v>
      </x:c>
      <x:c r="D351" s="1" t="str">
        <x:v>Japan</x:v>
      </x:c>
      <x:c r="E351" s="5" t="d">
        <x:v>2026-08-31T00:00:00.000Z</x:v>
      </x:c>
      <x:c r="F351" s="5" t="d">
        <x:v>2026-09-15T00:00:00.000Z</x:v>
      </x:c>
      <x:c r="G351" s="1" t="n">
        <x:v>2</x:v>
      </x:c>
      <x:c r="H351" s="6" t="n">
        <x:v>58.06</x:v>
      </x:c>
      <x:c r="I351" s="1" t="n">
        <x:v>11</x:v>
      </x:c>
      <x:c r="J351" s="1" t="str">
        <x:v>web</x:v>
      </x:c>
      <x:c r="K351" s="7" t="n">
        <x:f>DATE(2026,10,1)-F351</x:f>
        <x:v>16</x:v>
      </x:c>
      <x:c r="L351" s="7" t="n">
        <x:f>IF(K351&lt;=30,3,IF(K351&lt;=90,2,1))</x:f>
        <x:v>3</x:v>
      </x:c>
      <x:c r="M351" s="7" t="n">
        <x:f>IF(G351&gt;=8,3,IF(G351&gt;=3,2,1))</x:f>
        <x:v>1</x:v>
      </x:c>
      <x:c r="N351" s="7" t="n">
        <x:f>IF(H351&gt;=600,3,IF(H351&gt;=200,2,1))</x:f>
        <x:v>1</x:v>
      </x:c>
      <x:c r="O351" s="1" t="str">
        <x:f>IF(AND(L351=3,M351=3),"Champions",IF(AND(L351=1,M351&gt;=2),"At risk",IF(AND(L351=3,M351=1),"New",IF(AND(L351=1,M351=1),"Hibernating",IF(AND(L351=2,M351=1),"Promising","Loyal")))))</x:f>
        <x:v>New</x:v>
      </x:c>
    </x:row>
    <x:row r="352">
      <x:c r="A352" s="1" t="str">
        <x:v>C0351</x:v>
      </x:c>
      <x:c r="B352" s="1" t="str">
        <x:v>Diego</x:v>
      </x:c>
      <x:c r="C352" s="1" t="str">
        <x:v>customer0351@example.com</x:v>
      </x:c>
      <x:c r="D352" s="1" t="str">
        <x:v>Nigeria</x:v>
      </x:c>
      <x:c r="E352" s="5" t="d">
        <x:v>2026-03-16T00:00:00.000Z</x:v>
      </x:c>
      <x:c r="F352" s="5" t="d">
        <x:v>2026-08-08T00:00:00.000Z</x:v>
      </x:c>
      <x:c r="G352" s="1" t="n">
        <x:v>8</x:v>
      </x:c>
      <x:c r="H352" s="6" t="n">
        <x:v>409.56</x:v>
      </x:c>
      <x:c r="I352" s="1" t="n">
        <x:v>3</x:v>
      </x:c>
      <x:c r="J352" s="1" t="str">
        <x:v>web</x:v>
      </x:c>
      <x:c r="K352" s="7" t="n">
        <x:f>DATE(2026,10,1)-F352</x:f>
        <x:v>54</x:v>
      </x:c>
      <x:c r="L352" s="7" t="n">
        <x:f>IF(K352&lt;=30,3,IF(K352&lt;=90,2,1))</x:f>
        <x:v>2</x:v>
      </x:c>
      <x:c r="M352" s="7" t="n">
        <x:f>IF(G352&gt;=8,3,IF(G352&gt;=3,2,1))</x:f>
        <x:v>3</x:v>
      </x:c>
      <x:c r="N352" s="7" t="n">
        <x:f>IF(H352&gt;=600,3,IF(H352&gt;=200,2,1))</x:f>
        <x:v>2</x:v>
      </x:c>
      <x:c r="O352" s="1" t="str">
        <x:f>IF(AND(L352=3,M352=3),"Champions",IF(AND(L352=1,M352&gt;=2),"At risk",IF(AND(L352=3,M352=1),"New",IF(AND(L352=1,M352=1),"Hibernating",IF(AND(L352=2,M352=1),"Promising","Loyal")))))</x:f>
        <x:v>Loyal</x:v>
      </x:c>
    </x:row>
    <x:row r="353">
      <x:c r="A353" s="1" t="str">
        <x:v>C0352</x:v>
      </x:c>
      <x:c r="B353" s="1" t="str">
        <x:v>Nia</x:v>
      </x:c>
      <x:c r="C353" s="1" t="str">
        <x:v>customer0352@example.com</x:v>
      </x:c>
      <x:c r="D353" s="1" t="str">
        <x:v>UK</x:v>
      </x:c>
      <x:c r="E353" s="5" t="d">
        <x:v>2026-09-17T00:00:00.000Z</x:v>
      </x:c>
      <x:c r="F353" s="5" t="d">
        <x:v>2026-09-27T00:00:00.000Z</x:v>
      </x:c>
      <x:c r="G353" s="1" t="n">
        <x:v>2</x:v>
      </x:c>
      <x:c r="H353" s="6" t="n">
        <x:v>141.68</x:v>
      </x:c>
      <x:c r="I353" s="1" t="n">
        <x:v>9</x:v>
      </x:c>
      <x:c r="J353" s="1" t="str">
        <x:v>web</x:v>
      </x:c>
      <x:c r="K353" s="7" t="n">
        <x:f>DATE(2026,10,1)-F353</x:f>
        <x:v>4</x:v>
      </x:c>
      <x:c r="L353" s="7" t="n">
        <x:f>IF(K353&lt;=30,3,IF(K353&lt;=90,2,1))</x:f>
        <x:v>3</x:v>
      </x:c>
      <x:c r="M353" s="7" t="n">
        <x:f>IF(G353&gt;=8,3,IF(G353&gt;=3,2,1))</x:f>
        <x:v>1</x:v>
      </x:c>
      <x:c r="N353" s="7" t="n">
        <x:f>IF(H353&gt;=600,3,IF(H353&gt;=200,2,1))</x:f>
        <x:v>1</x:v>
      </x:c>
      <x:c r="O353" s="1" t="str">
        <x:f>IF(AND(L353=3,M353=3),"Champions",IF(AND(L353=1,M353&gt;=2),"At risk",IF(AND(L353=3,M353=1),"New",IF(AND(L353=1,M353=1),"Hibernating",IF(AND(L353=2,M353=1),"Promising","Loyal")))))</x:f>
        <x:v>New</x:v>
      </x:c>
    </x:row>
    <x:row r="354">
      <x:c r="A354" s="1" t="str">
        <x:v>C0353</x:v>
      </x:c>
      <x:c r="B354" s="1" t="str">
        <x:v>Aarav</x:v>
      </x:c>
      <x:c r="C354" s="1" t="str">
        <x:v>customer0353@example.com</x:v>
      </x:c>
      <x:c r="D354" s="1" t="str">
        <x:v>Brazil</x:v>
      </x:c>
      <x:c r="E354" s="5" t="d">
        <x:v>2025-02-05T00:00:00.000Z</x:v>
      </x:c>
      <x:c r="F354" s="5" t="d">
        <x:v>2025-11-28T00:00:00.000Z</x:v>
      </x:c>
      <x:c r="G354" s="1" t="n">
        <x:v>1</x:v>
      </x:c>
      <x:c r="H354" s="6" t="n">
        <x:v>35.03</x:v>
      </x:c>
      <x:c r="I354" s="1" t="n">
        <x:v>7</x:v>
      </x:c>
      <x:c r="J354" s="1" t="str">
        <x:v>app</x:v>
      </x:c>
      <x:c r="K354" s="7" t="n">
        <x:f>DATE(2026,10,1)-F354</x:f>
        <x:v>307</x:v>
      </x:c>
      <x:c r="L354" s="7" t="n">
        <x:f>IF(K354&lt;=30,3,IF(K354&lt;=90,2,1))</x:f>
        <x:v>1</x:v>
      </x:c>
      <x:c r="M354" s="7" t="n">
        <x:f>IF(G354&gt;=8,3,IF(G354&gt;=3,2,1))</x:f>
        <x:v>1</x:v>
      </x:c>
      <x:c r="N354" s="7" t="n">
        <x:f>IF(H354&gt;=600,3,IF(H354&gt;=200,2,1))</x:f>
        <x:v>1</x:v>
      </x:c>
      <x:c r="O354" s="1" t="str">
        <x:f>IF(AND(L354=3,M354=3),"Champions",IF(AND(L354=1,M354&gt;=2),"At risk",IF(AND(L354=3,M354=1),"New",IF(AND(L354=1,M354=1),"Hibernating",IF(AND(L354=2,M354=1),"Promising","Loyal")))))</x:f>
        <x:v>Hibernating</x:v>
      </x:c>
    </x:row>
    <x:row r="355">
      <x:c r="A355" s="1" t="str">
        <x:v>C0354</x:v>
      </x:c>
      <x:c r="B355" s="1" t="str">
        <x:v>Noah</x:v>
      </x:c>
      <x:c r="C355" s="1" t="str">
        <x:v>customer0354@example.com</x:v>
      </x:c>
      <x:c r="D355" s="1" t="str">
        <x:v>Singapore</x:v>
      </x:c>
      <x:c r="E355" s="5" t="d">
        <x:v>2025-11-10T00:00:00.000Z</x:v>
      </x:c>
      <x:c r="F355" s="5" t="d">
        <x:v>2026-09-22T00:00:00.000Z</x:v>
      </x:c>
      <x:c r="G355" s="1" t="n">
        <x:v>12</x:v>
      </x:c>
      <x:c r="H355" s="6" t="n">
        <x:v>915.38</x:v>
      </x:c>
      <x:c r="I355" s="1" t="n">
        <x:v>2</x:v>
      </x:c>
      <x:c r="J355" s="1" t="str">
        <x:v>web</x:v>
      </x:c>
      <x:c r="K355" s="7" t="n">
        <x:f>DATE(2026,10,1)-F355</x:f>
        <x:v>9</x:v>
      </x:c>
      <x:c r="L355" s="7" t="n">
        <x:f>IF(K355&lt;=30,3,IF(K355&lt;=90,2,1))</x:f>
        <x:v>3</x:v>
      </x:c>
      <x:c r="M355" s="7" t="n">
        <x:f>IF(G355&gt;=8,3,IF(G355&gt;=3,2,1))</x:f>
        <x:v>3</x:v>
      </x:c>
      <x:c r="N355" s="7" t="n">
        <x:f>IF(H355&gt;=600,3,IF(H355&gt;=200,2,1))</x:f>
        <x:v>3</x:v>
      </x:c>
      <x:c r="O355" s="1" t="str">
        <x:f>IF(AND(L355=3,M355=3),"Champions",IF(AND(L355=1,M355&gt;=2),"At risk",IF(AND(L355=3,M355=1),"New",IF(AND(L355=1,M355=1),"Hibernating",IF(AND(L355=2,M355=1),"Promising","Loyal")))))</x:f>
        <x:v>Champions</x:v>
      </x:c>
    </x:row>
    <x:row r="356">
      <x:c r="A356" s="1" t="str">
        <x:v>C0355</x:v>
      </x:c>
      <x:c r="B356" s="1" t="str">
        <x:v>Leo</x:v>
      </x:c>
      <x:c r="C356" s="1" t="str">
        <x:v>customer0355@example.com</x:v>
      </x:c>
      <x:c r="D356" s="1" t="str">
        <x:v>India</x:v>
      </x:c>
      <x:c r="E356" s="5" t="d">
        <x:v>2024-07-13T00:00:00.000Z</x:v>
      </x:c>
      <x:c r="F356" s="5" t="d">
        <x:v>2026-02-03T00:00:00.000Z</x:v>
      </x:c>
      <x:c r="G356" s="1" t="n">
        <x:v>8</x:v>
      </x:c>
      <x:c r="H356" s="6" t="n">
        <x:v>582.93</x:v>
      </x:c>
      <x:c r="I356" s="1" t="n">
        <x:v>0</x:v>
      </x:c>
      <x:c r="J356" s="1" t="str">
        <x:v>web</x:v>
      </x:c>
      <x:c r="K356" s="7" t="n">
        <x:f>DATE(2026,10,1)-F356</x:f>
        <x:v>240</x:v>
      </x:c>
      <x:c r="L356" s="7" t="n">
        <x:f>IF(K356&lt;=30,3,IF(K356&lt;=90,2,1))</x:f>
        <x:v>1</x:v>
      </x:c>
      <x:c r="M356" s="7" t="n">
        <x:f>IF(G356&gt;=8,3,IF(G356&gt;=3,2,1))</x:f>
        <x:v>3</x:v>
      </x:c>
      <x:c r="N356" s="7" t="n">
        <x:f>IF(H356&gt;=600,3,IF(H356&gt;=200,2,1))</x:f>
        <x:v>2</x:v>
      </x:c>
      <x:c r="O356" s="1" t="str">
        <x:f>IF(AND(L356=3,M356=3),"Champions",IF(AND(L356=1,M356&gt;=2),"At risk",IF(AND(L356=3,M356=1),"New",IF(AND(L356=1,M356=1),"Hibernating",IF(AND(L356=2,M356=1),"Promising","Loyal")))))</x:f>
        <x:v>At risk</x:v>
      </x:c>
    </x:row>
    <x:row r="357">
      <x:c r="A357" s="1" t="str">
        <x:v>C0356</x:v>
      </x:c>
      <x:c r="B357" s="1" t="str">
        <x:v>Elena</x:v>
      </x:c>
      <x:c r="C357" s="1" t="str">
        <x:v>customer0356@example.com</x:v>
      </x:c>
      <x:c r="D357" s="1" t="str">
        <x:v>Nigeria</x:v>
      </x:c>
      <x:c r="E357" s="5" t="d">
        <x:v>2024-11-13T00:00:00.000Z</x:v>
      </x:c>
      <x:c r="F357" s="5" t="d">
        <x:v>2025-10-18T00:00:00.000Z</x:v>
      </x:c>
      <x:c r="G357" s="1" t="n">
        <x:v>1</x:v>
      </x:c>
      <x:c r="H357" s="6" t="n">
        <x:v>145.78</x:v>
      </x:c>
      <x:c r="I357" s="1" t="n">
        <x:v>4</x:v>
      </x:c>
      <x:c r="J357" s="1" t="str">
        <x:v>app</x:v>
      </x:c>
      <x:c r="K357" s="7" t="n">
        <x:f>DATE(2026,10,1)-F357</x:f>
        <x:v>348</x:v>
      </x:c>
      <x:c r="L357" s="7" t="n">
        <x:f>IF(K357&lt;=30,3,IF(K357&lt;=90,2,1))</x:f>
        <x:v>1</x:v>
      </x:c>
      <x:c r="M357" s="7" t="n">
        <x:f>IF(G357&gt;=8,3,IF(G357&gt;=3,2,1))</x:f>
        <x:v>1</x:v>
      </x:c>
      <x:c r="N357" s="7" t="n">
        <x:f>IF(H357&gt;=600,3,IF(H357&gt;=200,2,1))</x:f>
        <x:v>1</x:v>
      </x:c>
      <x:c r="O357" s="1" t="str">
        <x:f>IF(AND(L357=3,M357=3),"Champions",IF(AND(L357=1,M357&gt;=2),"At risk",IF(AND(L357=3,M357=1),"New",IF(AND(L357=1,M357=1),"Hibernating",IF(AND(L357=2,M357=1),"Promising","Loyal")))))</x:f>
        <x:v>Hibernating</x:v>
      </x:c>
    </x:row>
    <x:row r="358">
      <x:c r="A358" s="1" t="str">
        <x:v>C0357</x:v>
      </x:c>
      <x:c r="B358" s="1" t="str">
        <x:v>Ravi</x:v>
      </x:c>
      <x:c r="C358" s="1" t="str">
        <x:v>customer0357@example.com</x:v>
      </x:c>
      <x:c r="D358" s="1" t="str">
        <x:v>India</x:v>
      </x:c>
      <x:c r="E358" s="5" t="d">
        <x:v>2026-08-14T00:00:00.000Z</x:v>
      </x:c>
      <x:c r="F358" s="5" t="d">
        <x:v>2026-09-17T00:00:00.000Z</x:v>
      </x:c>
      <x:c r="G358" s="1" t="n">
        <x:v>2</x:v>
      </x:c>
      <x:c r="H358" s="6" t="n">
        <x:v>50.37</x:v>
      </x:c>
      <x:c r="I358" s="1" t="n">
        <x:v>5</x:v>
      </x:c>
      <x:c r="J358" s="1" t="str">
        <x:v>app</x:v>
      </x:c>
      <x:c r="K358" s="7" t="n">
        <x:f>DATE(2026,10,1)-F358</x:f>
        <x:v>14</x:v>
      </x:c>
      <x:c r="L358" s="7" t="n">
        <x:f>IF(K358&lt;=30,3,IF(K358&lt;=90,2,1))</x:f>
        <x:v>3</x:v>
      </x:c>
      <x:c r="M358" s="7" t="n">
        <x:f>IF(G358&gt;=8,3,IF(G358&gt;=3,2,1))</x:f>
        <x:v>1</x:v>
      </x:c>
      <x:c r="N358" s="7" t="n">
        <x:f>IF(H358&gt;=600,3,IF(H358&gt;=200,2,1))</x:f>
        <x:v>1</x:v>
      </x:c>
      <x:c r="O358" s="1" t="str">
        <x:f>IF(AND(L358=3,M358=3),"Champions",IF(AND(L358=1,M358&gt;=2),"At risk",IF(AND(L358=3,M358=1),"New",IF(AND(L358=1,M358=1),"Hibernating",IF(AND(L358=2,M358=1),"Promising","Loyal")))))</x:f>
        <x:v>New</x:v>
      </x:c>
    </x:row>
    <x:row r="359">
      <x:c r="A359" s="1" t="str">
        <x:v>C0358</x:v>
      </x:c>
      <x:c r="B359" s="1" t="str">
        <x:v>Kenji</x:v>
      </x:c>
      <x:c r="C359" s="1" t="str">
        <x:v>customer0358@example.com</x:v>
      </x:c>
      <x:c r="D359" s="1" t="str">
        <x:v>India</x:v>
      </x:c>
      <x:c r="E359" s="5" t="d">
        <x:v>2026-09-05T00:00:00.000Z</x:v>
      </x:c>
      <x:c r="F359" s="5" t="d">
        <x:v>2026-09-10T00:00:00.000Z</x:v>
      </x:c>
      <x:c r="G359" s="1" t="n">
        <x:v>2</x:v>
      </x:c>
      <x:c r="H359" s="6" t="n">
        <x:v>124.49</x:v>
      </x:c>
      <x:c r="I359" s="1" t="n">
        <x:v>0</x:v>
      </x:c>
      <x:c r="J359" s="1" t="str">
        <x:v>web</x:v>
      </x:c>
      <x:c r="K359" s="7" t="n">
        <x:f>DATE(2026,10,1)-F359</x:f>
        <x:v>21</x:v>
      </x:c>
      <x:c r="L359" s="7" t="n">
        <x:f>IF(K359&lt;=30,3,IF(K359&lt;=90,2,1))</x:f>
        <x:v>3</x:v>
      </x:c>
      <x:c r="M359" s="7" t="n">
        <x:f>IF(G359&gt;=8,3,IF(G359&gt;=3,2,1))</x:f>
        <x:v>1</x:v>
      </x:c>
      <x:c r="N359" s="7" t="n">
        <x:f>IF(H359&gt;=600,3,IF(H359&gt;=200,2,1))</x:f>
        <x:v>1</x:v>
      </x:c>
      <x:c r="O359" s="1" t="str">
        <x:f>IF(AND(L359=3,M359=3),"Champions",IF(AND(L359=1,M359&gt;=2),"At risk",IF(AND(L359=3,M359=1),"New",IF(AND(L359=1,M359=1),"Hibernating",IF(AND(L359=2,M359=1),"Promising","Loyal")))))</x:f>
        <x:v>New</x:v>
      </x:c>
    </x:row>
    <x:row r="360">
      <x:c r="A360" s="1" t="str">
        <x:v>C0359</x:v>
      </x:c>
      <x:c r="B360" s="1" t="str">
        <x:v>Ethan</x:v>
      </x:c>
      <x:c r="C360" s="1" t="str">
        <x:v>customer0359@example.com</x:v>
      </x:c>
      <x:c r="D360" s="1" t="str">
        <x:v>UK</x:v>
      </x:c>
      <x:c r="E360" s="5" t="d">
        <x:v>2024-04-10T00:00:00.000Z</x:v>
      </x:c>
      <x:c r="F360" s="5" t="d">
        <x:v>2026-01-23T00:00:00.000Z</x:v>
      </x:c>
      <x:c r="G360" s="1" t="n">
        <x:v>2</x:v>
      </x:c>
      <x:c r="H360" s="6" t="n">
        <x:v>47.5</x:v>
      </x:c>
      <x:c r="I360" s="1" t="n">
        <x:v>1</x:v>
      </x:c>
      <x:c r="J360" s="1" t="str">
        <x:v>store</x:v>
      </x:c>
      <x:c r="K360" s="7" t="n">
        <x:f>DATE(2026,10,1)-F360</x:f>
        <x:v>251</x:v>
      </x:c>
      <x:c r="L360" s="7" t="n">
        <x:f>IF(K360&lt;=30,3,IF(K360&lt;=90,2,1))</x:f>
        <x:v>1</x:v>
      </x:c>
      <x:c r="M360" s="7" t="n">
        <x:f>IF(G360&gt;=8,3,IF(G360&gt;=3,2,1))</x:f>
        <x:v>1</x:v>
      </x:c>
      <x:c r="N360" s="7" t="n">
        <x:f>IF(H360&gt;=600,3,IF(H360&gt;=200,2,1))</x:f>
        <x:v>1</x:v>
      </x:c>
      <x:c r="O360" s="1" t="str">
        <x:f>IF(AND(L360=3,M360=3),"Champions",IF(AND(L360=1,M360&gt;=2),"At risk",IF(AND(L360=3,M360=1),"New",IF(AND(L360=1,M360=1),"Hibernating",IF(AND(L360=2,M360=1),"Promising","Loyal")))))</x:f>
        <x:v>Hibernating</x:v>
      </x:c>
    </x:row>
    <x:row r="361">
      <x:c r="A361" s="1" t="str">
        <x:v>C0360</x:v>
      </x:c>
      <x:c r="B361" s="1" t="str">
        <x:v>Ravi</x:v>
      </x:c>
      <x:c r="C361" s="1" t="str">
        <x:v>customer0360@example.com</x:v>
      </x:c>
      <x:c r="D361" s="1" t="str">
        <x:v>USA</x:v>
      </x:c>
      <x:c r="E361" s="5" t="d">
        <x:v>2025-01-08T00:00:00.000Z</x:v>
      </x:c>
      <x:c r="F361" s="5" t="d">
        <x:v>2026-01-07T00:00:00.000Z</x:v>
      </x:c>
      <x:c r="G361" s="1" t="n">
        <x:v>2</x:v>
      </x:c>
      <x:c r="H361" s="6" t="n">
        <x:v>47.29</x:v>
      </x:c>
      <x:c r="I361" s="1" t="n">
        <x:v>5</x:v>
      </x:c>
      <x:c r="J361" s="1" t="str">
        <x:v>app</x:v>
      </x:c>
      <x:c r="K361" s="7" t="n">
        <x:f>DATE(2026,10,1)-F361</x:f>
        <x:v>267</x:v>
      </x:c>
      <x:c r="L361" s="7" t="n">
        <x:f>IF(K361&lt;=30,3,IF(K361&lt;=90,2,1))</x:f>
        <x:v>1</x:v>
      </x:c>
      <x:c r="M361" s="7" t="n">
        <x:f>IF(G361&gt;=8,3,IF(G361&gt;=3,2,1))</x:f>
        <x:v>1</x:v>
      </x:c>
      <x:c r="N361" s="7" t="n">
        <x:f>IF(H361&gt;=600,3,IF(H361&gt;=200,2,1))</x:f>
        <x:v>1</x:v>
      </x:c>
      <x:c r="O361" s="1" t="str">
        <x:f>IF(AND(L361=3,M361=3),"Champions",IF(AND(L361=1,M361&gt;=2),"At risk",IF(AND(L361=3,M361=1),"New",IF(AND(L361=1,M361=1),"Hibernating",IF(AND(L361=2,M361=1),"Promising","Loyal")))))</x:f>
        <x:v>Hibernating</x:v>
      </x:c>
    </x:row>
    <x:row r="362">
      <x:c r="A362" s="1" t="str">
        <x:v>C0361</x:v>
      </x:c>
      <x:c r="B362" s="1" t="str">
        <x:v>Sofia</x:v>
      </x:c>
      <x:c r="C362" s="1" t="str">
        <x:v>customer0361@example.com</x:v>
      </x:c>
      <x:c r="D362" s="1" t="str">
        <x:v>Nigeria</x:v>
      </x:c>
      <x:c r="E362" s="5" t="d">
        <x:v>2026-02-12T00:00:00.000Z</x:v>
      </x:c>
      <x:c r="F362" s="5" t="d">
        <x:v>2026-03-26T00:00:00.000Z</x:v>
      </x:c>
      <x:c r="G362" s="1" t="n">
        <x:v>7</x:v>
      </x:c>
      <x:c r="H362" s="6" t="n">
        <x:v>525.29</x:v>
      </x:c>
      <x:c r="I362" s="1" t="n">
        <x:v>12</x:v>
      </x:c>
      <x:c r="J362" s="1" t="str">
        <x:v>store</x:v>
      </x:c>
      <x:c r="K362" s="7" t="n">
        <x:f>DATE(2026,10,1)-F362</x:f>
        <x:v>189</x:v>
      </x:c>
      <x:c r="L362" s="7" t="n">
        <x:f>IF(K362&lt;=30,3,IF(K362&lt;=90,2,1))</x:f>
        <x:v>1</x:v>
      </x:c>
      <x:c r="M362" s="7" t="n">
        <x:f>IF(G362&gt;=8,3,IF(G362&gt;=3,2,1))</x:f>
        <x:v>2</x:v>
      </x:c>
      <x:c r="N362" s="7" t="n">
        <x:f>IF(H362&gt;=600,3,IF(H362&gt;=200,2,1))</x:f>
        <x:v>2</x:v>
      </x:c>
      <x:c r="O362" s="1" t="str">
        <x:f>IF(AND(L362=3,M362=3),"Champions",IF(AND(L362=1,M362&gt;=2),"At risk",IF(AND(L362=3,M362=1),"New",IF(AND(L362=1,M362=1),"Hibernating",IF(AND(L362=2,M362=1),"Promising","Loyal")))))</x:f>
        <x:v>At risk</x:v>
      </x:c>
    </x:row>
    <x:row r="363">
      <x:c r="A363" s="1" t="str">
        <x:v>C0362</x:v>
      </x:c>
      <x:c r="B363" s="1" t="str">
        <x:v>Hana</x:v>
      </x:c>
      <x:c r="C363" s="1" t="str">
        <x:v>customer0362@example.com</x:v>
      </x:c>
      <x:c r="D363" s="1" t="str">
        <x:v>Australia</x:v>
      </x:c>
      <x:c r="E363" s="5" t="d">
        <x:v>2024-07-11T00:00:00.000Z</x:v>
      </x:c>
      <x:c r="F363" s="5" t="d">
        <x:v>2025-11-29T00:00:00.000Z</x:v>
      </x:c>
      <x:c r="G363" s="1" t="n">
        <x:v>1</x:v>
      </x:c>
      <x:c r="H363" s="6" t="n">
        <x:v>180.36</x:v>
      </x:c>
      <x:c r="I363" s="1" t="n">
        <x:v>11</x:v>
      </x:c>
      <x:c r="J363" s="1" t="str">
        <x:v>app</x:v>
      </x:c>
      <x:c r="K363" s="7" t="n">
        <x:f>DATE(2026,10,1)-F363</x:f>
        <x:v>306</x:v>
      </x:c>
      <x:c r="L363" s="7" t="n">
        <x:f>IF(K363&lt;=30,3,IF(K363&lt;=90,2,1))</x:f>
        <x:v>1</x:v>
      </x:c>
      <x:c r="M363" s="7" t="n">
        <x:f>IF(G363&gt;=8,3,IF(G363&gt;=3,2,1))</x:f>
        <x:v>1</x:v>
      </x:c>
      <x:c r="N363" s="7" t="n">
        <x:f>IF(H363&gt;=600,3,IF(H363&gt;=200,2,1))</x:f>
        <x:v>1</x:v>
      </x:c>
      <x:c r="O363" s="1" t="str">
        <x:f>IF(AND(L363=3,M363=3),"Champions",IF(AND(L363=1,M363&gt;=2),"At risk",IF(AND(L363=3,M363=1),"New",IF(AND(L363=1,M363=1),"Hibernating",IF(AND(L363=2,M363=1),"Promising","Loyal")))))</x:f>
        <x:v>Hibernating</x:v>
      </x:c>
    </x:row>
    <x:row r="364">
      <x:c r="A364" s="1" t="str">
        <x:v>C0363</x:v>
      </x:c>
      <x:c r="B364" s="1" t="str">
        <x:v>Kenji</x:v>
      </x:c>
      <x:c r="C364" s="1" t="str">
        <x:v>customer0363@example.com</x:v>
      </x:c>
      <x:c r="D364" s="1" t="str">
        <x:v>Australia</x:v>
      </x:c>
      <x:c r="E364" s="5" t="d">
        <x:v>2025-11-27T00:00:00.000Z</x:v>
      </x:c>
      <x:c r="F364" s="5" t="d">
        <x:v>2026-05-13T00:00:00.000Z</x:v>
      </x:c>
      <x:c r="G364" s="1" t="n">
        <x:v>1</x:v>
      </x:c>
      <x:c r="H364" s="6" t="n">
        <x:v>135.4</x:v>
      </x:c>
      <x:c r="I364" s="1" t="n">
        <x:v>10</x:v>
      </x:c>
      <x:c r="J364" s="1" t="str">
        <x:v>web</x:v>
      </x:c>
      <x:c r="K364" s="7" t="n">
        <x:f>DATE(2026,10,1)-F364</x:f>
        <x:v>141</x:v>
      </x:c>
      <x:c r="L364" s="7" t="n">
        <x:f>IF(K364&lt;=30,3,IF(K364&lt;=90,2,1))</x:f>
        <x:v>1</x:v>
      </x:c>
      <x:c r="M364" s="7" t="n">
        <x:f>IF(G364&gt;=8,3,IF(G364&gt;=3,2,1))</x:f>
        <x:v>1</x:v>
      </x:c>
      <x:c r="N364" s="7" t="n">
        <x:f>IF(H364&gt;=600,3,IF(H364&gt;=200,2,1))</x:f>
        <x:v>1</x:v>
      </x:c>
      <x:c r="O364" s="1" t="str">
        <x:f>IF(AND(L364=3,M364=3),"Champions",IF(AND(L364=1,M364&gt;=2),"At risk",IF(AND(L364=3,M364=1),"New",IF(AND(L364=1,M364=1),"Hibernating",IF(AND(L364=2,M364=1),"Promising","Loyal")))))</x:f>
        <x:v>Hibernating</x:v>
      </x:c>
    </x:row>
    <x:row r="365">
      <x:c r="A365" s="1" t="str">
        <x:v>C0364</x:v>
      </x:c>
      <x:c r="B365" s="1" t="str">
        <x:v>Elena</x:v>
      </x:c>
      <x:c r="C365" s="1" t="str">
        <x:v>customer0364@example.com</x:v>
      </x:c>
      <x:c r="D365" s="1" t="str">
        <x:v>Brazil</x:v>
      </x:c>
      <x:c r="E365" s="5" t="d">
        <x:v>2026-02-18T00:00:00.000Z</x:v>
      </x:c>
      <x:c r="F365" s="5" t="d">
        <x:v>2026-09-29T00:00:00.000Z</x:v>
      </x:c>
      <x:c r="G365" s="1" t="n">
        <x:v>15</x:v>
      </x:c>
      <x:c r="H365" s="6" t="n">
        <x:v>1367.04</x:v>
      </x:c>
      <x:c r="I365" s="1" t="n">
        <x:v>0</x:v>
      </x:c>
      <x:c r="J365" s="1" t="str">
        <x:v>app</x:v>
      </x:c>
      <x:c r="K365" s="7" t="n">
        <x:f>DATE(2026,10,1)-F365</x:f>
        <x:v>2</x:v>
      </x:c>
      <x:c r="L365" s="7" t="n">
        <x:f>IF(K365&lt;=30,3,IF(K365&lt;=90,2,1))</x:f>
        <x:v>3</x:v>
      </x:c>
      <x:c r="M365" s="7" t="n">
        <x:f>IF(G365&gt;=8,3,IF(G365&gt;=3,2,1))</x:f>
        <x:v>3</x:v>
      </x:c>
      <x:c r="N365" s="7" t="n">
        <x:f>IF(H365&gt;=600,3,IF(H365&gt;=200,2,1))</x:f>
        <x:v>3</x:v>
      </x:c>
      <x:c r="O365" s="1" t="str">
        <x:f>IF(AND(L365=3,M365=3),"Champions",IF(AND(L365=1,M365&gt;=2),"At risk",IF(AND(L365=3,M365=1),"New",IF(AND(L365=1,M365=1),"Hibernating",IF(AND(L365=2,M365=1),"Promising","Loyal")))))</x:f>
        <x:v>Champions</x:v>
      </x:c>
    </x:row>
    <x:row r="366">
      <x:c r="A366" s="1" t="str">
        <x:v>C0365</x:v>
      </x:c>
      <x:c r="B366" s="1" t="str">
        <x:v>Maya</x:v>
      </x:c>
      <x:c r="C366" s="1" t="str">
        <x:v>customer0365@example.com</x:v>
      </x:c>
      <x:c r="D366" s="1" t="str">
        <x:v>Japan</x:v>
      </x:c>
      <x:c r="E366" s="5" t="d">
        <x:v>2024-01-11T00:00:00.000Z</x:v>
      </x:c>
      <x:c r="F366" s="5" t="d">
        <x:v>2025-11-18T00:00:00.000Z</x:v>
      </x:c>
      <x:c r="G366" s="1" t="n">
        <x:v>1</x:v>
      </x:c>
      <x:c r="H366" s="6" t="n">
        <x:v>64.57</x:v>
      </x:c>
      <x:c r="I366" s="1" t="n">
        <x:v>11</x:v>
      </x:c>
      <x:c r="J366" s="1" t="str">
        <x:v>web</x:v>
      </x:c>
      <x:c r="K366" s="7" t="n">
        <x:f>DATE(2026,10,1)-F366</x:f>
        <x:v>317</x:v>
      </x:c>
      <x:c r="L366" s="7" t="n">
        <x:f>IF(K366&lt;=30,3,IF(K366&lt;=90,2,1))</x:f>
        <x:v>1</x:v>
      </x:c>
      <x:c r="M366" s="7" t="n">
        <x:f>IF(G366&gt;=8,3,IF(G366&gt;=3,2,1))</x:f>
        <x:v>1</x:v>
      </x:c>
      <x:c r="N366" s="7" t="n">
        <x:f>IF(H366&gt;=600,3,IF(H366&gt;=200,2,1))</x:f>
        <x:v>1</x:v>
      </x:c>
      <x:c r="O366" s="1" t="str">
        <x:f>IF(AND(L366=3,M366=3),"Champions",IF(AND(L366=1,M366&gt;=2),"At risk",IF(AND(L366=3,M366=1),"New",IF(AND(L366=1,M366=1),"Hibernating",IF(AND(L366=2,M366=1),"Promising","Loyal")))))</x:f>
        <x:v>Hibernating</x:v>
      </x:c>
    </x:row>
    <x:row r="367">
      <x:c r="A367" s="1" t="str">
        <x:v>C0366</x:v>
      </x:c>
      <x:c r="B367" s="1" t="str">
        <x:v>Jonas</x:v>
      </x:c>
      <x:c r="C367" s="1" t="str">
        <x:v>customer0366@example.com</x:v>
      </x:c>
      <x:c r="D367" s="1" t="str">
        <x:v>UK</x:v>
      </x:c>
      <x:c r="E367" s="5" t="d">
        <x:v>2025-11-23T00:00:00.000Z</x:v>
      </x:c>
      <x:c r="F367" s="5" t="d">
        <x:v>2026-05-22T00:00:00.000Z</x:v>
      </x:c>
      <x:c r="G367" s="1" t="n">
        <x:v>2</x:v>
      </x:c>
      <x:c r="H367" s="6" t="n">
        <x:v>16.54</x:v>
      </x:c>
      <x:c r="I367" s="1" t="n">
        <x:v>6</x:v>
      </x:c>
      <x:c r="J367" s="1" t="str">
        <x:v>web</x:v>
      </x:c>
      <x:c r="K367" s="7" t="n">
        <x:f>DATE(2026,10,1)-F367</x:f>
        <x:v>132</x:v>
      </x:c>
      <x:c r="L367" s="7" t="n">
        <x:f>IF(K367&lt;=30,3,IF(K367&lt;=90,2,1))</x:f>
        <x:v>1</x:v>
      </x:c>
      <x:c r="M367" s="7" t="n">
        <x:f>IF(G367&gt;=8,3,IF(G367&gt;=3,2,1))</x:f>
        <x:v>1</x:v>
      </x:c>
      <x:c r="N367" s="7" t="n">
        <x:f>IF(H367&gt;=600,3,IF(H367&gt;=200,2,1))</x:f>
        <x:v>1</x:v>
      </x:c>
      <x:c r="O367" s="1" t="str">
        <x:f>IF(AND(L367=3,M367=3),"Champions",IF(AND(L367=1,M367&gt;=2),"At risk",IF(AND(L367=3,M367=1),"New",IF(AND(L367=1,M367=1),"Hibernating",IF(AND(L367=2,M367=1),"Promising","Loyal")))))</x:f>
        <x:v>Hibernating</x:v>
      </x:c>
    </x:row>
    <x:row r="368">
      <x:c r="A368" s="1" t="str">
        <x:v>C0367</x:v>
      </x:c>
      <x:c r="B368" s="1" t="str">
        <x:v>Lucas</x:v>
      </x:c>
      <x:c r="C368" s="1" t="str">
        <x:v>customer0367@example.com</x:v>
      </x:c>
      <x:c r="D368" s="1" t="str">
        <x:v>Australia</x:v>
      </x:c>
      <x:c r="E368" s="5" t="d">
        <x:v>2025-02-01T00:00:00.000Z</x:v>
      </x:c>
      <x:c r="F368" s="5" t="d">
        <x:v>2026-09-05T00:00:00.000Z</x:v>
      </x:c>
      <x:c r="G368" s="1" t="n">
        <x:v>17</x:v>
      </x:c>
      <x:c r="H368" s="6" t="n">
        <x:v>1680.42</x:v>
      </x:c>
      <x:c r="I368" s="1" t="n">
        <x:v>1</x:v>
      </x:c>
      <x:c r="J368" s="1" t="str">
        <x:v>store</x:v>
      </x:c>
      <x:c r="K368" s="7" t="n">
        <x:f>DATE(2026,10,1)-F368</x:f>
        <x:v>26</x:v>
      </x:c>
      <x:c r="L368" s="7" t="n">
        <x:f>IF(K368&lt;=30,3,IF(K368&lt;=90,2,1))</x:f>
        <x:v>3</x:v>
      </x:c>
      <x:c r="M368" s="7" t="n">
        <x:f>IF(G368&gt;=8,3,IF(G368&gt;=3,2,1))</x:f>
        <x:v>3</x:v>
      </x:c>
      <x:c r="N368" s="7" t="n">
        <x:f>IF(H368&gt;=600,3,IF(H368&gt;=200,2,1))</x:f>
        <x:v>3</x:v>
      </x:c>
      <x:c r="O368" s="1" t="str">
        <x:f>IF(AND(L368=3,M368=3),"Champions",IF(AND(L368=1,M368&gt;=2),"At risk",IF(AND(L368=3,M368=1),"New",IF(AND(L368=1,M368=1),"Hibernating",IF(AND(L368=2,M368=1),"Promising","Loyal")))))</x:f>
        <x:v>Champions</x:v>
      </x:c>
    </x:row>
    <x:row r="369">
      <x:c r="A369" s="1" t="str">
        <x:v>C0368</x:v>
      </x:c>
      <x:c r="B369" s="1" t="str">
        <x:v>Mei</x:v>
      </x:c>
      <x:c r="C369" s="1" t="str">
        <x:v>customer0368@example.com</x:v>
      </x:c>
      <x:c r="D369" s="1" t="str">
        <x:v>UK</x:v>
      </x:c>
      <x:c r="E369" s="5" t="d">
        <x:v>2024-10-23T00:00:00.000Z</x:v>
      </x:c>
      <x:c r="F369" s="5" t="d">
        <x:v>2026-07-25T00:00:00.000Z</x:v>
      </x:c>
      <x:c r="G369" s="1" t="n">
        <x:v>6</x:v>
      </x:c>
      <x:c r="H369" s="6" t="n">
        <x:v>879.91</x:v>
      </x:c>
      <x:c r="I369" s="1" t="n">
        <x:v>6</x:v>
      </x:c>
      <x:c r="J369" s="1" t="str">
        <x:v>store</x:v>
      </x:c>
      <x:c r="K369" s="7" t="n">
        <x:f>DATE(2026,10,1)-F369</x:f>
        <x:v>68</x:v>
      </x:c>
      <x:c r="L369" s="7" t="n">
        <x:f>IF(K369&lt;=30,3,IF(K369&lt;=90,2,1))</x:f>
        <x:v>2</x:v>
      </x:c>
      <x:c r="M369" s="7" t="n">
        <x:f>IF(G369&gt;=8,3,IF(G369&gt;=3,2,1))</x:f>
        <x:v>2</x:v>
      </x:c>
      <x:c r="N369" s="7" t="n">
        <x:f>IF(H369&gt;=600,3,IF(H369&gt;=200,2,1))</x:f>
        <x:v>3</x:v>
      </x:c>
      <x:c r="O369" s="1" t="str">
        <x:f>IF(AND(L369=3,M369=3),"Champions",IF(AND(L369=1,M369&gt;=2),"At risk",IF(AND(L369=3,M369=1),"New",IF(AND(L369=1,M369=1),"Hibernating",IF(AND(L369=2,M369=1),"Promising","Loyal")))))</x:f>
        <x:v>Loyal</x:v>
      </x:c>
    </x:row>
    <x:row r="370">
      <x:c r="A370" s="1" t="str">
        <x:v>C0369</x:v>
      </x:c>
      <x:c r="B370" s="1" t="str">
        <x:v>Aisha</x:v>
      </x:c>
      <x:c r="C370" s="1" t="str">
        <x:v>customer0369@example.com</x:v>
      </x:c>
      <x:c r="D370" s="1" t="str">
        <x:v>Germany</x:v>
      </x:c>
      <x:c r="E370" s="5" t="d">
        <x:v>2026-08-15T00:00:00.000Z</x:v>
      </x:c>
      <x:c r="F370" s="5" t="d">
        <x:v>2026-09-05T00:00:00.000Z</x:v>
      </x:c>
      <x:c r="G370" s="1" t="n">
        <x:v>1</x:v>
      </x:c>
      <x:c r="H370" s="6" t="n">
        <x:v>135.64</x:v>
      </x:c>
      <x:c r="I370" s="1" t="n">
        <x:v>9</x:v>
      </x:c>
      <x:c r="J370" s="1" t="str">
        <x:v>store</x:v>
      </x:c>
      <x:c r="K370" s="7" t="n">
        <x:f>DATE(2026,10,1)-F370</x:f>
        <x:v>26</x:v>
      </x:c>
      <x:c r="L370" s="7" t="n">
        <x:f>IF(K370&lt;=30,3,IF(K370&lt;=90,2,1))</x:f>
        <x:v>3</x:v>
      </x:c>
      <x:c r="M370" s="7" t="n">
        <x:f>IF(G370&gt;=8,3,IF(G370&gt;=3,2,1))</x:f>
        <x:v>1</x:v>
      </x:c>
      <x:c r="N370" s="7" t="n">
        <x:f>IF(H370&gt;=600,3,IF(H370&gt;=200,2,1))</x:f>
        <x:v>1</x:v>
      </x:c>
      <x:c r="O370" s="1" t="str">
        <x:f>IF(AND(L370=3,M370=3),"Champions",IF(AND(L370=1,M370&gt;=2),"At risk",IF(AND(L370=3,M370=1),"New",IF(AND(L370=1,M370=1),"Hibernating",IF(AND(L370=2,M370=1),"Promising","Loyal")))))</x:f>
        <x:v>New</x:v>
      </x:c>
    </x:row>
    <x:row r="371">
      <x:c r="A371" s="1" t="str">
        <x:v>C0370</x:v>
      </x:c>
      <x:c r="B371" s="1" t="str">
        <x:v>Ines</x:v>
      </x:c>
      <x:c r="C371" s="1" t="str">
        <x:v>customer0370@example.com</x:v>
      </x:c>
      <x:c r="D371" s="1" t="str">
        <x:v>Brazil</x:v>
      </x:c>
      <x:c r="E371" s="5" t="d">
        <x:v>2025-11-06T00:00:00.000Z</x:v>
      </x:c>
      <x:c r="F371" s="5" t="d">
        <x:v>2026-03-26T00:00:00.000Z</x:v>
      </x:c>
      <x:c r="G371" s="1" t="n">
        <x:v>10</x:v>
      </x:c>
      <x:c r="H371" s="6" t="n">
        <x:v>1004.97</x:v>
      </x:c>
      <x:c r="I371" s="1" t="n">
        <x:v>8</x:v>
      </x:c>
      <x:c r="J371" s="1" t="str">
        <x:v>store</x:v>
      </x:c>
      <x:c r="K371" s="7" t="n">
        <x:f>DATE(2026,10,1)-F371</x:f>
        <x:v>189</x:v>
      </x:c>
      <x:c r="L371" s="7" t="n">
        <x:f>IF(K371&lt;=30,3,IF(K371&lt;=90,2,1))</x:f>
        <x:v>1</x:v>
      </x:c>
      <x:c r="M371" s="7" t="n">
        <x:f>IF(G371&gt;=8,3,IF(G371&gt;=3,2,1))</x:f>
        <x:v>3</x:v>
      </x:c>
      <x:c r="N371" s="7" t="n">
        <x:f>IF(H371&gt;=600,3,IF(H371&gt;=200,2,1))</x:f>
        <x:v>3</x:v>
      </x:c>
      <x:c r="O371" s="1" t="str">
        <x:f>IF(AND(L371=3,M371=3),"Champions",IF(AND(L371=1,M371&gt;=2),"At risk",IF(AND(L371=3,M371=1),"New",IF(AND(L371=1,M371=1),"Hibernating",IF(AND(L371=2,M371=1),"Promising","Loyal")))))</x:f>
        <x:v>At risk</x:v>
      </x:c>
    </x:row>
    <x:row r="372">
      <x:c r="A372" s="1" t="str">
        <x:v>C0371</x:v>
      </x:c>
      <x:c r="B372" s="1" t="str">
        <x:v>Arjun</x:v>
      </x:c>
      <x:c r="C372" s="1" t="str">
        <x:v>customer0371@example.com</x:v>
      </x:c>
      <x:c r="D372" s="1" t="str">
        <x:v>Singapore</x:v>
      </x:c>
      <x:c r="E372" s="5" t="d">
        <x:v>2025-06-23T00:00:00.000Z</x:v>
      </x:c>
      <x:c r="F372" s="5" t="d">
        <x:v>2026-09-24T00:00:00.000Z</x:v>
      </x:c>
      <x:c r="G372" s="1" t="n">
        <x:v>11</x:v>
      </x:c>
      <x:c r="H372" s="6" t="n">
        <x:v>1685.89</x:v>
      </x:c>
      <x:c r="I372" s="1" t="n">
        <x:v>2</x:v>
      </x:c>
      <x:c r="J372" s="1" t="str">
        <x:v>store</x:v>
      </x:c>
      <x:c r="K372" s="7" t="n">
        <x:f>DATE(2026,10,1)-F372</x:f>
        <x:v>7</x:v>
      </x:c>
      <x:c r="L372" s="7" t="n">
        <x:f>IF(K372&lt;=30,3,IF(K372&lt;=90,2,1))</x:f>
        <x:v>3</x:v>
      </x:c>
      <x:c r="M372" s="7" t="n">
        <x:f>IF(G372&gt;=8,3,IF(G372&gt;=3,2,1))</x:f>
        <x:v>3</x:v>
      </x:c>
      <x:c r="N372" s="7" t="n">
        <x:f>IF(H372&gt;=600,3,IF(H372&gt;=200,2,1))</x:f>
        <x:v>3</x:v>
      </x:c>
      <x:c r="O372" s="1" t="str">
        <x:f>IF(AND(L372=3,M372=3),"Champions",IF(AND(L372=1,M372&gt;=2),"At risk",IF(AND(L372=3,M372=1),"New",IF(AND(L372=1,M372=1),"Hibernating",IF(AND(L372=2,M372=1),"Promising","Loyal")))))</x:f>
        <x:v>Champions</x:v>
      </x:c>
    </x:row>
    <x:row r="373">
      <x:c r="A373" s="1" t="str">
        <x:v>C0372</x:v>
      </x:c>
      <x:c r="B373" s="1" t="str">
        <x:v>Diego</x:v>
      </x:c>
      <x:c r="C373" s="1" t="str">
        <x:v>customer0372@example.com</x:v>
      </x:c>
      <x:c r="D373" s="1" t="str">
        <x:v>Australia</x:v>
      </x:c>
      <x:c r="E373" s="5" t="d">
        <x:v>2026-08-29T00:00:00.000Z</x:v>
      </x:c>
      <x:c r="F373" s="5" t="d">
        <x:v>2026-09-13T00:00:00.000Z</x:v>
      </x:c>
      <x:c r="G373" s="1" t="n">
        <x:v>2</x:v>
      </x:c>
      <x:c r="H373" s="6" t="n">
        <x:v>77.6</x:v>
      </x:c>
      <x:c r="I373" s="1" t="n">
        <x:v>6</x:v>
      </x:c>
      <x:c r="J373" s="1" t="str">
        <x:v>web</x:v>
      </x:c>
      <x:c r="K373" s="7" t="n">
        <x:f>DATE(2026,10,1)-F373</x:f>
        <x:v>18</x:v>
      </x:c>
      <x:c r="L373" s="7" t="n">
        <x:f>IF(K373&lt;=30,3,IF(K373&lt;=90,2,1))</x:f>
        <x:v>3</x:v>
      </x:c>
      <x:c r="M373" s="7" t="n">
        <x:f>IF(G373&gt;=8,3,IF(G373&gt;=3,2,1))</x:f>
        <x:v>1</x:v>
      </x:c>
      <x:c r="N373" s="7" t="n">
        <x:f>IF(H373&gt;=600,3,IF(H373&gt;=200,2,1))</x:f>
        <x:v>1</x:v>
      </x:c>
      <x:c r="O373" s="1" t="str">
        <x:f>IF(AND(L373=3,M373=3),"Champions",IF(AND(L373=1,M373&gt;=2),"At risk",IF(AND(L373=3,M373=1),"New",IF(AND(L373=1,M373=1),"Hibernating",IF(AND(L373=2,M373=1),"Promising","Loyal")))))</x:f>
        <x:v>New</x:v>
      </x:c>
    </x:row>
    <x:row r="374">
      <x:c r="A374" s="1" t="str">
        <x:v>C0373</x:v>
      </x:c>
      <x:c r="B374" s="1" t="str">
        <x:v>Zara</x:v>
      </x:c>
      <x:c r="C374" s="1" t="str">
        <x:v>customer0373@example.com</x:v>
      </x:c>
      <x:c r="D374" s="1" t="str">
        <x:v>Germany</x:v>
      </x:c>
      <x:c r="E374" s="5" t="d">
        <x:v>2026-06-03T00:00:00.000Z</x:v>
      </x:c>
      <x:c r="F374" s="5" t="d">
        <x:v>2026-09-25T00:00:00.000Z</x:v>
      </x:c>
      <x:c r="G374" s="1" t="n">
        <x:v>11</x:v>
      </x:c>
      <x:c r="H374" s="6" t="n">
        <x:v>1476.98</x:v>
      </x:c>
      <x:c r="I374" s="1" t="n">
        <x:v>10</x:v>
      </x:c>
      <x:c r="J374" s="1" t="str">
        <x:v>app</x:v>
      </x:c>
      <x:c r="K374" s="7" t="n">
        <x:f>DATE(2026,10,1)-F374</x:f>
        <x:v>6</x:v>
      </x:c>
      <x:c r="L374" s="7" t="n">
        <x:f>IF(K374&lt;=30,3,IF(K374&lt;=90,2,1))</x:f>
        <x:v>3</x:v>
      </x:c>
      <x:c r="M374" s="7" t="n">
        <x:f>IF(G374&gt;=8,3,IF(G374&gt;=3,2,1))</x:f>
        <x:v>3</x:v>
      </x:c>
      <x:c r="N374" s="7" t="n">
        <x:f>IF(H374&gt;=600,3,IF(H374&gt;=200,2,1))</x:f>
        <x:v>3</x:v>
      </x:c>
      <x:c r="O374" s="1" t="str">
        <x:f>IF(AND(L374=3,M374=3),"Champions",IF(AND(L374=1,M374&gt;=2),"At risk",IF(AND(L374=3,M374=1),"New",IF(AND(L374=1,M374=1),"Hibernating",IF(AND(L374=2,M374=1),"Promising","Loyal")))))</x:f>
        <x:v>Champions</x:v>
      </x:c>
    </x:row>
    <x:row r="375">
      <x:c r="A375" s="1" t="str">
        <x:v>C0374</x:v>
      </x:c>
      <x:c r="B375" s="1" t="str">
        <x:v>Noah</x:v>
      </x:c>
      <x:c r="C375" s="1" t="str">
        <x:v>customer0374@example.com</x:v>
      </x:c>
      <x:c r="D375" s="1" t="str">
        <x:v>USA</x:v>
      </x:c>
      <x:c r="E375" s="5" t="d">
        <x:v>2025-01-30T00:00:00.000Z</x:v>
      </x:c>
      <x:c r="F375" s="5" t="d">
        <x:v>2026-08-20T00:00:00.000Z</x:v>
      </x:c>
      <x:c r="G375" s="1" t="n">
        <x:v>8</x:v>
      </x:c>
      <x:c r="H375" s="6" t="n">
        <x:v>542.49</x:v>
      </x:c>
      <x:c r="I375" s="1" t="n">
        <x:v>8</x:v>
      </x:c>
      <x:c r="J375" s="1" t="str">
        <x:v>store</x:v>
      </x:c>
      <x:c r="K375" s="7" t="n">
        <x:f>DATE(2026,10,1)-F375</x:f>
        <x:v>42</x:v>
      </x:c>
      <x:c r="L375" s="7" t="n">
        <x:f>IF(K375&lt;=30,3,IF(K375&lt;=90,2,1))</x:f>
        <x:v>2</x:v>
      </x:c>
      <x:c r="M375" s="7" t="n">
        <x:f>IF(G375&gt;=8,3,IF(G375&gt;=3,2,1))</x:f>
        <x:v>3</x:v>
      </x:c>
      <x:c r="N375" s="7" t="n">
        <x:f>IF(H375&gt;=600,3,IF(H375&gt;=200,2,1))</x:f>
        <x:v>2</x:v>
      </x:c>
      <x:c r="O375" s="1" t="str">
        <x:f>IF(AND(L375=3,M375=3),"Champions",IF(AND(L375=1,M375&gt;=2),"At risk",IF(AND(L375=3,M375=1),"New",IF(AND(L375=1,M375=1),"Hibernating",IF(AND(L375=2,M375=1),"Promising","Loyal")))))</x:f>
        <x:v>Loyal</x:v>
      </x:c>
    </x:row>
    <x:row r="376">
      <x:c r="A376" s="1" t="str">
        <x:v>C0375</x:v>
      </x:c>
      <x:c r="B376" s="1" t="str">
        <x:v>Yara</x:v>
      </x:c>
      <x:c r="C376" s="1" t="str">
        <x:v>customer0375@example.com</x:v>
      </x:c>
      <x:c r="D376" s="1" t="str">
        <x:v>Australia</x:v>
      </x:c>
      <x:c r="E376" s="5" t="d">
        <x:v>2026-09-03T00:00:00.000Z</x:v>
      </x:c>
      <x:c r="F376" s="5" t="d">
        <x:v>2026-09-07T00:00:00.000Z</x:v>
      </x:c>
      <x:c r="G376" s="1" t="n">
        <x:v>1</x:v>
      </x:c>
      <x:c r="H376" s="6" t="n">
        <x:v>156.25</x:v>
      </x:c>
      <x:c r="I376" s="1" t="n">
        <x:v>2</x:v>
      </x:c>
      <x:c r="J376" s="1" t="str">
        <x:v>store</x:v>
      </x:c>
      <x:c r="K376" s="7" t="n">
        <x:f>DATE(2026,10,1)-F376</x:f>
        <x:v>24</x:v>
      </x:c>
      <x:c r="L376" s="7" t="n">
        <x:f>IF(K376&lt;=30,3,IF(K376&lt;=90,2,1))</x:f>
        <x:v>3</x:v>
      </x:c>
      <x:c r="M376" s="7" t="n">
        <x:f>IF(G376&gt;=8,3,IF(G376&gt;=3,2,1))</x:f>
        <x:v>1</x:v>
      </x:c>
      <x:c r="N376" s="7" t="n">
        <x:f>IF(H376&gt;=600,3,IF(H376&gt;=200,2,1))</x:f>
        <x:v>1</x:v>
      </x:c>
      <x:c r="O376" s="1" t="str">
        <x:f>IF(AND(L376=3,M376=3),"Champions",IF(AND(L376=1,M376&gt;=2),"At risk",IF(AND(L376=3,M376=1),"New",IF(AND(L376=1,M376=1),"Hibernating",IF(AND(L376=2,M376=1),"Promising","Loyal")))))</x:f>
        <x:v>New</x:v>
      </x:c>
    </x:row>
    <x:row r="377">
      <x:c r="A377" s="1" t="str">
        <x:v>C0376</x:v>
      </x:c>
      <x:c r="B377" s="1" t="str">
        <x:v>Lina</x:v>
      </x:c>
      <x:c r="C377" s="1" t="str">
        <x:v>customer0376@example.com</x:v>
      </x:c>
      <x:c r="D377" s="1" t="str">
        <x:v>UK</x:v>
      </x:c>
      <x:c r="E377" s="5" t="d">
        <x:v>2025-04-24T00:00:00.000Z</x:v>
      </x:c>
      <x:c r="F377" s="5" t="d">
        <x:v>2026-05-30T00:00:00.000Z</x:v>
      </x:c>
      <x:c r="G377" s="1" t="n">
        <x:v>11</x:v>
      </x:c>
      <x:c r="H377" s="6" t="n">
        <x:v>367.41</x:v>
      </x:c>
      <x:c r="I377" s="1" t="n">
        <x:v>3</x:v>
      </x:c>
      <x:c r="J377" s="1" t="str">
        <x:v>store</x:v>
      </x:c>
      <x:c r="K377" s="7" t="n">
        <x:f>DATE(2026,10,1)-F377</x:f>
        <x:v>124</x:v>
      </x:c>
      <x:c r="L377" s="7" t="n">
        <x:f>IF(K377&lt;=30,3,IF(K377&lt;=90,2,1))</x:f>
        <x:v>1</x:v>
      </x:c>
      <x:c r="M377" s="7" t="n">
        <x:f>IF(G377&gt;=8,3,IF(G377&gt;=3,2,1))</x:f>
        <x:v>3</x:v>
      </x:c>
      <x:c r="N377" s="7" t="n">
        <x:f>IF(H377&gt;=600,3,IF(H377&gt;=200,2,1))</x:f>
        <x:v>2</x:v>
      </x:c>
      <x:c r="O377" s="1" t="str">
        <x:f>IF(AND(L377=3,M377=3),"Champions",IF(AND(L377=1,M377&gt;=2),"At risk",IF(AND(L377=3,M377=1),"New",IF(AND(L377=1,M377=1),"Hibernating",IF(AND(L377=2,M377=1),"Promising","Loyal")))))</x:f>
        <x:v>At risk</x:v>
      </x:c>
    </x:row>
    <x:row r="378">
      <x:c r="A378" s="1" t="str">
        <x:v>C0377</x:v>
      </x:c>
      <x:c r="B378" s="1" t="str">
        <x:v>Maya</x:v>
      </x:c>
      <x:c r="C378" s="1" t="str">
        <x:v>customer0377@example.com</x:v>
      </x:c>
      <x:c r="D378" s="1" t="str">
        <x:v>UAE</x:v>
      </x:c>
      <x:c r="E378" s="5" t="d">
        <x:v>2024-09-10T00:00:00.000Z</x:v>
      </x:c>
      <x:c r="F378" s="5" t="d">
        <x:v>2026-06-05T00:00:00.000Z</x:v>
      </x:c>
      <x:c r="G378" s="1" t="n">
        <x:v>5</x:v>
      </x:c>
      <x:c r="H378" s="6" t="n">
        <x:v>679.37</x:v>
      </x:c>
      <x:c r="I378" s="1" t="n">
        <x:v>3</x:v>
      </x:c>
      <x:c r="J378" s="1" t="str">
        <x:v>app</x:v>
      </x:c>
      <x:c r="K378" s="7" t="n">
        <x:f>DATE(2026,10,1)-F378</x:f>
        <x:v>118</x:v>
      </x:c>
      <x:c r="L378" s="7" t="n">
        <x:f>IF(K378&lt;=30,3,IF(K378&lt;=90,2,1))</x:f>
        <x:v>1</x:v>
      </x:c>
      <x:c r="M378" s="7" t="n">
        <x:f>IF(G378&gt;=8,3,IF(G378&gt;=3,2,1))</x:f>
        <x:v>2</x:v>
      </x:c>
      <x:c r="N378" s="7" t="n">
        <x:f>IF(H378&gt;=600,3,IF(H378&gt;=200,2,1))</x:f>
        <x:v>3</x:v>
      </x:c>
      <x:c r="O378" s="1" t="str">
        <x:f>IF(AND(L378=3,M378=3),"Champions",IF(AND(L378=1,M378&gt;=2),"At risk",IF(AND(L378=3,M378=1),"New",IF(AND(L378=1,M378=1),"Hibernating",IF(AND(L378=2,M378=1),"Promising","Loyal")))))</x:f>
        <x:v>At risk</x:v>
      </x:c>
    </x:row>
    <x:row r="379">
      <x:c r="A379" s="1" t="str">
        <x:v>C0378</x:v>
      </x:c>
      <x:c r="B379" s="1" t="str">
        <x:v>Ines</x:v>
      </x:c>
      <x:c r="C379" s="1" t="str">
        <x:v>customer0378@example.com</x:v>
      </x:c>
      <x:c r="D379" s="1" t="str">
        <x:v>Singapore</x:v>
      </x:c>
      <x:c r="E379" s="5" t="d">
        <x:v>2025-03-12T00:00:00.000Z</x:v>
      </x:c>
      <x:c r="F379" s="5" t="d">
        <x:v>2026-06-25T00:00:00.000Z</x:v>
      </x:c>
      <x:c r="G379" s="1" t="n">
        <x:v>12</x:v>
      </x:c>
      <x:c r="H379" s="6" t="n">
        <x:v>1348.97</x:v>
      </x:c>
      <x:c r="I379" s="1" t="n">
        <x:v>11</x:v>
      </x:c>
      <x:c r="J379" s="1" t="str">
        <x:v>app</x:v>
      </x:c>
      <x:c r="K379" s="7" t="n">
        <x:f>DATE(2026,10,1)-F379</x:f>
        <x:v>98</x:v>
      </x:c>
      <x:c r="L379" s="7" t="n">
        <x:f>IF(K379&lt;=30,3,IF(K379&lt;=90,2,1))</x:f>
        <x:v>1</x:v>
      </x:c>
      <x:c r="M379" s="7" t="n">
        <x:f>IF(G379&gt;=8,3,IF(G379&gt;=3,2,1))</x:f>
        <x:v>3</x:v>
      </x:c>
      <x:c r="N379" s="7" t="n">
        <x:f>IF(H379&gt;=600,3,IF(H379&gt;=200,2,1))</x:f>
        <x:v>3</x:v>
      </x:c>
      <x:c r="O379" s="1" t="str">
        <x:f>IF(AND(L379=3,M379=3),"Champions",IF(AND(L379=1,M379&gt;=2),"At risk",IF(AND(L379=3,M379=1),"New",IF(AND(L379=1,M379=1),"Hibernating",IF(AND(L379=2,M379=1),"Promising","Loyal")))))</x:f>
        <x:v>At risk</x:v>
      </x:c>
    </x:row>
    <x:row r="380">
      <x:c r="A380" s="1" t="str">
        <x:v>C0379</x:v>
      </x:c>
      <x:c r="B380" s="1" t="str">
        <x:v>Diego</x:v>
      </x:c>
      <x:c r="C380" s="1" t="str">
        <x:v>customer0379@example.com</x:v>
      </x:c>
      <x:c r="D380" s="1" t="str">
        <x:v>Singapore</x:v>
      </x:c>
      <x:c r="E380" s="5" t="d">
        <x:v>2025-11-12T00:00:00.000Z</x:v>
      </x:c>
      <x:c r="F380" s="5" t="d">
        <x:v>2026-06-06T00:00:00.000Z</x:v>
      </x:c>
      <x:c r="G380" s="1" t="n">
        <x:v>12</x:v>
      </x:c>
      <x:c r="H380" s="6" t="n">
        <x:v>1386.91</x:v>
      </x:c>
      <x:c r="I380" s="1" t="n">
        <x:v>11</x:v>
      </x:c>
      <x:c r="J380" s="1" t="str">
        <x:v>web</x:v>
      </x:c>
      <x:c r="K380" s="7" t="n">
        <x:f>DATE(2026,10,1)-F380</x:f>
        <x:v>117</x:v>
      </x:c>
      <x:c r="L380" s="7" t="n">
        <x:f>IF(K380&lt;=30,3,IF(K380&lt;=90,2,1))</x:f>
        <x:v>1</x:v>
      </x:c>
      <x:c r="M380" s="7" t="n">
        <x:f>IF(G380&gt;=8,3,IF(G380&gt;=3,2,1))</x:f>
        <x:v>3</x:v>
      </x:c>
      <x:c r="N380" s="7" t="n">
        <x:f>IF(H380&gt;=600,3,IF(H380&gt;=200,2,1))</x:f>
        <x:v>3</x:v>
      </x:c>
      <x:c r="O380" s="1" t="str">
        <x:f>IF(AND(L380=3,M380=3),"Champions",IF(AND(L380=1,M380&gt;=2),"At risk",IF(AND(L380=3,M380=1),"New",IF(AND(L380=1,M380=1),"Hibernating",IF(AND(L380=2,M380=1),"Promising","Loyal")))))</x:f>
        <x:v>At risk</x:v>
      </x:c>
    </x:row>
    <x:row r="381">
      <x:c r="A381" s="1" t="str">
        <x:v>C0380</x:v>
      </x:c>
      <x:c r="B381" s="1" t="str">
        <x:v>Aarav</x:v>
      </x:c>
      <x:c r="C381" s="1" t="str">
        <x:v>customer0380@example.com</x:v>
      </x:c>
      <x:c r="D381" s="1" t="str">
        <x:v>Germany</x:v>
      </x:c>
      <x:c r="E381" s="5" t="d">
        <x:v>2024-09-12T00:00:00.000Z</x:v>
      </x:c>
      <x:c r="F381" s="5" t="d">
        <x:v>2026-08-09T00:00:00.000Z</x:v>
      </x:c>
      <x:c r="G381" s="1" t="n">
        <x:v>9</x:v>
      </x:c>
      <x:c r="H381" s="6" t="n">
        <x:v>734.53</x:v>
      </x:c>
      <x:c r="I381" s="1" t="n">
        <x:v>1</x:v>
      </x:c>
      <x:c r="J381" s="1" t="str">
        <x:v>app</x:v>
      </x:c>
      <x:c r="K381" s="7" t="n">
        <x:f>DATE(2026,10,1)-F381</x:f>
        <x:v>53</x:v>
      </x:c>
      <x:c r="L381" s="7" t="n">
        <x:f>IF(K381&lt;=30,3,IF(K381&lt;=90,2,1))</x:f>
        <x:v>2</x:v>
      </x:c>
      <x:c r="M381" s="7" t="n">
        <x:f>IF(G381&gt;=8,3,IF(G381&gt;=3,2,1))</x:f>
        <x:v>3</x:v>
      </x:c>
      <x:c r="N381" s="7" t="n">
        <x:f>IF(H381&gt;=600,3,IF(H381&gt;=200,2,1))</x:f>
        <x:v>3</x:v>
      </x:c>
      <x:c r="O381" s="1" t="str">
        <x:f>IF(AND(L381=3,M381=3),"Champions",IF(AND(L381=1,M381&gt;=2),"At risk",IF(AND(L381=3,M381=1),"New",IF(AND(L381=1,M381=1),"Hibernating",IF(AND(L381=2,M381=1),"Promising","Loyal")))))</x:f>
        <x:v>Loyal</x:v>
      </x:c>
    </x:row>
    <x:row r="382">
      <x:c r="A382" s="1" t="str">
        <x:v>C0381</x:v>
      </x:c>
      <x:c r="B382" s="1" t="str">
        <x:v>Samuel</x:v>
      </x:c>
      <x:c r="C382" s="1" t="str">
        <x:v>customer0381@example.com</x:v>
      </x:c>
      <x:c r="D382" s="1" t="str">
        <x:v>Nigeria</x:v>
      </x:c>
      <x:c r="E382" s="5" t="d">
        <x:v>2026-01-01T00:00:00.000Z</x:v>
      </x:c>
      <x:c r="F382" s="5" t="d">
        <x:v>2026-02-14T00:00:00.000Z</x:v>
      </x:c>
      <x:c r="G382" s="1" t="n">
        <x:v>8</x:v>
      </x:c>
      <x:c r="H382" s="6" t="n">
        <x:v>1080.05</x:v>
      </x:c>
      <x:c r="I382" s="1" t="n">
        <x:v>5</x:v>
      </x:c>
      <x:c r="J382" s="1" t="str">
        <x:v>app</x:v>
      </x:c>
      <x:c r="K382" s="7" t="n">
        <x:f>DATE(2026,10,1)-F382</x:f>
        <x:v>229</x:v>
      </x:c>
      <x:c r="L382" s="7" t="n">
        <x:f>IF(K382&lt;=30,3,IF(K382&lt;=90,2,1))</x:f>
        <x:v>1</x:v>
      </x:c>
      <x:c r="M382" s="7" t="n">
        <x:f>IF(G382&gt;=8,3,IF(G382&gt;=3,2,1))</x:f>
        <x:v>3</x:v>
      </x:c>
      <x:c r="N382" s="7" t="n">
        <x:f>IF(H382&gt;=600,3,IF(H382&gt;=200,2,1))</x:f>
        <x:v>3</x:v>
      </x:c>
      <x:c r="O382" s="1" t="str">
        <x:f>IF(AND(L382=3,M382=3),"Champions",IF(AND(L382=1,M382&gt;=2),"At risk",IF(AND(L382=3,M382=1),"New",IF(AND(L382=1,M382=1),"Hibernating",IF(AND(L382=2,M382=1),"Promising","Loyal")))))</x:f>
        <x:v>At risk</x:v>
      </x:c>
    </x:row>
    <x:row r="383">
      <x:c r="A383" s="1" t="str">
        <x:v>C0382</x:v>
      </x:c>
      <x:c r="B383" s="1" t="str">
        <x:v>Leila</x:v>
      </x:c>
      <x:c r="C383" s="1" t="str">
        <x:v>customer0382@example.com</x:v>
      </x:c>
      <x:c r="D383" s="1" t="str">
        <x:v>USA</x:v>
      </x:c>
      <x:c r="E383" s="5" t="d">
        <x:v>2026-07-08T00:00:00.000Z</x:v>
      </x:c>
      <x:c r="F383" s="5" t="d">
        <x:v>2026-08-11T00:00:00.000Z</x:v>
      </x:c>
      <x:c r="G383" s="1" t="n">
        <x:v>9</x:v>
      </x:c>
      <x:c r="H383" s="6" t="n">
        <x:v>622.14</x:v>
      </x:c>
      <x:c r="I383" s="1" t="n">
        <x:v>4</x:v>
      </x:c>
      <x:c r="J383" s="1" t="str">
        <x:v>web</x:v>
      </x:c>
      <x:c r="K383" s="7" t="n">
        <x:f>DATE(2026,10,1)-F383</x:f>
        <x:v>51</x:v>
      </x:c>
      <x:c r="L383" s="7" t="n">
        <x:f>IF(K383&lt;=30,3,IF(K383&lt;=90,2,1))</x:f>
        <x:v>2</x:v>
      </x:c>
      <x:c r="M383" s="7" t="n">
        <x:f>IF(G383&gt;=8,3,IF(G383&gt;=3,2,1))</x:f>
        <x:v>3</x:v>
      </x:c>
      <x:c r="N383" s="7" t="n">
        <x:f>IF(H383&gt;=600,3,IF(H383&gt;=200,2,1))</x:f>
        <x:v>3</x:v>
      </x:c>
      <x:c r="O383" s="1" t="str">
        <x:f>IF(AND(L383=3,M383=3),"Champions",IF(AND(L383=1,M383&gt;=2),"At risk",IF(AND(L383=3,M383=1),"New",IF(AND(L383=1,M383=1),"Hibernating",IF(AND(L383=2,M383=1),"Promising","Loyal")))))</x:f>
        <x:v>Loyal</x:v>
      </x:c>
    </x:row>
    <x:row r="384">
      <x:c r="A384" s="1" t="str">
        <x:v>C0383</x:v>
      </x:c>
      <x:c r="B384" s="1" t="str">
        <x:v>Noah</x:v>
      </x:c>
      <x:c r="C384" s="1" t="str">
        <x:v>customer0383@example.com</x:v>
      </x:c>
      <x:c r="D384" s="1" t="str">
        <x:v>Singapore</x:v>
      </x:c>
      <x:c r="E384" s="5" t="d">
        <x:v>2024-12-08T00:00:00.000Z</x:v>
      </x:c>
      <x:c r="F384" s="5" t="d">
        <x:v>2026-07-26T00:00:00.000Z</x:v>
      </x:c>
      <x:c r="G384" s="1" t="n">
        <x:v>3</x:v>
      </x:c>
      <x:c r="H384" s="6" t="n">
        <x:v>786.71</x:v>
      </x:c>
      <x:c r="I384" s="1" t="n">
        <x:v>12</x:v>
      </x:c>
      <x:c r="J384" s="1" t="str">
        <x:v>app</x:v>
      </x:c>
      <x:c r="K384" s="7" t="n">
        <x:f>DATE(2026,10,1)-F384</x:f>
        <x:v>67</x:v>
      </x:c>
      <x:c r="L384" s="7" t="n">
        <x:f>IF(K384&lt;=30,3,IF(K384&lt;=90,2,1))</x:f>
        <x:v>2</x:v>
      </x:c>
      <x:c r="M384" s="7" t="n">
        <x:f>IF(G384&gt;=8,3,IF(G384&gt;=3,2,1))</x:f>
        <x:v>2</x:v>
      </x:c>
      <x:c r="N384" s="7" t="n">
        <x:f>IF(H384&gt;=600,3,IF(H384&gt;=200,2,1))</x:f>
        <x:v>3</x:v>
      </x:c>
      <x:c r="O384" s="1" t="str">
        <x:f>IF(AND(L384=3,M384=3),"Champions",IF(AND(L384=1,M384&gt;=2),"At risk",IF(AND(L384=3,M384=1),"New",IF(AND(L384=1,M384=1),"Hibernating",IF(AND(L384=2,M384=1),"Promising","Loyal")))))</x:f>
        <x:v>Loyal</x:v>
      </x:c>
    </x:row>
    <x:row r="385">
      <x:c r="A385" s="1" t="str">
        <x:v>C0384</x:v>
      </x:c>
      <x:c r="B385" s="1" t="str">
        <x:v>Leila</x:v>
      </x:c>
      <x:c r="C385" s="1" t="str">
        <x:v>customer0384@example.com</x:v>
      </x:c>
      <x:c r="D385" s="1" t="str">
        <x:v>Germany</x:v>
      </x:c>
      <x:c r="E385" s="5" t="d">
        <x:v>2024-11-20T00:00:00.000Z</x:v>
      </x:c>
      <x:c r="F385" s="5" t="d">
        <x:v>2026-06-10T00:00:00.000Z</x:v>
      </x:c>
      <x:c r="G385" s="1" t="n">
        <x:v>7</x:v>
      </x:c>
      <x:c r="H385" s="6" t="n">
        <x:v>463.06</x:v>
      </x:c>
      <x:c r="I385" s="1" t="n">
        <x:v>10</x:v>
      </x:c>
      <x:c r="J385" s="1" t="str">
        <x:v>store</x:v>
      </x:c>
      <x:c r="K385" s="7" t="n">
        <x:f>DATE(2026,10,1)-F385</x:f>
        <x:v>113</x:v>
      </x:c>
      <x:c r="L385" s="7" t="n">
        <x:f>IF(K385&lt;=30,3,IF(K385&lt;=90,2,1))</x:f>
        <x:v>1</x:v>
      </x:c>
      <x:c r="M385" s="7" t="n">
        <x:f>IF(G385&gt;=8,3,IF(G385&gt;=3,2,1))</x:f>
        <x:v>2</x:v>
      </x:c>
      <x:c r="N385" s="7" t="n">
        <x:f>IF(H385&gt;=600,3,IF(H385&gt;=200,2,1))</x:f>
        <x:v>2</x:v>
      </x:c>
      <x:c r="O385" s="1" t="str">
        <x:f>IF(AND(L385=3,M385=3),"Champions",IF(AND(L385=1,M385&gt;=2),"At risk",IF(AND(L385=3,M385=1),"New",IF(AND(L385=1,M385=1),"Hibernating",IF(AND(L385=2,M385=1),"Promising","Loyal")))))</x:f>
        <x:v>At risk</x:v>
      </x:c>
    </x:row>
    <x:row r="386">
      <x:c r="A386" s="1" t="str">
        <x:v>C0385</x:v>
      </x:c>
      <x:c r="B386" s="1" t="str">
        <x:v>Arjun</x:v>
      </x:c>
      <x:c r="C386" s="1" t="str">
        <x:v>customer0385@example.com</x:v>
      </x:c>
      <x:c r="D386" s="1" t="str">
        <x:v>Germany</x:v>
      </x:c>
      <x:c r="E386" s="5" t="d">
        <x:v>2024-11-18T00:00:00.000Z</x:v>
      </x:c>
      <x:c r="F386" s="5" t="d">
        <x:v>2026-05-23T00:00:00.000Z</x:v>
      </x:c>
      <x:c r="G386" s="1" t="n">
        <x:v>12</x:v>
      </x:c>
      <x:c r="H386" s="6" t="n">
        <x:v>1256.71</x:v>
      </x:c>
      <x:c r="I386" s="1" t="n">
        <x:v>7</x:v>
      </x:c>
      <x:c r="J386" s="1" t="str">
        <x:v>app</x:v>
      </x:c>
      <x:c r="K386" s="7" t="n">
        <x:f>DATE(2026,10,1)-F386</x:f>
        <x:v>131</x:v>
      </x:c>
      <x:c r="L386" s="7" t="n">
        <x:f>IF(K386&lt;=30,3,IF(K386&lt;=90,2,1))</x:f>
        <x:v>1</x:v>
      </x:c>
      <x:c r="M386" s="7" t="n">
        <x:f>IF(G386&gt;=8,3,IF(G386&gt;=3,2,1))</x:f>
        <x:v>3</x:v>
      </x:c>
      <x:c r="N386" s="7" t="n">
        <x:f>IF(H386&gt;=600,3,IF(H386&gt;=200,2,1))</x:f>
        <x:v>3</x:v>
      </x:c>
      <x:c r="O386" s="1" t="str">
        <x:f>IF(AND(L386=3,M386=3),"Champions",IF(AND(L386=1,M386&gt;=2),"At risk",IF(AND(L386=3,M386=1),"New",IF(AND(L386=1,M386=1),"Hibernating",IF(AND(L386=2,M386=1),"Promising","Loyal")))))</x:f>
        <x:v>At risk</x:v>
      </x:c>
    </x:row>
    <x:row r="387">
      <x:c r="A387" s="1" t="str">
        <x:v>C0386</x:v>
      </x:c>
      <x:c r="B387" s="1" t="str">
        <x:v>Yara</x:v>
      </x:c>
      <x:c r="C387" s="1" t="str">
        <x:v>customer0386@example.com</x:v>
      </x:c>
      <x:c r="D387" s="1" t="str">
        <x:v>India</x:v>
      </x:c>
      <x:c r="E387" s="5" t="d">
        <x:v>2026-08-25T00:00:00.000Z</x:v>
      </x:c>
      <x:c r="F387" s="5" t="d">
        <x:v>2026-09-26T00:00:00.000Z</x:v>
      </x:c>
      <x:c r="G387" s="1" t="n">
        <x:v>15</x:v>
      </x:c>
      <x:c r="H387" s="6" t="n">
        <x:v>1402.84</x:v>
      </x:c>
      <x:c r="I387" s="1" t="n">
        <x:v>1</x:v>
      </x:c>
      <x:c r="J387" s="1" t="str">
        <x:v>app</x:v>
      </x:c>
      <x:c r="K387" s="7" t="n">
        <x:f>DATE(2026,10,1)-F387</x:f>
        <x:v>5</x:v>
      </x:c>
      <x:c r="L387" s="7" t="n">
        <x:f>IF(K387&lt;=30,3,IF(K387&lt;=90,2,1))</x:f>
        <x:v>3</x:v>
      </x:c>
      <x:c r="M387" s="7" t="n">
        <x:f>IF(G387&gt;=8,3,IF(G387&gt;=3,2,1))</x:f>
        <x:v>3</x:v>
      </x:c>
      <x:c r="N387" s="7" t="n">
        <x:f>IF(H387&gt;=600,3,IF(H387&gt;=200,2,1))</x:f>
        <x:v>3</x:v>
      </x:c>
      <x:c r="O387" s="1" t="str">
        <x:f>IF(AND(L387=3,M387=3),"Champions",IF(AND(L387=1,M387&gt;=2),"At risk",IF(AND(L387=3,M387=1),"New",IF(AND(L387=1,M387=1),"Hibernating",IF(AND(L387=2,M387=1),"Promising","Loyal")))))</x:f>
        <x:v>Champions</x:v>
      </x:c>
    </x:row>
    <x:row r="388">
      <x:c r="A388" s="1" t="str">
        <x:v>C0387</x:v>
      </x:c>
      <x:c r="B388" s="1" t="str">
        <x:v>Arjun</x:v>
      </x:c>
      <x:c r="C388" s="1" t="str">
        <x:v>customer0387@example.com</x:v>
      </x:c>
      <x:c r="D388" s="1" t="str">
        <x:v>Australia</x:v>
      </x:c>
      <x:c r="E388" s="5" t="d">
        <x:v>2026-08-31T00:00:00.000Z</x:v>
      </x:c>
      <x:c r="F388" s="5" t="d">
        <x:v>2026-09-10T00:00:00.000Z</x:v>
      </x:c>
      <x:c r="G388" s="1" t="n">
        <x:v>2</x:v>
      </x:c>
      <x:c r="H388" s="6" t="n">
        <x:v>154.87</x:v>
      </x:c>
      <x:c r="I388" s="1" t="n">
        <x:v>6</x:v>
      </x:c>
      <x:c r="J388" s="1" t="str">
        <x:v>app</x:v>
      </x:c>
      <x:c r="K388" s="7" t="n">
        <x:f>DATE(2026,10,1)-F388</x:f>
        <x:v>21</x:v>
      </x:c>
      <x:c r="L388" s="7" t="n">
        <x:f>IF(K388&lt;=30,3,IF(K388&lt;=90,2,1))</x:f>
        <x:v>3</x:v>
      </x:c>
      <x:c r="M388" s="7" t="n">
        <x:f>IF(G388&gt;=8,3,IF(G388&gt;=3,2,1))</x:f>
        <x:v>1</x:v>
      </x:c>
      <x:c r="N388" s="7" t="n">
        <x:f>IF(H388&gt;=600,3,IF(H388&gt;=200,2,1))</x:f>
        <x:v>1</x:v>
      </x:c>
      <x:c r="O388" s="1" t="str">
        <x:f>IF(AND(L388=3,M388=3),"Champions",IF(AND(L388=1,M388&gt;=2),"At risk",IF(AND(L388=3,M388=1),"New",IF(AND(L388=1,M388=1),"Hibernating",IF(AND(L388=2,M388=1),"Promising","Loyal")))))</x:f>
        <x:v>New</x:v>
      </x:c>
    </x:row>
    <x:row r="389">
      <x:c r="A389" s="1" t="str">
        <x:v>C0388</x:v>
      </x:c>
      <x:c r="B389" s="1" t="str">
        <x:v>Ines</x:v>
      </x:c>
      <x:c r="C389" s="1" t="str">
        <x:v>customer0388@example.com</x:v>
      </x:c>
      <x:c r="D389" s="1" t="str">
        <x:v>UK</x:v>
      </x:c>
      <x:c r="E389" s="5" t="d">
        <x:v>2025-10-07T00:00:00.000Z</x:v>
      </x:c>
      <x:c r="F389" s="5" t="d">
        <x:v>2026-05-16T00:00:00.000Z</x:v>
      </x:c>
      <x:c r="G389" s="1" t="n">
        <x:v>2</x:v>
      </x:c>
      <x:c r="H389" s="6" t="n">
        <x:v>72.62</x:v>
      </x:c>
      <x:c r="I389" s="1" t="n">
        <x:v>9</x:v>
      </x:c>
      <x:c r="J389" s="1" t="str">
        <x:v>store</x:v>
      </x:c>
      <x:c r="K389" s="7" t="n">
        <x:f>DATE(2026,10,1)-F389</x:f>
        <x:v>138</x:v>
      </x:c>
      <x:c r="L389" s="7" t="n">
        <x:f>IF(K389&lt;=30,3,IF(K389&lt;=90,2,1))</x:f>
        <x:v>1</x:v>
      </x:c>
      <x:c r="M389" s="7" t="n">
        <x:f>IF(G389&gt;=8,3,IF(G389&gt;=3,2,1))</x:f>
        <x:v>1</x:v>
      </x:c>
      <x:c r="N389" s="7" t="n">
        <x:f>IF(H389&gt;=600,3,IF(H389&gt;=200,2,1))</x:f>
        <x:v>1</x:v>
      </x:c>
      <x:c r="O389" s="1" t="str">
        <x:f>IF(AND(L389=3,M389=3),"Champions",IF(AND(L389=1,M389&gt;=2),"At risk",IF(AND(L389=3,M389=1),"New",IF(AND(L389=1,M389=1),"Hibernating",IF(AND(L389=2,M389=1),"Promising","Loyal")))))</x:f>
        <x:v>Hibernating</x:v>
      </x:c>
    </x:row>
    <x:row r="390">
      <x:c r="A390" s="1" t="str">
        <x:v>C0389</x:v>
      </x:c>
      <x:c r="B390" s="1" t="str">
        <x:v>Diego</x:v>
      </x:c>
      <x:c r="C390" s="1" t="str">
        <x:v>customer0389@example.com</x:v>
      </x:c>
      <x:c r="D390" s="1" t="str">
        <x:v>Australia</x:v>
      </x:c>
      <x:c r="E390" s="5" t="d">
        <x:v>2025-10-21T00:00:00.000Z</x:v>
      </x:c>
      <x:c r="F390" s="5" t="d">
        <x:v>2026-09-25T00:00:00.000Z</x:v>
      </x:c>
      <x:c r="G390" s="1" t="n">
        <x:v>13</x:v>
      </x:c>
      <x:c r="H390" s="6" t="n">
        <x:v>1763.59</x:v>
      </x:c>
      <x:c r="I390" s="1" t="n">
        <x:v>6</x:v>
      </x:c>
      <x:c r="J390" s="1" t="str">
        <x:v>web</x:v>
      </x:c>
      <x:c r="K390" s="7" t="n">
        <x:f>DATE(2026,10,1)-F390</x:f>
        <x:v>6</x:v>
      </x:c>
      <x:c r="L390" s="7" t="n">
        <x:f>IF(K390&lt;=30,3,IF(K390&lt;=90,2,1))</x:f>
        <x:v>3</x:v>
      </x:c>
      <x:c r="M390" s="7" t="n">
        <x:f>IF(G390&gt;=8,3,IF(G390&gt;=3,2,1))</x:f>
        <x:v>3</x:v>
      </x:c>
      <x:c r="N390" s="7" t="n">
        <x:f>IF(H390&gt;=600,3,IF(H390&gt;=200,2,1))</x:f>
        <x:v>3</x:v>
      </x:c>
      <x:c r="O390" s="1" t="str">
        <x:f>IF(AND(L390=3,M390=3),"Champions",IF(AND(L390=1,M390&gt;=2),"At risk",IF(AND(L390=3,M390=1),"New",IF(AND(L390=1,M390=1),"Hibernating",IF(AND(L390=2,M390=1),"Promising","Loyal")))))</x:f>
        <x:v>Champions</x:v>
      </x:c>
    </x:row>
    <x:row r="391">
      <x:c r="A391" s="1" t="str">
        <x:v>C0390</x:v>
      </x:c>
      <x:c r="B391" s="1" t="str">
        <x:v>Aarav</x:v>
      </x:c>
      <x:c r="C391" s="1" t="str">
        <x:v>customer0390@example.com</x:v>
      </x:c>
      <x:c r="D391" s="1" t="str">
        <x:v>USA</x:v>
      </x:c>
      <x:c r="E391" s="5" t="d">
        <x:v>2025-12-21T00:00:00.000Z</x:v>
      </x:c>
      <x:c r="F391" s="5" t="d">
        <x:v>2026-08-10T00:00:00.000Z</x:v>
      </x:c>
      <x:c r="G391" s="1" t="n">
        <x:v>7</x:v>
      </x:c>
      <x:c r="H391" s="6" t="n">
        <x:v>538.41</x:v>
      </x:c>
      <x:c r="I391" s="1" t="n">
        <x:v>7</x:v>
      </x:c>
      <x:c r="J391" s="1" t="str">
        <x:v>store</x:v>
      </x:c>
      <x:c r="K391" s="7" t="n">
        <x:f>DATE(2026,10,1)-F391</x:f>
        <x:v>52</x:v>
      </x:c>
      <x:c r="L391" s="7" t="n">
        <x:f>IF(K391&lt;=30,3,IF(K391&lt;=90,2,1))</x:f>
        <x:v>2</x:v>
      </x:c>
      <x:c r="M391" s="7" t="n">
        <x:f>IF(G391&gt;=8,3,IF(G391&gt;=3,2,1))</x:f>
        <x:v>2</x:v>
      </x:c>
      <x:c r="N391" s="7" t="n">
        <x:f>IF(H391&gt;=600,3,IF(H391&gt;=200,2,1))</x:f>
        <x:v>2</x:v>
      </x:c>
      <x:c r="O391" s="1" t="str">
        <x:f>IF(AND(L391=3,M391=3),"Champions",IF(AND(L391=1,M391&gt;=2),"At risk",IF(AND(L391=3,M391=1),"New",IF(AND(L391=1,M391=1),"Hibernating",IF(AND(L391=2,M391=1),"Promising","Loyal")))))</x:f>
        <x:v>Loyal</x:v>
      </x:c>
    </x:row>
    <x:row r="392">
      <x:c r="A392" s="1" t="str">
        <x:v>C0391</x:v>
      </x:c>
      <x:c r="B392" s="1" t="str">
        <x:v>Mateo</x:v>
      </x:c>
      <x:c r="C392" s="1" t="str">
        <x:v>customer0391@example.com</x:v>
      </x:c>
      <x:c r="D392" s="1" t="str">
        <x:v>Germany</x:v>
      </x:c>
      <x:c r="E392" s="5" t="d">
        <x:v>2025-12-21T00:00:00.000Z</x:v>
      </x:c>
      <x:c r="F392" s="5" t="d">
        <x:v>2026-09-26T00:00:00.000Z</x:v>
      </x:c>
      <x:c r="G392" s="1" t="n">
        <x:v>19</x:v>
      </x:c>
      <x:c r="H392" s="6" t="n">
        <x:v>1673.56</x:v>
      </x:c>
      <x:c r="I392" s="1" t="n">
        <x:v>1</x:v>
      </x:c>
      <x:c r="J392" s="1" t="str">
        <x:v>store</x:v>
      </x:c>
      <x:c r="K392" s="7" t="n">
        <x:f>DATE(2026,10,1)-F392</x:f>
        <x:v>5</x:v>
      </x:c>
      <x:c r="L392" s="7" t="n">
        <x:f>IF(K392&lt;=30,3,IF(K392&lt;=90,2,1))</x:f>
        <x:v>3</x:v>
      </x:c>
      <x:c r="M392" s="7" t="n">
        <x:f>IF(G392&gt;=8,3,IF(G392&gt;=3,2,1))</x:f>
        <x:v>3</x:v>
      </x:c>
      <x:c r="N392" s="7" t="n">
        <x:f>IF(H392&gt;=600,3,IF(H392&gt;=200,2,1))</x:f>
        <x:v>3</x:v>
      </x:c>
      <x:c r="O392" s="1" t="str">
        <x:f>IF(AND(L392=3,M392=3),"Champions",IF(AND(L392=1,M392&gt;=2),"At risk",IF(AND(L392=3,M392=1),"New",IF(AND(L392=1,M392=1),"Hibernating",IF(AND(L392=2,M392=1),"Promising","Loyal")))))</x:f>
        <x:v>Champions</x:v>
      </x:c>
    </x:row>
    <x:row r="393">
      <x:c r="A393" s="1" t="str">
        <x:v>C0392</x:v>
      </x:c>
      <x:c r="B393" s="1" t="str">
        <x:v>Leila</x:v>
      </x:c>
      <x:c r="C393" s="1" t="str">
        <x:v>customer0392@example.com</x:v>
      </x:c>
      <x:c r="D393" s="1" t="str">
        <x:v>Japan</x:v>
      </x:c>
      <x:c r="E393" s="5" t="d">
        <x:v>2025-11-19T00:00:00.000Z</x:v>
      </x:c>
      <x:c r="F393" s="5" t="d">
        <x:v>2025-12-23T00:00:00.000Z</x:v>
      </x:c>
      <x:c r="G393" s="1" t="n">
        <x:v>1</x:v>
      </x:c>
      <x:c r="H393" s="6" t="n">
        <x:v>188.63</x:v>
      </x:c>
      <x:c r="I393" s="1" t="n">
        <x:v>12</x:v>
      </x:c>
      <x:c r="J393" s="1" t="str">
        <x:v>app</x:v>
      </x:c>
      <x:c r="K393" s="7" t="n">
        <x:f>DATE(2026,10,1)-F393</x:f>
        <x:v>282</x:v>
      </x:c>
      <x:c r="L393" s="7" t="n">
        <x:f>IF(K393&lt;=30,3,IF(K393&lt;=90,2,1))</x:f>
        <x:v>1</x:v>
      </x:c>
      <x:c r="M393" s="7" t="n">
        <x:f>IF(G393&gt;=8,3,IF(G393&gt;=3,2,1))</x:f>
        <x:v>1</x:v>
      </x:c>
      <x:c r="N393" s="7" t="n">
        <x:f>IF(H393&gt;=600,3,IF(H393&gt;=200,2,1))</x:f>
        <x:v>1</x:v>
      </x:c>
      <x:c r="O393" s="1" t="str">
        <x:f>IF(AND(L393=3,M393=3),"Champions",IF(AND(L393=1,M393&gt;=2),"At risk",IF(AND(L393=3,M393=1),"New",IF(AND(L393=1,M393=1),"Hibernating",IF(AND(L393=2,M393=1),"Promising","Loyal")))))</x:f>
        <x:v>Hibernating</x:v>
      </x:c>
    </x:row>
    <x:row r="394">
      <x:c r="A394" s="1" t="str">
        <x:v>C0393</x:v>
      </x:c>
      <x:c r="B394" s="1" t="str">
        <x:v>Yara</x:v>
      </x:c>
      <x:c r="C394" s="1" t="str">
        <x:v>customer0393@example.com</x:v>
      </x:c>
      <x:c r="D394" s="1" t="str">
        <x:v>USA</x:v>
      </x:c>
      <x:c r="E394" s="5" t="d">
        <x:v>2025-02-02T00:00:00.000Z</x:v>
      </x:c>
      <x:c r="F394" s="5" t="d">
        <x:v>2025-11-17T00:00:00.000Z</x:v>
      </x:c>
      <x:c r="G394" s="1" t="n">
        <x:v>1</x:v>
      </x:c>
      <x:c r="H394" s="6" t="n">
        <x:v>78.51</x:v>
      </x:c>
      <x:c r="I394" s="1" t="n">
        <x:v>12</x:v>
      </x:c>
      <x:c r="J394" s="1" t="str">
        <x:v>app</x:v>
      </x:c>
      <x:c r="K394" s="7" t="n">
        <x:f>DATE(2026,10,1)-F394</x:f>
        <x:v>318</x:v>
      </x:c>
      <x:c r="L394" s="7" t="n">
        <x:f>IF(K394&lt;=30,3,IF(K394&lt;=90,2,1))</x:f>
        <x:v>1</x:v>
      </x:c>
      <x:c r="M394" s="7" t="n">
        <x:f>IF(G394&gt;=8,3,IF(G394&gt;=3,2,1))</x:f>
        <x:v>1</x:v>
      </x:c>
      <x:c r="N394" s="7" t="n">
        <x:f>IF(H394&gt;=600,3,IF(H394&gt;=200,2,1))</x:f>
        <x:v>1</x:v>
      </x:c>
      <x:c r="O394" s="1" t="str">
        <x:f>IF(AND(L394=3,M394=3),"Champions",IF(AND(L394=1,M394&gt;=2),"At risk",IF(AND(L394=3,M394=1),"New",IF(AND(L394=1,M394=1),"Hibernating",IF(AND(L394=2,M394=1),"Promising","Loyal")))))</x:f>
        <x:v>Hibernating</x:v>
      </x:c>
    </x:row>
    <x:row r="395">
      <x:c r="A395" s="1" t="str">
        <x:v>C0394</x:v>
      </x:c>
      <x:c r="B395" s="1" t="str">
        <x:v>Mei</x:v>
      </x:c>
      <x:c r="C395" s="1" t="str">
        <x:v>customer0394@example.com</x:v>
      </x:c>
      <x:c r="D395" s="1" t="str">
        <x:v>USA</x:v>
      </x:c>
      <x:c r="E395" s="5" t="d">
        <x:v>2026-08-20T00:00:00.000Z</x:v>
      </x:c>
      <x:c r="F395" s="5" t="d">
        <x:v>2026-09-21T00:00:00.000Z</x:v>
      </x:c>
      <x:c r="G395" s="1" t="n">
        <x:v>2</x:v>
      </x:c>
      <x:c r="H395" s="6" t="n">
        <x:v>138.33</x:v>
      </x:c>
      <x:c r="I395" s="1" t="n">
        <x:v>5</x:v>
      </x:c>
      <x:c r="J395" s="1" t="str">
        <x:v>store</x:v>
      </x:c>
      <x:c r="K395" s="7" t="n">
        <x:f>DATE(2026,10,1)-F395</x:f>
        <x:v>10</x:v>
      </x:c>
      <x:c r="L395" s="7" t="n">
        <x:f>IF(K395&lt;=30,3,IF(K395&lt;=90,2,1))</x:f>
        <x:v>3</x:v>
      </x:c>
      <x:c r="M395" s="7" t="n">
        <x:f>IF(G395&gt;=8,3,IF(G395&gt;=3,2,1))</x:f>
        <x:v>1</x:v>
      </x:c>
      <x:c r="N395" s="7" t="n">
        <x:f>IF(H395&gt;=600,3,IF(H395&gt;=200,2,1))</x:f>
        <x:v>1</x:v>
      </x:c>
      <x:c r="O395" s="1" t="str">
        <x:f>IF(AND(L395=3,M395=3),"Champions",IF(AND(L395=1,M395&gt;=2),"At risk",IF(AND(L395=3,M395=1),"New",IF(AND(L395=1,M395=1),"Hibernating",IF(AND(L395=2,M395=1),"Promising","Loyal")))))</x:f>
        <x:v>New</x:v>
      </x:c>
    </x:row>
    <x:row r="396">
      <x:c r="A396" s="1" t="str">
        <x:v>C0395</x:v>
      </x:c>
      <x:c r="B396" s="1" t="str">
        <x:v>Jonas</x:v>
      </x:c>
      <x:c r="C396" s="1" t="str">
        <x:v>customer0395@example.com</x:v>
      </x:c>
      <x:c r="D396" s="1" t="str">
        <x:v>Australia</x:v>
      </x:c>
      <x:c r="E396" s="5" t="d">
        <x:v>2026-08-31T00:00:00.000Z</x:v>
      </x:c>
      <x:c r="F396" s="5" t="d">
        <x:v>2026-09-20T00:00:00.000Z</x:v>
      </x:c>
      <x:c r="G396" s="1" t="n">
        <x:v>1</x:v>
      </x:c>
      <x:c r="H396" s="6" t="n">
        <x:v>132.68</x:v>
      </x:c>
      <x:c r="I396" s="1" t="n">
        <x:v>8</x:v>
      </x:c>
      <x:c r="J396" s="1" t="str">
        <x:v>web</x:v>
      </x:c>
      <x:c r="K396" s="7" t="n">
        <x:f>DATE(2026,10,1)-F396</x:f>
        <x:v>11</x:v>
      </x:c>
      <x:c r="L396" s="7" t="n">
        <x:f>IF(K396&lt;=30,3,IF(K396&lt;=90,2,1))</x:f>
        <x:v>3</x:v>
      </x:c>
      <x:c r="M396" s="7" t="n">
        <x:f>IF(G396&gt;=8,3,IF(G396&gt;=3,2,1))</x:f>
        <x:v>1</x:v>
      </x:c>
      <x:c r="N396" s="7" t="n">
        <x:f>IF(H396&gt;=600,3,IF(H396&gt;=200,2,1))</x:f>
        <x:v>1</x:v>
      </x:c>
      <x:c r="O396" s="1" t="str">
        <x:f>IF(AND(L396=3,M396=3),"Champions",IF(AND(L396=1,M396&gt;=2),"At risk",IF(AND(L396=3,M396=1),"New",IF(AND(L396=1,M396=1),"Hibernating",IF(AND(L396=2,M396=1),"Promising","Loyal")))))</x:f>
        <x:v>New</x:v>
      </x:c>
    </x:row>
    <x:row r="397">
      <x:c r="A397" s="1" t="str">
        <x:v>C0396</x:v>
      </x:c>
      <x:c r="B397" s="1" t="str">
        <x:v>Aarav</x:v>
      </x:c>
      <x:c r="C397" s="1" t="str">
        <x:v>customer0396@example.com</x:v>
      </x:c>
      <x:c r="D397" s="1" t="str">
        <x:v>Australia</x:v>
      </x:c>
      <x:c r="E397" s="5" t="d">
        <x:v>2025-07-28T00:00:00.000Z</x:v>
      </x:c>
      <x:c r="F397" s="5" t="d">
        <x:v>2026-02-23T00:00:00.000Z</x:v>
      </x:c>
      <x:c r="G397" s="1" t="n">
        <x:v>2</x:v>
      </x:c>
      <x:c r="H397" s="6" t="n">
        <x:v>41.39</x:v>
      </x:c>
      <x:c r="I397" s="1" t="n">
        <x:v>6</x:v>
      </x:c>
      <x:c r="J397" s="1" t="str">
        <x:v>web</x:v>
      </x:c>
      <x:c r="K397" s="7" t="n">
        <x:f>DATE(2026,10,1)-F397</x:f>
        <x:v>220</x:v>
      </x:c>
      <x:c r="L397" s="7" t="n">
        <x:f>IF(K397&lt;=30,3,IF(K397&lt;=90,2,1))</x:f>
        <x:v>1</x:v>
      </x:c>
      <x:c r="M397" s="7" t="n">
        <x:f>IF(G397&gt;=8,3,IF(G397&gt;=3,2,1))</x:f>
        <x:v>1</x:v>
      </x:c>
      <x:c r="N397" s="7" t="n">
        <x:f>IF(H397&gt;=600,3,IF(H397&gt;=200,2,1))</x:f>
        <x:v>1</x:v>
      </x:c>
      <x:c r="O397" s="1" t="str">
        <x:f>IF(AND(L397=3,M397=3),"Champions",IF(AND(L397=1,M397&gt;=2),"At risk",IF(AND(L397=3,M397=1),"New",IF(AND(L397=1,M397=1),"Hibernating",IF(AND(L397=2,M397=1),"Promising","Loyal")))))</x:f>
        <x:v>Hibernating</x:v>
      </x:c>
    </x:row>
    <x:row r="398">
      <x:c r="A398" s="1" t="str">
        <x:v>C0397</x:v>
      </x:c>
      <x:c r="B398" s="1" t="str">
        <x:v>Ines</x:v>
      </x:c>
      <x:c r="C398" s="1" t="str">
        <x:v>customer0397@example.com</x:v>
      </x:c>
      <x:c r="D398" s="1" t="str">
        <x:v>Germany</x:v>
      </x:c>
      <x:c r="E398" s="5" t="d">
        <x:v>2025-11-16T00:00:00.000Z</x:v>
      </x:c>
      <x:c r="F398" s="5" t="d">
        <x:v>2026-04-12T00:00:00.000Z</x:v>
      </x:c>
      <x:c r="G398" s="1" t="n">
        <x:v>5</x:v>
      </x:c>
      <x:c r="H398" s="6" t="n">
        <x:v>924.81</x:v>
      </x:c>
      <x:c r="I398" s="1" t="n">
        <x:v>4</x:v>
      </x:c>
      <x:c r="J398" s="1" t="str">
        <x:v>store</x:v>
      </x:c>
      <x:c r="K398" s="7" t="n">
        <x:f>DATE(2026,10,1)-F398</x:f>
        <x:v>172</x:v>
      </x:c>
      <x:c r="L398" s="7" t="n">
        <x:f>IF(K398&lt;=30,3,IF(K398&lt;=90,2,1))</x:f>
        <x:v>1</x:v>
      </x:c>
      <x:c r="M398" s="7" t="n">
        <x:f>IF(G398&gt;=8,3,IF(G398&gt;=3,2,1))</x:f>
        <x:v>2</x:v>
      </x:c>
      <x:c r="N398" s="7" t="n">
        <x:f>IF(H398&gt;=600,3,IF(H398&gt;=200,2,1))</x:f>
        <x:v>3</x:v>
      </x:c>
      <x:c r="O398" s="1" t="str">
        <x:f>IF(AND(L398=3,M398=3),"Champions",IF(AND(L398=1,M398&gt;=2),"At risk",IF(AND(L398=3,M398=1),"New",IF(AND(L398=1,M398=1),"Hibernating",IF(AND(L398=2,M398=1),"Promising","Loyal")))))</x:f>
        <x:v>At risk</x:v>
      </x:c>
    </x:row>
    <x:row r="399">
      <x:c r="A399" s="1" t="str">
        <x:v>C0398</x:v>
      </x:c>
      <x:c r="B399" s="1" t="str">
        <x:v>Diego</x:v>
      </x:c>
      <x:c r="C399" s="1" t="str">
        <x:v>customer0398@example.com</x:v>
      </x:c>
      <x:c r="D399" s="1" t="str">
        <x:v>Singapore</x:v>
      </x:c>
      <x:c r="E399" s="5" t="d">
        <x:v>2026-08-28T00:00:00.000Z</x:v>
      </x:c>
      <x:c r="F399" s="5" t="d">
        <x:v>2026-09-09T00:00:00.000Z</x:v>
      </x:c>
      <x:c r="G399" s="1" t="n">
        <x:v>2</x:v>
      </x:c>
      <x:c r="H399" s="6" t="n">
        <x:v>31.76</x:v>
      </x:c>
      <x:c r="I399" s="1" t="n">
        <x:v>9</x:v>
      </x:c>
      <x:c r="J399" s="1" t="str">
        <x:v>app</x:v>
      </x:c>
      <x:c r="K399" s="7" t="n">
        <x:f>DATE(2026,10,1)-F399</x:f>
        <x:v>22</x:v>
      </x:c>
      <x:c r="L399" s="7" t="n">
        <x:f>IF(K399&lt;=30,3,IF(K399&lt;=90,2,1))</x:f>
        <x:v>3</x:v>
      </x:c>
      <x:c r="M399" s="7" t="n">
        <x:f>IF(G399&gt;=8,3,IF(G399&gt;=3,2,1))</x:f>
        <x:v>1</x:v>
      </x:c>
      <x:c r="N399" s="7" t="n">
        <x:f>IF(H399&gt;=600,3,IF(H399&gt;=200,2,1))</x:f>
        <x:v>1</x:v>
      </x:c>
      <x:c r="O399" s="1" t="str">
        <x:f>IF(AND(L399=3,M399=3),"Champions",IF(AND(L399=1,M399&gt;=2),"At risk",IF(AND(L399=3,M399=1),"New",IF(AND(L399=1,M399=1),"Hibernating",IF(AND(L399=2,M399=1),"Promising","Loyal")))))</x:f>
        <x:v>New</x:v>
      </x:c>
    </x:row>
    <x:row r="400">
      <x:c r="A400" s="1" t="str">
        <x:v>C0399</x:v>
      </x:c>
      <x:c r="B400" s="1" t="str">
        <x:v>Elena</x:v>
      </x:c>
      <x:c r="C400" s="1" t="str">
        <x:v>customer0399@example.com</x:v>
      </x:c>
      <x:c r="D400" s="1" t="str">
        <x:v>Singapore</x:v>
      </x:c>
      <x:c r="E400" s="5" t="d">
        <x:v>2025-05-26T00:00:00.000Z</x:v>
      </x:c>
      <x:c r="F400" s="5" t="d">
        <x:v>2026-08-07T00:00:00.000Z</x:v>
      </x:c>
      <x:c r="G400" s="1" t="n">
        <x:v>6</x:v>
      </x:c>
      <x:c r="H400" s="6" t="n">
        <x:v>449.88</x:v>
      </x:c>
      <x:c r="I400" s="1" t="n">
        <x:v>7</x:v>
      </x:c>
      <x:c r="J400" s="1" t="str">
        <x:v>web</x:v>
      </x:c>
      <x:c r="K400" s="7" t="n">
        <x:f>DATE(2026,10,1)-F400</x:f>
        <x:v>55</x:v>
      </x:c>
      <x:c r="L400" s="7" t="n">
        <x:f>IF(K400&lt;=30,3,IF(K400&lt;=90,2,1))</x:f>
        <x:v>2</x:v>
      </x:c>
      <x:c r="M400" s="7" t="n">
        <x:f>IF(G400&gt;=8,3,IF(G400&gt;=3,2,1))</x:f>
        <x:v>2</x:v>
      </x:c>
      <x:c r="N400" s="7" t="n">
        <x:f>IF(H400&gt;=600,3,IF(H400&gt;=200,2,1))</x:f>
        <x:v>2</x:v>
      </x:c>
      <x:c r="O400" s="1" t="str">
        <x:f>IF(AND(L400=3,M400=3),"Champions",IF(AND(L400=1,M400&gt;=2),"At risk",IF(AND(L400=3,M400=1),"New",IF(AND(L400=1,M400=1),"Hibernating",IF(AND(L400=2,M400=1),"Promising","Loyal")))))</x:f>
        <x:v>Loyal</x:v>
      </x:c>
    </x:row>
    <x:row r="401">
      <x:c r="A401" s="1" t="str">
        <x:v>C0400</x:v>
      </x:c>
      <x:c r="B401" s="1" t="str">
        <x:v>Felix</x:v>
      </x:c>
      <x:c r="C401" s="1" t="str">
        <x:v>customer0400@example.com</x:v>
      </x:c>
      <x:c r="D401" s="1" t="str">
        <x:v>Germany</x:v>
      </x:c>
      <x:c r="E401" s="5" t="d">
        <x:v>2025-08-18T00:00:00.000Z</x:v>
      </x:c>
      <x:c r="F401" s="5" t="d">
        <x:v>2026-02-02T00:00:00.000Z</x:v>
      </x:c>
      <x:c r="G401" s="1" t="n">
        <x:v>2</x:v>
      </x:c>
      <x:c r="H401" s="6" t="n">
        <x:v>110.63</x:v>
      </x:c>
      <x:c r="I401" s="1" t="n">
        <x:v>3</x:v>
      </x:c>
      <x:c r="J401" s="1" t="str">
        <x:v>store</x:v>
      </x:c>
      <x:c r="K401" s="7" t="n">
        <x:f>DATE(2026,10,1)-F401</x:f>
        <x:v>241</x:v>
      </x:c>
      <x:c r="L401" s="7" t="n">
        <x:f>IF(K401&lt;=30,3,IF(K401&lt;=90,2,1))</x:f>
        <x:v>1</x:v>
      </x:c>
      <x:c r="M401" s="7" t="n">
        <x:f>IF(G401&gt;=8,3,IF(G401&gt;=3,2,1))</x:f>
        <x:v>1</x:v>
      </x:c>
      <x:c r="N401" s="7" t="n">
        <x:f>IF(H401&gt;=600,3,IF(H401&gt;=200,2,1))</x:f>
        <x:v>1</x:v>
      </x:c>
      <x:c r="O401" s="1" t="str">
        <x:f>IF(AND(L401=3,M401=3),"Champions",IF(AND(L401=1,M401&gt;=2),"At risk",IF(AND(L401=3,M401=1),"New",IF(AND(L401=1,M401=1),"Hibernating",IF(AND(L401=2,M401=1),"Promising","Loyal")))))</x:f>
        <x:v>Hibernating</x:v>
      </x:c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  <x:tableParts count="1">
    <x:tablePart xmlns:r="http://schemas.openxmlformats.org/officeDocument/2006/relationships" r:id="Rdf6e1d01260649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" hidden="0" customWidth="1"/>
    <x:col min="2" max="2" width="12.630000114440918" hidden="0" customWidth="1"/>
    <x:col min="3" max="3" width="4" hidden="0" customWidth="1"/>
    <x:col min="4" max="4" width="14.25" hidden="0" customWidth="1"/>
    <x:col min="5" max="5" width="16.75" hidden="0" customWidth="1"/>
    <x:col min="6" max="6" width="15.25" hidden="0" customWidth="1"/>
    <x:col min="7" max="7" width="18.25" hidden="0" customWidth="1"/>
    <x:col min="8" max="8" width="18.1299991607666" hidden="0" customWidth="1"/>
    <x:col min="9" max="9" width="16.25" hidden="0" customWidth="1"/>
    <x:col min="10" max="10" width="7.130000114440918" hidden="0" customWidth="1"/>
    <x:col min="12" max="12" width="53.130001068115234" hidden="0" customWidth="1"/>
  </x:cols>
  <x:sheetData>
    <x:row r="1">
      <x:c r="A1" s="4" t="str">
        <x:v>subscriber_id</x:v>
      </x:c>
      <x:c r="B1" s="4" t="str">
        <x:v>tenure_months</x:v>
      </x:c>
      <x:c r="C1" s="4" t="str">
        <x:v>plan</x:v>
      </x:c>
      <x:c r="D1" s="4" t="str">
        <x:v>monthly_fee_usd</x:v>
      </x:c>
      <x:c r="E1" s="4" t="str">
        <x:v>support_tickets_90d</x:v>
      </x:c>
      <x:c r="F1" s="4" t="str">
        <x:v>sessions_last_30d</x:v>
      </x:c>
      <x:c r="G1" s="4" t="str">
        <x:v>days_since_last_login</x:v>
      </x:c>
      <x:c r="H1" s="4" t="str">
        <x:v>payment_failures_90d</x:v>
      </x:c>
      <x:c r="I1" s="4" t="str">
        <x:v>joined_on_discount</x:v>
      </x:c>
      <x:c r="J1" s="4" t="str">
        <x:v>churned</x:v>
      </x:c>
      <x:c r="K1" s="1"/>
      <x:c r="L1" s="1" t="str">
        <x:v>Source: doomsday_d5_churn_practice.csv (1,200 practice subscribers)</x:v>
      </x:c>
      <x:c r="M1" s="1"/>
      <x:c r="N1" s="1"/>
      <x:c r="O1" s="1"/>
    </x:row>
    <x:row r="2">
      <x:c r="A2" s="1" t="str">
        <x:v>S0001</x:v>
      </x:c>
      <x:c r="B2" s="1" t="str">
        <x:v>11</x:v>
      </x:c>
      <x:c r="C2" s="1" t="str">
        <x:v>basic</x:v>
      </x:c>
      <x:c r="D2" s="1" t="str">
        <x:v>9.99</x:v>
      </x:c>
      <x:c r="E2" s="1" t="str">
        <x:v>1</x:v>
      </x:c>
      <x:c r="F2" s="1" t="str">
        <x:v>23</x:v>
      </x:c>
      <x:c r="G2" s="1" t="str">
        <x:v>4</x:v>
      </x:c>
      <x:c r="H2" s="1" t="str">
        <x:v>0</x:v>
      </x:c>
      <x:c r="I2" s="1" t="str">
        <x:v>0</x:v>
      </x:c>
      <x:c r="J2" s="1" t="str">
        <x:v>no</x:v>
      </x:c>
      <x:c r="K2" s="1"/>
      <x:c r="L2" s="1"/>
      <x:c r="M2" s="1"/>
      <x:c r="N2" s="1"/>
      <x:c r="O2" s="1"/>
    </x:row>
    <x:row r="3">
      <x:c r="A3" s="1" t="str">
        <x:v>S0002</x:v>
      </x:c>
      <x:c r="B3" s="1" t="str">
        <x:v>1</x:v>
      </x:c>
      <x:c r="C3" s="1" t="str">
        <x:v>basic</x:v>
      </x:c>
      <x:c r="D3" s="1" t="str">
        <x:v>9.99</x:v>
      </x:c>
      <x:c r="E3" s="1" t="str">
        <x:v>3</x:v>
      </x:c>
      <x:c r="F3" s="1" t="str">
        <x:v>4</x:v>
      </x:c>
      <x:c r="G3" s="1" t="str">
        <x:v>10</x:v>
      </x:c>
      <x:c r="H3" s="1" t="str">
        <x:v>0</x:v>
      </x:c>
      <x:c r="I3" s="1" t="str">
        <x:v>0</x:v>
      </x:c>
      <x:c r="J3" s="1" t="str">
        <x:v>no</x:v>
      </x:c>
      <x:c r="K3" s="1"/>
      <x:c r="L3" s="1"/>
      <x:c r="M3" s="1"/>
      <x:c r="N3" s="1"/>
      <x:c r="O3" s="1"/>
    </x:row>
    <x:row r="4">
      <x:c r="A4" s="1" t="str">
        <x:v>S0003</x:v>
      </x:c>
      <x:c r="B4" s="1" t="str">
        <x:v>28</x:v>
      </x:c>
      <x:c r="C4" s="1" t="str">
        <x:v>premium</x:v>
      </x:c>
      <x:c r="D4" s="1" t="str">
        <x:v>15.99</x:v>
      </x:c>
      <x:c r="E4" s="1" t="str">
        <x:v>2</x:v>
      </x:c>
      <x:c r="F4" s="1" t="str">
        <x:v>15</x:v>
      </x:c>
      <x:c r="G4" s="1" t="str">
        <x:v>6</x:v>
      </x:c>
      <x:c r="H4" s="1" t="str">
        <x:v>0</x:v>
      </x:c>
      <x:c r="I4" s="1" t="str">
        <x:v>0</x:v>
      </x:c>
      <x:c r="J4" s="1" t="str">
        <x:v>yes</x:v>
      </x:c>
      <x:c r="K4" s="1"/>
      <x:c r="L4" s="1"/>
      <x:c r="M4" s="1"/>
      <x:c r="N4" s="1"/>
      <x:c r="O4" s="1"/>
    </x:row>
    <x:row r="5">
      <x:c r="A5" s="1" t="str">
        <x:v>S0004</x:v>
      </x:c>
      <x:c r="B5" s="1" t="str">
        <x:v>48</x:v>
      </x:c>
      <x:c r="C5" s="1" t="str">
        <x:v>basic</x:v>
      </x:c>
      <x:c r="D5" s="1" t="str">
        <x:v>9.99</x:v>
      </x:c>
      <x:c r="E5" s="1" t="str">
        <x:v>0</x:v>
      </x:c>
      <x:c r="F5" s="1" t="str">
        <x:v>18</x:v>
      </x:c>
      <x:c r="G5" s="1" t="str">
        <x:v>22</x:v>
      </x:c>
      <x:c r="H5" s="1" t="str">
        <x:v>0</x:v>
      </x:c>
      <x:c r="I5" s="1" t="str">
        <x:v>1</x:v>
      </x:c>
      <x:c r="J5" s="1" t="str">
        <x:v>no</x:v>
      </x:c>
      <x:c r="K5" s="1"/>
      <x:c r="L5" s="1"/>
      <x:c r="M5" s="1"/>
      <x:c r="N5" s="1"/>
      <x:c r="O5" s="1"/>
    </x:row>
    <x:row r="6">
      <x:c r="A6" s="1" t="str">
        <x:v>S0005</x:v>
      </x:c>
      <x:c r="B6" s="1" t="str">
        <x:v>43</x:v>
      </x:c>
      <x:c r="C6" s="1" t="str">
        <x:v>basic</x:v>
      </x:c>
      <x:c r="D6" s="1" t="str">
        <x:v>9.99</x:v>
      </x:c>
      <x:c r="E6" s="1" t="str">
        <x:v>0</x:v>
      </x:c>
      <x:c r="F6" s="1" t="str">
        <x:v>14</x:v>
      </x:c>
      <x:c r="G6" s="1" t="str">
        <x:v>3</x:v>
      </x:c>
      <x:c r="H6" s="1" t="str">
        <x:v>0</x:v>
      </x:c>
      <x:c r="I6" s="1" t="str">
        <x:v>0</x:v>
      </x:c>
      <x:c r="J6" s="1" t="str">
        <x:v>no</x:v>
      </x:c>
      <x:c r="K6" s="1"/>
      <x:c r="L6" s="1"/>
      <x:c r="M6" s="1"/>
      <x:c r="N6" s="1"/>
      <x:c r="O6" s="1"/>
    </x:row>
    <x:row r="7">
      <x:c r="A7" s="1" t="str">
        <x:v>S0006</x:v>
      </x:c>
      <x:c r="B7" s="1" t="str">
        <x:v>31</x:v>
      </x:c>
      <x:c r="C7" s="1" t="str">
        <x:v>premium</x:v>
      </x:c>
      <x:c r="D7" s="1" t="str">
        <x:v>15.99</x:v>
      </x:c>
      <x:c r="E7" s="1" t="str">
        <x:v>2</x:v>
      </x:c>
      <x:c r="F7" s="1" t="str">
        <x:v>9</x:v>
      </x:c>
      <x:c r="G7" s="1" t="str">
        <x:v>3</x:v>
      </x:c>
      <x:c r="H7" s="1" t="str">
        <x:v>0</x:v>
      </x:c>
      <x:c r="I7" s="1" t="str">
        <x:v>0</x:v>
      </x:c>
      <x:c r="J7" s="1" t="str">
        <x:v>no</x:v>
      </x:c>
      <x:c r="K7" s="1"/>
      <x:c r="L7" s="1"/>
      <x:c r="M7" s="1"/>
      <x:c r="N7" s="1"/>
      <x:c r="O7" s="1"/>
    </x:row>
    <x:row r="8">
      <x:c r="A8" s="1" t="str">
        <x:v>S0007</x:v>
      </x:c>
      <x:c r="B8" s="1" t="str">
        <x:v>29</x:v>
      </x:c>
      <x:c r="C8" s="1" t="str">
        <x:v>premium</x:v>
      </x:c>
      <x:c r="D8" s="1" t="str">
        <x:v>15.99</x:v>
      </x:c>
      <x:c r="E8" s="1" t="str">
        <x:v>0</x:v>
      </x:c>
      <x:c r="F8" s="1" t="str">
        <x:v>27</x:v>
      </x:c>
      <x:c r="G8" s="1" t="str">
        <x:v>7</x:v>
      </x:c>
      <x:c r="H8" s="1" t="str">
        <x:v>2</x:v>
      </x:c>
      <x:c r="I8" s="1" t="str">
        <x:v>1</x:v>
      </x:c>
      <x:c r="J8" s="1" t="str">
        <x:v>yes</x:v>
      </x:c>
      <x:c r="K8" s="1"/>
      <x:c r="L8" s="1"/>
      <x:c r="M8" s="1"/>
      <x:c r="N8" s="1"/>
      <x:c r="O8" s="1"/>
    </x:row>
    <x:row r="9">
      <x:c r="A9" s="1" t="str">
        <x:v>S0008</x:v>
      </x:c>
      <x:c r="B9" s="1" t="str">
        <x:v>5</x:v>
      </x:c>
      <x:c r="C9" s="1" t="str">
        <x:v>premium</x:v>
      </x:c>
      <x:c r="D9" s="1" t="str">
        <x:v>15.99</x:v>
      </x:c>
      <x:c r="E9" s="1" t="str">
        <x:v>1</x:v>
      </x:c>
      <x:c r="F9" s="1" t="str">
        <x:v>26</x:v>
      </x:c>
      <x:c r="G9" s="1" t="str">
        <x:v>3</x:v>
      </x:c>
      <x:c r="H9" s="1" t="str">
        <x:v>2</x:v>
      </x:c>
      <x:c r="I9" s="1" t="str">
        <x:v>0</x:v>
      </x:c>
      <x:c r="J9" s="1" t="str">
        <x:v>yes</x:v>
      </x:c>
      <x:c r="K9" s="1"/>
      <x:c r="L9" s="1"/>
      <x:c r="M9" s="1"/>
      <x:c r="N9" s="1"/>
      <x:c r="O9" s="1"/>
    </x:row>
    <x:row r="10">
      <x:c r="A10" s="1" t="str">
        <x:v>S0009</x:v>
      </x:c>
      <x:c r="B10" s="1" t="str">
        <x:v>11</x:v>
      </x:c>
      <x:c r="C10" s="1" t="str">
        <x:v>premium</x:v>
      </x:c>
      <x:c r="D10" s="1" t="str">
        <x:v>15.99</x:v>
      </x:c>
      <x:c r="E10" s="1" t="str">
        <x:v>0</x:v>
      </x:c>
      <x:c r="F10" s="1" t="str">
        <x:v>11</x:v>
      </x:c>
      <x:c r="G10" s="1" t="str">
        <x:v>19</x:v>
      </x:c>
      <x:c r="H10" s="1" t="str">
        <x:v>0</x:v>
      </x:c>
      <x:c r="I10" s="1" t="str">
        <x:v>0</x:v>
      </x:c>
      <x:c r="J10" s="1" t="str">
        <x:v>no</x:v>
      </x:c>
      <x:c r="K10" s="1"/>
      <x:c r="L10" s="1"/>
      <x:c r="M10" s="1"/>
      <x:c r="N10" s="1"/>
      <x:c r="O10" s="1"/>
    </x:row>
    <x:row r="11">
      <x:c r="A11" s="1" t="str">
        <x:v>S0010</x:v>
      </x:c>
      <x:c r="B11" s="1" t="str">
        <x:v>24</x:v>
      </x:c>
      <x:c r="C11" s="1" t="str">
        <x:v>basic</x:v>
      </x:c>
      <x:c r="D11" s="1" t="str">
        <x:v>9.99</x:v>
      </x:c>
      <x:c r="E11" s="1" t="str">
        <x:v>1</x:v>
      </x:c>
      <x:c r="F11" s="1" t="str">
        <x:v>0</x:v>
      </x:c>
      <x:c r="G11" s="1" t="str">
        <x:v>60</x:v>
      </x:c>
      <x:c r="H11" s="1" t="str">
        <x:v>2</x:v>
      </x:c>
      <x:c r="I11" s="1" t="str">
        <x:v>0</x:v>
      </x:c>
      <x:c r="J11" s="1" t="str">
        <x:v>yes</x:v>
      </x:c>
      <x:c r="K11" s="1"/>
      <x:c r="L11" s="1"/>
      <x:c r="M11" s="1"/>
      <x:c r="N11" s="1"/>
      <x:c r="O11" s="1"/>
    </x:row>
    <x:row r="12">
      <x:c r="A12" s="1" t="str">
        <x:v>S0011</x:v>
      </x:c>
      <x:c r="B12" s="1" t="str">
        <x:v>32</x:v>
      </x:c>
      <x:c r="C12" s="1" t="str">
        <x:v>premium</x:v>
      </x:c>
      <x:c r="D12" s="1" t="str">
        <x:v>15.99</x:v>
      </x:c>
      <x:c r="E12" s="1" t="str">
        <x:v>0</x:v>
      </x:c>
      <x:c r="F12" s="1" t="str">
        <x:v>17</x:v>
      </x:c>
      <x:c r="G12" s="1" t="str">
        <x:v>15</x:v>
      </x:c>
      <x:c r="H12" s="1" t="str">
        <x:v>0</x:v>
      </x:c>
      <x:c r="I12" s="1" t="str">
        <x:v>1</x:v>
      </x:c>
      <x:c r="J12" s="1" t="str">
        <x:v>no</x:v>
      </x:c>
      <x:c r="K12" s="1"/>
      <x:c r="L12" s="1"/>
      <x:c r="M12" s="1"/>
      <x:c r="N12" s="1"/>
      <x:c r="O12" s="1"/>
    </x:row>
    <x:row r="13">
      <x:c r="A13" s="1" t="str">
        <x:v>S0012</x:v>
      </x:c>
      <x:c r="B13" s="1" t="str">
        <x:v>31</x:v>
      </x:c>
      <x:c r="C13" s="1" t="str">
        <x:v>basic</x:v>
      </x:c>
      <x:c r="D13" s="1" t="str">
        <x:v>9.99</x:v>
      </x:c>
      <x:c r="E13" s="1" t="str">
        <x:v>2</x:v>
      </x:c>
      <x:c r="F13" s="1" t="str">
        <x:v>18</x:v>
      </x:c>
      <x:c r="G13" s="1" t="str">
        <x:v>0</x:v>
      </x:c>
      <x:c r="H13" s="1" t="str">
        <x:v>0</x:v>
      </x:c>
      <x:c r="I13" s="1" t="str">
        <x:v>0</x:v>
      </x:c>
      <x:c r="J13" s="1" t="str">
        <x:v>no</x:v>
      </x:c>
      <x:c r="K13" s="1"/>
      <x:c r="L13" s="1"/>
      <x:c r="M13" s="1"/>
      <x:c r="N13" s="1"/>
      <x:c r="O13" s="1"/>
    </x:row>
    <x:row r="14">
      <x:c r="A14" s="1" t="str">
        <x:v>S0013</x:v>
      </x:c>
      <x:c r="B14" s="1" t="str">
        <x:v>10</x:v>
      </x:c>
      <x:c r="C14" s="1" t="str">
        <x:v>basic</x:v>
      </x:c>
      <x:c r="D14" s="1" t="str">
        <x:v>9.99</x:v>
      </x:c>
      <x:c r="E14" s="1" t="str">
        <x:v>1</x:v>
      </x:c>
      <x:c r="F14" s="1" t="str">
        <x:v>20</x:v>
      </x:c>
      <x:c r="G14" s="1" t="str">
        <x:v>7</x:v>
      </x:c>
      <x:c r="H14" s="1" t="str">
        <x:v>0</x:v>
      </x:c>
      <x:c r="I14" s="1" t="str">
        <x:v>1</x:v>
      </x:c>
      <x:c r="J14" s="1" t="str">
        <x:v>yes</x:v>
      </x:c>
      <x:c r="K14" s="1"/>
      <x:c r="L14" s="1"/>
      <x:c r="M14" s="1"/>
      <x:c r="N14" s="1"/>
      <x:c r="O14" s="1"/>
    </x:row>
    <x:row r="15">
      <x:c r="A15" s="1" t="str">
        <x:v>S0014</x:v>
      </x:c>
      <x:c r="B15" s="1" t="str">
        <x:v>14</x:v>
      </x:c>
      <x:c r="C15" s="1" t="str">
        <x:v>basic</x:v>
      </x:c>
      <x:c r="D15" s="1" t="str">
        <x:v>9.99</x:v>
      </x:c>
      <x:c r="E15" s="1" t="str">
        <x:v>2</x:v>
      </x:c>
      <x:c r="F15" s="1" t="str">
        <x:v>7</x:v>
      </x:c>
      <x:c r="G15" s="1" t="str">
        <x:v>5</x:v>
      </x:c>
      <x:c r="H15" s="1" t="str">
        <x:v>0</x:v>
      </x:c>
      <x:c r="I15" s="1" t="str">
        <x:v>0</x:v>
      </x:c>
      <x:c r="J15" s="1" t="str">
        <x:v>yes</x:v>
      </x:c>
      <x:c r="K15" s="1"/>
      <x:c r="L15" s="1"/>
      <x:c r="M15" s="1"/>
      <x:c r="N15" s="1"/>
      <x:c r="O15" s="1"/>
    </x:row>
    <x:row r="16">
      <x:c r="A16" s="1" t="str">
        <x:v>S0015</x:v>
      </x:c>
      <x:c r="B16" s="1" t="str">
        <x:v>47</x:v>
      </x:c>
      <x:c r="C16" s="1" t="str">
        <x:v>basic</x:v>
      </x:c>
      <x:c r="D16" s="1" t="str">
        <x:v>9.99</x:v>
      </x:c>
      <x:c r="E16" s="1" t="str">
        <x:v>0</x:v>
      </x:c>
      <x:c r="F16" s="1" t="str">
        <x:v>14</x:v>
      </x:c>
      <x:c r="G16" s="1" t="str">
        <x:v>2</x:v>
      </x:c>
      <x:c r="H16" s="1" t="str">
        <x:v>0</x:v>
      </x:c>
      <x:c r="I16" s="1" t="str">
        <x:v>0</x:v>
      </x:c>
      <x:c r="J16" s="1" t="str">
        <x:v>no</x:v>
      </x:c>
      <x:c r="K16" s="1"/>
      <x:c r="L16" s="1"/>
      <x:c r="M16" s="1"/>
      <x:c r="N16" s="1"/>
      <x:c r="O16" s="1"/>
    </x:row>
    <x:row r="17">
      <x:c r="A17" s="1" t="str">
        <x:v>S0016</x:v>
      </x:c>
      <x:c r="B17" s="1" t="str">
        <x:v>38</x:v>
      </x:c>
      <x:c r="C17" s="1" t="str">
        <x:v>basic</x:v>
      </x:c>
      <x:c r="D17" s="1" t="str">
        <x:v>9.99</x:v>
      </x:c>
      <x:c r="E17" s="1" t="str">
        <x:v>0</x:v>
      </x:c>
      <x:c r="F17" s="1" t="str">
        <x:v>15</x:v>
      </x:c>
      <x:c r="G17" s="1" t="str">
        <x:v>6</x:v>
      </x:c>
      <x:c r="H17" s="1" t="str">
        <x:v>0</x:v>
      </x:c>
      <x:c r="I17" s="1" t="str">
        <x:v>0</x:v>
      </x:c>
      <x:c r="J17" s="1" t="str">
        <x:v>no</x:v>
      </x:c>
      <x:c r="K17" s="1"/>
      <x:c r="L17" s="1"/>
      <x:c r="M17" s="1"/>
      <x:c r="N17" s="1"/>
      <x:c r="O17" s="1"/>
    </x:row>
    <x:row r="18">
      <x:c r="A18" s="1" t="str">
        <x:v>S0017</x:v>
      </x:c>
      <x:c r="B18" s="1" t="str">
        <x:v>8</x:v>
      </x:c>
      <x:c r="C18" s="1" t="str">
        <x:v>premium</x:v>
      </x:c>
      <x:c r="D18" s="1" t="str">
        <x:v>15.99</x:v>
      </x:c>
      <x:c r="E18" s="1" t="str">
        <x:v>0</x:v>
      </x:c>
      <x:c r="F18" s="1" t="str">
        <x:v>22</x:v>
      </x:c>
      <x:c r="G18" s="1" t="str">
        <x:v>4</x:v>
      </x:c>
      <x:c r="H18" s="1" t="str">
        <x:v>1</x:v>
      </x:c>
      <x:c r="I18" s="1" t="str">
        <x:v>0</x:v>
      </x:c>
      <x:c r="J18" s="1" t="str">
        <x:v>no</x:v>
      </x:c>
      <x:c r="K18" s="1"/>
      <x:c r="L18" s="1"/>
      <x:c r="M18" s="1"/>
      <x:c r="N18" s="1"/>
      <x:c r="O18" s="1"/>
    </x:row>
    <x:row r="19">
      <x:c r="A19" s="1" t="str">
        <x:v>S0018</x:v>
      </x:c>
      <x:c r="B19" s="1" t="str">
        <x:v>25</x:v>
      </x:c>
      <x:c r="C19" s="1" t="str">
        <x:v>basic</x:v>
      </x:c>
      <x:c r="D19" s="1" t="str">
        <x:v>9.99</x:v>
      </x:c>
      <x:c r="E19" s="1" t="str">
        <x:v>1</x:v>
      </x:c>
      <x:c r="F19" s="1" t="str">
        <x:v>21</x:v>
      </x:c>
      <x:c r="G19" s="1" t="str">
        <x:v>0</x:v>
      </x:c>
      <x:c r="H19" s="1" t="str">
        <x:v>1</x:v>
      </x:c>
      <x:c r="I19" s="1" t="str">
        <x:v>1</x:v>
      </x:c>
      <x:c r="J19" s="1" t="str">
        <x:v>no</x:v>
      </x:c>
      <x:c r="K19" s="1"/>
      <x:c r="L19" s="1"/>
      <x:c r="M19" s="1"/>
      <x:c r="N19" s="1"/>
      <x:c r="O19" s="1"/>
    </x:row>
    <x:row r="20">
      <x:c r="A20" s="1" t="str">
        <x:v>S0019</x:v>
      </x:c>
      <x:c r="B20" s="1" t="str">
        <x:v>5</x:v>
      </x:c>
      <x:c r="C20" s="1" t="str">
        <x:v>basic</x:v>
      </x:c>
      <x:c r="D20" s="1" t="str">
        <x:v>9.99</x:v>
      </x:c>
      <x:c r="E20" s="1" t="str">
        <x:v>2</x:v>
      </x:c>
      <x:c r="F20" s="1" t="str">
        <x:v>18</x:v>
      </x:c>
      <x:c r="G20" s="1" t="str">
        <x:v>2</x:v>
      </x:c>
      <x:c r="H20" s="1" t="str">
        <x:v>0</x:v>
      </x:c>
      <x:c r="I20" s="1" t="str">
        <x:v>0</x:v>
      </x:c>
      <x:c r="J20" s="1" t="str">
        <x:v>no</x:v>
      </x:c>
      <x:c r="K20" s="1"/>
      <x:c r="L20" s="1"/>
      <x:c r="M20" s="1"/>
      <x:c r="N20" s="1"/>
      <x:c r="O20" s="1"/>
    </x:row>
    <x:row r="21">
      <x:c r="A21" s="1" t="str">
        <x:v>S0020</x:v>
      </x:c>
      <x:c r="B21" s="1" t="str">
        <x:v>16</x:v>
      </x:c>
      <x:c r="C21" s="1" t="str">
        <x:v>basic</x:v>
      </x:c>
      <x:c r="D21" s="1" t="str">
        <x:v>9.99</x:v>
      </x:c>
      <x:c r="E21" s="1" t="str">
        <x:v>0</x:v>
      </x:c>
      <x:c r="F21" s="1" t="str">
        <x:v>23</x:v>
      </x:c>
      <x:c r="G21" s="1" t="str">
        <x:v>4</x:v>
      </x:c>
      <x:c r="H21" s="1" t="str">
        <x:v>0</x:v>
      </x:c>
      <x:c r="I21" s="1" t="str">
        <x:v>0</x:v>
      </x:c>
      <x:c r="J21" s="1" t="str">
        <x:v>no</x:v>
      </x:c>
      <x:c r="K21" s="1"/>
      <x:c r="L21" s="1"/>
      <x:c r="M21" s="1"/>
      <x:c r="N21" s="1"/>
      <x:c r="O21" s="1"/>
    </x:row>
    <x:row r="22">
      <x:c r="A22" s="1" t="str">
        <x:v>S0021</x:v>
      </x:c>
      <x:c r="B22" s="1" t="str">
        <x:v>20</x:v>
      </x:c>
      <x:c r="C22" s="1" t="str">
        <x:v>basic</x:v>
      </x:c>
      <x:c r="D22" s="1" t="str">
        <x:v>9.99</x:v>
      </x:c>
      <x:c r="E22" s="1" t="str">
        <x:v>1</x:v>
      </x:c>
      <x:c r="F22" s="1" t="str">
        <x:v>15</x:v>
      </x:c>
      <x:c r="G22" s="1" t="str">
        <x:v>10</x:v>
      </x:c>
      <x:c r="H22" s="1" t="str">
        <x:v>2</x:v>
      </x:c>
      <x:c r="I22" s="1" t="str">
        <x:v>0</x:v>
      </x:c>
      <x:c r="J22" s="1" t="str">
        <x:v>yes</x:v>
      </x:c>
      <x:c r="K22" s="1"/>
      <x:c r="L22" s="1"/>
      <x:c r="M22" s="1"/>
      <x:c r="N22" s="1"/>
      <x:c r="O22" s="1"/>
    </x:row>
    <x:row r="23">
      <x:c r="A23" s="1" t="str">
        <x:v>S0022</x:v>
      </x:c>
      <x:c r="B23" s="1" t="str">
        <x:v>43</x:v>
      </x:c>
      <x:c r="C23" s="1" t="str">
        <x:v>basic</x:v>
      </x:c>
      <x:c r="D23" s="1" t="str">
        <x:v>9.99</x:v>
      </x:c>
      <x:c r="E23" s="1" t="str">
        <x:v>0</x:v>
      </x:c>
      <x:c r="F23" s="1" t="str">
        <x:v>14</x:v>
      </x:c>
      <x:c r="G23" s="1" t="str">
        <x:v>28</x:v>
      </x:c>
      <x:c r="H23" s="1" t="str">
        <x:v>0</x:v>
      </x:c>
      <x:c r="I23" s="1" t="str">
        <x:v>0</x:v>
      </x:c>
      <x:c r="J23" s="1" t="str">
        <x:v>no</x:v>
      </x:c>
      <x:c r="K23" s="1"/>
      <x:c r="L23" s="1"/>
      <x:c r="M23" s="1"/>
      <x:c r="N23" s="1"/>
      <x:c r="O23" s="1"/>
    </x:row>
    <x:row r="24">
      <x:c r="A24" s="1" t="str">
        <x:v>S0023</x:v>
      </x:c>
      <x:c r="B24" s="1" t="str">
        <x:v>46</x:v>
      </x:c>
      <x:c r="C24" s="1" t="str">
        <x:v>basic</x:v>
      </x:c>
      <x:c r="D24" s="1" t="str">
        <x:v>9.99</x:v>
      </x:c>
      <x:c r="E24" s="1" t="str">
        <x:v>0</x:v>
      </x:c>
      <x:c r="F24" s="1" t="str">
        <x:v>1</x:v>
      </x:c>
      <x:c r="G24" s="1" t="str">
        <x:v>6</x:v>
      </x:c>
      <x:c r="H24" s="1" t="str">
        <x:v>0</x:v>
      </x:c>
      <x:c r="I24" s="1" t="str">
        <x:v>1</x:v>
      </x:c>
      <x:c r="J24" s="1" t="str">
        <x:v>no</x:v>
      </x:c>
      <x:c r="K24" s="1"/>
      <x:c r="L24" s="1"/>
      <x:c r="M24" s="1"/>
      <x:c r="N24" s="1"/>
      <x:c r="O24" s="1"/>
    </x:row>
    <x:row r="25">
      <x:c r="A25" s="1" t="str">
        <x:v>S0024</x:v>
      </x:c>
      <x:c r="B25" s="1" t="str">
        <x:v>18</x:v>
      </x:c>
      <x:c r="C25" s="1" t="str">
        <x:v>premium</x:v>
      </x:c>
      <x:c r="D25" s="1" t="str">
        <x:v>15.99</x:v>
      </x:c>
      <x:c r="E25" s="1" t="str">
        <x:v>1</x:v>
      </x:c>
      <x:c r="F25" s="1" t="str">
        <x:v>6</x:v>
      </x:c>
      <x:c r="G25" s="1" t="str">
        <x:v>21</x:v>
      </x:c>
      <x:c r="H25" s="1" t="str">
        <x:v>0</x:v>
      </x:c>
      <x:c r="I25" s="1" t="str">
        <x:v>0</x:v>
      </x:c>
      <x:c r="J25" s="1" t="str">
        <x:v>yes</x:v>
      </x:c>
      <x:c r="K25" s="1"/>
      <x:c r="L25" s="1"/>
      <x:c r="M25" s="1"/>
      <x:c r="N25" s="1"/>
      <x:c r="O25" s="1"/>
    </x:row>
    <x:row r="26">
      <x:c r="A26" s="1" t="str">
        <x:v>S0025</x:v>
      </x:c>
      <x:c r="B26" s="1" t="str">
        <x:v>12</x:v>
      </x:c>
      <x:c r="C26" s="1" t="str">
        <x:v>basic</x:v>
      </x:c>
      <x:c r="D26" s="1" t="str">
        <x:v>9.99</x:v>
      </x:c>
      <x:c r="E26" s="1" t="str">
        <x:v>0</x:v>
      </x:c>
      <x:c r="F26" s="1" t="str">
        <x:v>14</x:v>
      </x:c>
      <x:c r="G26" s="1" t="str">
        <x:v>22</x:v>
      </x:c>
      <x:c r="H26" s="1" t="str">
        <x:v>0</x:v>
      </x:c>
      <x:c r="I26" s="1" t="str">
        <x:v>0</x:v>
      </x:c>
      <x:c r="J26" s="1" t="str">
        <x:v>no</x:v>
      </x:c>
      <x:c r="K26" s="1"/>
      <x:c r="L26" s="1"/>
      <x:c r="M26" s="1"/>
      <x:c r="N26" s="1"/>
      <x:c r="O26" s="1"/>
    </x:row>
    <x:row r="27">
      <x:c r="A27" s="1" t="str">
        <x:v>S0026</x:v>
      </x:c>
      <x:c r="B27" s="1" t="str">
        <x:v>32</x:v>
      </x:c>
      <x:c r="C27" s="1" t="str">
        <x:v>basic</x:v>
      </x:c>
      <x:c r="D27" s="1" t="str">
        <x:v>9.99</x:v>
      </x:c>
      <x:c r="E27" s="1" t="str">
        <x:v>0</x:v>
      </x:c>
      <x:c r="F27" s="1" t="str">
        <x:v>0</x:v>
      </x:c>
      <x:c r="G27" s="1" t="str">
        <x:v>53</x:v>
      </x:c>
      <x:c r="H27" s="1" t="str">
        <x:v>0</x:v>
      </x:c>
      <x:c r="I27" s="1" t="str">
        <x:v>0</x:v>
      </x:c>
      <x:c r="J27" s="1" t="str">
        <x:v>yes</x:v>
      </x:c>
      <x:c r="K27" s="1"/>
      <x:c r="L27" s="1"/>
      <x:c r="M27" s="1"/>
      <x:c r="N27" s="1"/>
      <x:c r="O27" s="1"/>
    </x:row>
    <x:row r="28">
      <x:c r="A28" s="1" t="str">
        <x:v>S0027</x:v>
      </x:c>
      <x:c r="B28" s="1" t="str">
        <x:v>26</x:v>
      </x:c>
      <x:c r="C28" s="1" t="str">
        <x:v>premium</x:v>
      </x:c>
      <x:c r="D28" s="1" t="str">
        <x:v>15.99</x:v>
      </x:c>
      <x:c r="E28" s="1" t="str">
        <x:v>0</x:v>
      </x:c>
      <x:c r="F28" s="1" t="str">
        <x:v>31</x:v>
      </x:c>
      <x:c r="G28" s="1" t="str">
        <x:v>2</x:v>
      </x:c>
      <x:c r="H28" s="1" t="str">
        <x:v>0</x:v>
      </x:c>
      <x:c r="I28" s="1" t="str">
        <x:v>0</x:v>
      </x:c>
      <x:c r="J28" s="1" t="str">
        <x:v>no</x:v>
      </x:c>
      <x:c r="K28" s="1"/>
      <x:c r="L28" s="1"/>
      <x:c r="M28" s="1"/>
      <x:c r="N28" s="1"/>
      <x:c r="O28" s="1"/>
    </x:row>
    <x:row r="29">
      <x:c r="A29" s="1" t="str">
        <x:v>S0028</x:v>
      </x:c>
      <x:c r="B29" s="1" t="str">
        <x:v>11</x:v>
      </x:c>
      <x:c r="C29" s="1" t="str">
        <x:v>premium</x:v>
      </x:c>
      <x:c r="D29" s="1" t="str">
        <x:v>15.99</x:v>
      </x:c>
      <x:c r="E29" s="1" t="str">
        <x:v>0</x:v>
      </x:c>
      <x:c r="F29" s="1" t="str">
        <x:v>8</x:v>
      </x:c>
      <x:c r="G29" s="1" t="str">
        <x:v>19</x:v>
      </x:c>
      <x:c r="H29" s="1" t="str">
        <x:v>0</x:v>
      </x:c>
      <x:c r="I29" s="1" t="str">
        <x:v>0</x:v>
      </x:c>
      <x:c r="J29" s="1" t="str">
        <x:v>no</x:v>
      </x:c>
      <x:c r="K29" s="1"/>
      <x:c r="L29" s="1"/>
      <x:c r="M29" s="1"/>
      <x:c r="N29" s="1"/>
      <x:c r="O29" s="1"/>
    </x:row>
    <x:row r="30">
      <x:c r="A30" s="1" t="str">
        <x:v>S0029</x:v>
      </x:c>
      <x:c r="B30" s="1" t="str">
        <x:v>21</x:v>
      </x:c>
      <x:c r="C30" s="1" t="str">
        <x:v>premium</x:v>
      </x:c>
      <x:c r="D30" s="1" t="str">
        <x:v>15.99</x:v>
      </x:c>
      <x:c r="E30" s="1" t="str">
        <x:v>0</x:v>
      </x:c>
      <x:c r="F30" s="1" t="str">
        <x:v>16</x:v>
      </x:c>
      <x:c r="G30" s="1" t="str">
        <x:v>2</x:v>
      </x:c>
      <x:c r="H30" s="1" t="str">
        <x:v>0</x:v>
      </x:c>
      <x:c r="I30" s="1" t="str">
        <x:v>1</x:v>
      </x:c>
      <x:c r="J30" s="1" t="str">
        <x:v>no</x:v>
      </x:c>
      <x:c r="K30" s="1"/>
      <x:c r="L30" s="1"/>
      <x:c r="M30" s="1"/>
      <x:c r="N30" s="1"/>
      <x:c r="O30" s="1"/>
    </x:row>
    <x:row r="31">
      <x:c r="A31" s="1" t="str">
        <x:v>S0030</x:v>
      </x:c>
      <x:c r="B31" s="1" t="str">
        <x:v>28</x:v>
      </x:c>
      <x:c r="C31" s="1" t="str">
        <x:v>basic</x:v>
      </x:c>
      <x:c r="D31" s="1" t="str">
        <x:v>9.99</x:v>
      </x:c>
      <x:c r="E31" s="1" t="str">
        <x:v>1</x:v>
      </x:c>
      <x:c r="F31" s="1" t="str">
        <x:v>4</x:v>
      </x:c>
      <x:c r="G31" s="1" t="str">
        <x:v>29</x:v>
      </x:c>
      <x:c r="H31" s="1" t="str">
        <x:v>0</x:v>
      </x:c>
      <x:c r="I31" s="1" t="str">
        <x:v>0</x:v>
      </x:c>
      <x:c r="J31" s="1" t="str">
        <x:v>yes</x:v>
      </x:c>
      <x:c r="K31" s="1"/>
      <x:c r="L31" s="1"/>
      <x:c r="M31" s="1"/>
      <x:c r="N31" s="1"/>
      <x:c r="O31" s="1"/>
    </x:row>
    <x:row r="32">
      <x:c r="A32" s="1" t="str">
        <x:v>S0031</x:v>
      </x:c>
      <x:c r="B32" s="1" t="str">
        <x:v>14</x:v>
      </x:c>
      <x:c r="C32" s="1" t="str">
        <x:v>basic</x:v>
      </x:c>
      <x:c r="D32" s="1" t="str">
        <x:v>9.99</x:v>
      </x:c>
      <x:c r="E32" s="1" t="str">
        <x:v>0</x:v>
      </x:c>
      <x:c r="F32" s="1" t="str">
        <x:v>28</x:v>
      </x:c>
      <x:c r="G32" s="1" t="str">
        <x:v>5</x:v>
      </x:c>
      <x:c r="H32" s="1" t="str">
        <x:v>0</x:v>
      </x:c>
      <x:c r="I32" s="1" t="str">
        <x:v>0</x:v>
      </x:c>
      <x:c r="J32" s="1" t="str">
        <x:v>no</x:v>
      </x:c>
      <x:c r="K32" s="1"/>
      <x:c r="L32" s="1"/>
      <x:c r="M32" s="1"/>
      <x:c r="N32" s="1"/>
      <x:c r="O32" s="1"/>
    </x:row>
    <x:row r="33">
      <x:c r="A33" s="1" t="str">
        <x:v>S0032</x:v>
      </x:c>
      <x:c r="B33" s="1" t="str">
        <x:v>35</x:v>
      </x:c>
      <x:c r="C33" s="1" t="str">
        <x:v>basic</x:v>
      </x:c>
      <x:c r="D33" s="1" t="str">
        <x:v>9.99</x:v>
      </x:c>
      <x:c r="E33" s="1" t="str">
        <x:v>0</x:v>
      </x:c>
      <x:c r="F33" s="1" t="str">
        <x:v>22</x:v>
      </x:c>
      <x:c r="G33" s="1" t="str">
        <x:v>4</x:v>
      </x:c>
      <x:c r="H33" s="1" t="str">
        <x:v>0</x:v>
      </x:c>
      <x:c r="I33" s="1" t="str">
        <x:v>0</x:v>
      </x:c>
      <x:c r="J33" s="1" t="str">
        <x:v>no</x:v>
      </x:c>
      <x:c r="K33" s="1"/>
      <x:c r="L33" s="1"/>
      <x:c r="M33" s="1"/>
      <x:c r="N33" s="1"/>
      <x:c r="O33" s="1"/>
    </x:row>
    <x:row r="34">
      <x:c r="A34" s="1" t="str">
        <x:v>S0033</x:v>
      </x:c>
      <x:c r="B34" s="1" t="str">
        <x:v>28</x:v>
      </x:c>
      <x:c r="C34" s="1" t="str">
        <x:v>premium</x:v>
      </x:c>
      <x:c r="D34" s="1" t="str">
        <x:v>15.99</x:v>
      </x:c>
      <x:c r="E34" s="1" t="str">
        <x:v>2</x:v>
      </x:c>
      <x:c r="F34" s="1" t="str">
        <x:v>15</x:v>
      </x:c>
      <x:c r="G34" s="1" t="str">
        <x:v>4</x:v>
      </x:c>
      <x:c r="H34" s="1" t="str">
        <x:v>0</x:v>
      </x:c>
      <x:c r="I34" s="1" t="str">
        <x:v>1</x:v>
      </x:c>
      <x:c r="J34" s="1" t="str">
        <x:v>no</x:v>
      </x:c>
      <x:c r="K34" s="1"/>
      <x:c r="L34" s="1"/>
      <x:c r="M34" s="1"/>
      <x:c r="N34" s="1"/>
      <x:c r="O34" s="1"/>
    </x:row>
    <x:row r="35">
      <x:c r="A35" s="1" t="str">
        <x:v>S0034</x:v>
      </x:c>
      <x:c r="B35" s="1" t="str">
        <x:v>2</x:v>
      </x:c>
      <x:c r="C35" s="1" t="str">
        <x:v>premium</x:v>
      </x:c>
      <x:c r="D35" s="1" t="str">
        <x:v>15.99</x:v>
      </x:c>
      <x:c r="E35" s="1" t="str">
        <x:v>1</x:v>
      </x:c>
      <x:c r="F35" s="1" t="str">
        <x:v>9</x:v>
      </x:c>
      <x:c r="G35" s="1" t="str">
        <x:v>21</x:v>
      </x:c>
      <x:c r="H35" s="1" t="str">
        <x:v>2</x:v>
      </x:c>
      <x:c r="I35" s="1" t="str">
        <x:v>0</x:v>
      </x:c>
      <x:c r="J35" s="1" t="str">
        <x:v>yes</x:v>
      </x:c>
      <x:c r="K35" s="1"/>
      <x:c r="L35" s="1"/>
      <x:c r="M35" s="1"/>
      <x:c r="N35" s="1"/>
      <x:c r="O35" s="1"/>
    </x:row>
    <x:row r="36">
      <x:c r="A36" s="1" t="str">
        <x:v>S0035</x:v>
      </x:c>
      <x:c r="B36" s="1" t="str">
        <x:v>32</x:v>
      </x:c>
      <x:c r="C36" s="1" t="str">
        <x:v>premium</x:v>
      </x:c>
      <x:c r="D36" s="1" t="str">
        <x:v>15.99</x:v>
      </x:c>
      <x:c r="E36" s="1" t="str">
        <x:v>1</x:v>
      </x:c>
      <x:c r="F36" s="1" t="str">
        <x:v>7</x:v>
      </x:c>
      <x:c r="G36" s="1" t="str">
        <x:v>23</x:v>
      </x:c>
      <x:c r="H36" s="1" t="str">
        <x:v>0</x:v>
      </x:c>
      <x:c r="I36" s="1" t="str">
        <x:v>0</x:v>
      </x:c>
      <x:c r="J36" s="1" t="str">
        <x:v>no</x:v>
      </x:c>
      <x:c r="K36" s="1"/>
      <x:c r="L36" s="1"/>
      <x:c r="M36" s="1"/>
      <x:c r="N36" s="1"/>
      <x:c r="O36" s="1"/>
    </x:row>
    <x:row r="37">
      <x:c r="A37" s="1" t="str">
        <x:v>S0036</x:v>
      </x:c>
      <x:c r="B37" s="1" t="str">
        <x:v>1</x:v>
      </x:c>
      <x:c r="C37" s="1" t="str">
        <x:v>basic</x:v>
      </x:c>
      <x:c r="D37" s="1" t="str">
        <x:v>9.99</x:v>
      </x:c>
      <x:c r="E37" s="1" t="str">
        <x:v>1</x:v>
      </x:c>
      <x:c r="F37" s="1" t="str">
        <x:v>14</x:v>
      </x:c>
      <x:c r="G37" s="1" t="str">
        <x:v>24</x:v>
      </x:c>
      <x:c r="H37" s="1" t="str">
        <x:v>0</x:v>
      </x:c>
      <x:c r="I37" s="1" t="str">
        <x:v>0</x:v>
      </x:c>
      <x:c r="J37" s="1" t="str">
        <x:v>yes</x:v>
      </x:c>
      <x:c r="K37" s="1"/>
      <x:c r="L37" s="1"/>
      <x:c r="M37" s="1"/>
      <x:c r="N37" s="1"/>
      <x:c r="O37" s="1"/>
    </x:row>
    <x:row r="38">
      <x:c r="A38" s="1" t="str">
        <x:v>S0037</x:v>
      </x:c>
      <x:c r="B38" s="1" t="str">
        <x:v>11</x:v>
      </x:c>
      <x:c r="C38" s="1" t="str">
        <x:v>basic</x:v>
      </x:c>
      <x:c r="D38" s="1" t="str">
        <x:v>9.99</x:v>
      </x:c>
      <x:c r="E38" s="1" t="str">
        <x:v>1</x:v>
      </x:c>
      <x:c r="F38" s="1" t="str">
        <x:v>9</x:v>
      </x:c>
      <x:c r="G38" s="1" t="str">
        <x:v>29</x:v>
      </x:c>
      <x:c r="H38" s="1" t="str">
        <x:v>1</x:v>
      </x:c>
      <x:c r="I38" s="1" t="str">
        <x:v>0</x:v>
      </x:c>
      <x:c r="J38" s="1" t="str">
        <x:v>yes</x:v>
      </x:c>
      <x:c r="K38" s="1"/>
      <x:c r="L38" s="1"/>
      <x:c r="M38" s="1"/>
      <x:c r="N38" s="1"/>
      <x:c r="O38" s="1"/>
    </x:row>
    <x:row r="39">
      <x:c r="A39" s="1" t="str">
        <x:v>S0038</x:v>
      </x:c>
      <x:c r="B39" s="1" t="str">
        <x:v>45</x:v>
      </x:c>
      <x:c r="C39" s="1" t="str">
        <x:v>basic</x:v>
      </x:c>
      <x:c r="D39" s="1" t="str">
        <x:v>9.99</x:v>
      </x:c>
      <x:c r="E39" s="1" t="str">
        <x:v>1</x:v>
      </x:c>
      <x:c r="F39" s="1" t="str">
        <x:v>19</x:v>
      </x:c>
      <x:c r="G39" s="1" t="str">
        <x:v>10</x:v>
      </x:c>
      <x:c r="H39" s="1" t="str">
        <x:v>0</x:v>
      </x:c>
      <x:c r="I39" s="1" t="str">
        <x:v>0</x:v>
      </x:c>
      <x:c r="J39" s="1" t="str">
        <x:v>no</x:v>
      </x:c>
      <x:c r="K39" s="1"/>
      <x:c r="L39" s="1"/>
      <x:c r="M39" s="1"/>
      <x:c r="N39" s="1"/>
      <x:c r="O39" s="1"/>
    </x:row>
    <x:row r="40">
      <x:c r="A40" s="1" t="str">
        <x:v>S0039</x:v>
      </x:c>
      <x:c r="B40" s="1" t="str">
        <x:v>39</x:v>
      </x:c>
      <x:c r="C40" s="1" t="str">
        <x:v>premium</x:v>
      </x:c>
      <x:c r="D40" s="1" t="str">
        <x:v>15.99</x:v>
      </x:c>
      <x:c r="E40" s="1" t="str">
        <x:v>1</x:v>
      </x:c>
      <x:c r="F40" s="1" t="str">
        <x:v>7</x:v>
      </x:c>
      <x:c r="G40" s="1" t="str">
        <x:v>2</x:v>
      </x:c>
      <x:c r="H40" s="1" t="str">
        <x:v>0</x:v>
      </x:c>
      <x:c r="I40" s="1" t="str">
        <x:v>0</x:v>
      </x:c>
      <x:c r="J40" s="1" t="str">
        <x:v>no</x:v>
      </x:c>
      <x:c r="K40" s="1"/>
      <x:c r="L40" s="1"/>
      <x:c r="M40" s="1"/>
      <x:c r="N40" s="1"/>
      <x:c r="O40" s="1"/>
    </x:row>
    <x:row r="41">
      <x:c r="A41" s="1" t="str">
        <x:v>S0040</x:v>
      </x:c>
      <x:c r="B41" s="1" t="str">
        <x:v>44</x:v>
      </x:c>
      <x:c r="C41" s="1" t="str">
        <x:v>basic</x:v>
      </x:c>
      <x:c r="D41" s="1" t="str">
        <x:v>9.99</x:v>
      </x:c>
      <x:c r="E41" s="1" t="str">
        <x:v>0</x:v>
      </x:c>
      <x:c r="F41" s="1" t="str">
        <x:v>23</x:v>
      </x:c>
      <x:c r="G41" s="1" t="str">
        <x:v>1</x:v>
      </x:c>
      <x:c r="H41" s="1" t="str">
        <x:v>0</x:v>
      </x:c>
      <x:c r="I41" s="1" t="str">
        <x:v>0</x:v>
      </x:c>
      <x:c r="J41" s="1" t="str">
        <x:v>no</x:v>
      </x:c>
      <x:c r="K41" s="1"/>
      <x:c r="L41" s="1"/>
      <x:c r="M41" s="1"/>
      <x:c r="N41" s="1"/>
      <x:c r="O41" s="1"/>
    </x:row>
    <x:row r="42">
      <x:c r="A42" s="1" t="str">
        <x:v>S0041</x:v>
      </x:c>
      <x:c r="B42" s="1" t="str">
        <x:v>23</x:v>
      </x:c>
      <x:c r="C42" s="1" t="str">
        <x:v>basic</x:v>
      </x:c>
      <x:c r="D42" s="1" t="str">
        <x:v>9.99</x:v>
      </x:c>
      <x:c r="E42" s="1" t="str">
        <x:v>1</x:v>
      </x:c>
      <x:c r="F42" s="1" t="str">
        <x:v>19</x:v>
      </x:c>
      <x:c r="G42" s="1" t="str">
        <x:v>20</x:v>
      </x:c>
      <x:c r="H42" s="1" t="str">
        <x:v>0</x:v>
      </x:c>
      <x:c r="I42" s="1" t="str">
        <x:v>1</x:v>
      </x:c>
      <x:c r="J42" s="1" t="str">
        <x:v>no</x:v>
      </x:c>
      <x:c r="K42" s="1"/>
      <x:c r="L42" s="1"/>
      <x:c r="M42" s="1"/>
      <x:c r="N42" s="1"/>
      <x:c r="O42" s="1"/>
    </x:row>
    <x:row r="43">
      <x:c r="A43" s="1" t="str">
        <x:v>S0042</x:v>
      </x:c>
      <x:c r="B43" s="1" t="str">
        <x:v>33</x:v>
      </x:c>
      <x:c r="C43" s="1" t="str">
        <x:v>premium</x:v>
      </x:c>
      <x:c r="D43" s="1" t="str">
        <x:v>15.99</x:v>
      </x:c>
      <x:c r="E43" s="1" t="str">
        <x:v>0</x:v>
      </x:c>
      <x:c r="F43" s="1" t="str">
        <x:v>35</x:v>
      </x:c>
      <x:c r="G43" s="1" t="str">
        <x:v>7</x:v>
      </x:c>
      <x:c r="H43" s="1" t="str">
        <x:v>0</x:v>
      </x:c>
      <x:c r="I43" s="1" t="str">
        <x:v>0</x:v>
      </x:c>
      <x:c r="J43" s="1" t="str">
        <x:v>no</x:v>
      </x:c>
      <x:c r="K43" s="1"/>
      <x:c r="L43" s="1"/>
      <x:c r="M43" s="1"/>
      <x:c r="N43" s="1"/>
      <x:c r="O43" s="1"/>
    </x:row>
    <x:row r="44">
      <x:c r="A44" s="1" t="str">
        <x:v>S0043</x:v>
      </x:c>
      <x:c r="B44" s="1" t="str">
        <x:v>43</x:v>
      </x:c>
      <x:c r="C44" s="1" t="str">
        <x:v>basic</x:v>
      </x:c>
      <x:c r="D44" s="1" t="str">
        <x:v>9.99</x:v>
      </x:c>
      <x:c r="E44" s="1" t="str">
        <x:v>1</x:v>
      </x:c>
      <x:c r="F44" s="1" t="str">
        <x:v>22</x:v>
      </x:c>
      <x:c r="G44" s="1" t="str">
        <x:v>21</x:v>
      </x:c>
      <x:c r="H44" s="1" t="str">
        <x:v>0</x:v>
      </x:c>
      <x:c r="I44" s="1" t="str">
        <x:v>0</x:v>
      </x:c>
      <x:c r="J44" s="1" t="str">
        <x:v>no</x:v>
      </x:c>
      <x:c r="K44" s="1"/>
      <x:c r="L44" s="1"/>
      <x:c r="M44" s="1"/>
      <x:c r="N44" s="1"/>
      <x:c r="O44" s="1"/>
    </x:row>
    <x:row r="45">
      <x:c r="A45" s="1" t="str">
        <x:v>S0044</x:v>
      </x:c>
      <x:c r="B45" s="1" t="str">
        <x:v>34</x:v>
      </x:c>
      <x:c r="C45" s="1" t="str">
        <x:v>basic</x:v>
      </x:c>
      <x:c r="D45" s="1" t="str">
        <x:v>9.99</x:v>
      </x:c>
      <x:c r="E45" s="1" t="str">
        <x:v>3</x:v>
      </x:c>
      <x:c r="F45" s="1" t="str">
        <x:v>18</x:v>
      </x:c>
      <x:c r="G45" s="1" t="str">
        <x:v>4</x:v>
      </x:c>
      <x:c r="H45" s="1" t="str">
        <x:v>0</x:v>
      </x:c>
      <x:c r="I45" s="1" t="str">
        <x:v>1</x:v>
      </x:c>
      <x:c r="J45" s="1" t="str">
        <x:v>no</x:v>
      </x:c>
      <x:c r="K45" s="1"/>
      <x:c r="L45" s="1"/>
      <x:c r="M45" s="1"/>
      <x:c r="N45" s="1"/>
      <x:c r="O45" s="1"/>
    </x:row>
    <x:row r="46">
      <x:c r="A46" s="1" t="str">
        <x:v>S0045</x:v>
      </x:c>
      <x:c r="B46" s="1" t="str">
        <x:v>13</x:v>
      </x:c>
      <x:c r="C46" s="1" t="str">
        <x:v>premium</x:v>
      </x:c>
      <x:c r="D46" s="1" t="str">
        <x:v>15.99</x:v>
      </x:c>
      <x:c r="E46" s="1" t="str">
        <x:v>0</x:v>
      </x:c>
      <x:c r="F46" s="1" t="str">
        <x:v>15</x:v>
      </x:c>
      <x:c r="G46" s="1" t="str">
        <x:v>2</x:v>
      </x:c>
      <x:c r="H46" s="1" t="str">
        <x:v>0</x:v>
      </x:c>
      <x:c r="I46" s="1" t="str">
        <x:v>1</x:v>
      </x:c>
      <x:c r="J46" s="1" t="str">
        <x:v>no</x:v>
      </x:c>
      <x:c r="K46" s="1"/>
      <x:c r="L46" s="1"/>
      <x:c r="M46" s="1"/>
      <x:c r="N46" s="1"/>
      <x:c r="O46" s="1"/>
    </x:row>
    <x:row r="47">
      <x:c r="A47" s="1" t="str">
        <x:v>S0046</x:v>
      </x:c>
      <x:c r="B47" s="1" t="str">
        <x:v>22</x:v>
      </x:c>
      <x:c r="C47" s="1" t="str">
        <x:v>premium</x:v>
      </x:c>
      <x:c r="D47" s="1" t="str">
        <x:v>15.99</x:v>
      </x:c>
      <x:c r="E47" s="1" t="str">
        <x:v>0</x:v>
      </x:c>
      <x:c r="F47" s="1" t="str">
        <x:v>20</x:v>
      </x:c>
      <x:c r="G47" s="1" t="str">
        <x:v>4</x:v>
      </x:c>
      <x:c r="H47" s="1" t="str">
        <x:v>0</x:v>
      </x:c>
      <x:c r="I47" s="1" t="str">
        <x:v>0</x:v>
      </x:c>
      <x:c r="J47" s="1" t="str">
        <x:v>no</x:v>
      </x:c>
      <x:c r="K47" s="1"/>
      <x:c r="L47" s="1"/>
      <x:c r="M47" s="1"/>
      <x:c r="N47" s="1"/>
      <x:c r="O47" s="1"/>
    </x:row>
    <x:row r="48">
      <x:c r="A48" s="1" t="str">
        <x:v>S0047</x:v>
      </x:c>
      <x:c r="B48" s="1" t="str">
        <x:v>1</x:v>
      </x:c>
      <x:c r="C48" s="1" t="str">
        <x:v>premium</x:v>
      </x:c>
      <x:c r="D48" s="1" t="str">
        <x:v>15.99</x:v>
      </x:c>
      <x:c r="E48" s="1" t="str">
        <x:v>2</x:v>
      </x:c>
      <x:c r="F48" s="1" t="str">
        <x:v>0</x:v>
      </x:c>
      <x:c r="G48" s="1" t="str">
        <x:v>57</x:v>
      </x:c>
      <x:c r="H48" s="1" t="str">
        <x:v>0</x:v>
      </x:c>
      <x:c r="I48" s="1" t="str">
        <x:v>0</x:v>
      </x:c>
      <x:c r="J48" s="1" t="str">
        <x:v>yes</x:v>
      </x:c>
      <x:c r="K48" s="1"/>
      <x:c r="L48" s="1"/>
      <x:c r="M48" s="1"/>
      <x:c r="N48" s="1"/>
      <x:c r="O48" s="1"/>
    </x:row>
    <x:row r="49">
      <x:c r="A49" s="1" t="str">
        <x:v>S0048</x:v>
      </x:c>
      <x:c r="B49" s="1" t="str">
        <x:v>36</x:v>
      </x:c>
      <x:c r="C49" s="1" t="str">
        <x:v>basic</x:v>
      </x:c>
      <x:c r="D49" s="1" t="str">
        <x:v>9.99</x:v>
      </x:c>
      <x:c r="E49" s="1" t="str">
        <x:v>1</x:v>
      </x:c>
      <x:c r="F49" s="1" t="str">
        <x:v>4</x:v>
      </x:c>
      <x:c r="G49" s="1" t="str">
        <x:v>19</x:v>
      </x:c>
      <x:c r="H49" s="1" t="str">
        <x:v>0</x:v>
      </x:c>
      <x:c r="I49" s="1" t="str">
        <x:v>1</x:v>
      </x:c>
      <x:c r="J49" s="1" t="str">
        <x:v>no</x:v>
      </x:c>
      <x:c r="K49" s="1"/>
      <x:c r="L49" s="1"/>
      <x:c r="M49" s="1"/>
      <x:c r="N49" s="1"/>
      <x:c r="O49" s="1"/>
    </x:row>
    <x:row r="50">
      <x:c r="A50" s="1" t="str">
        <x:v>S0049</x:v>
      </x:c>
      <x:c r="B50" s="1" t="str">
        <x:v>45</x:v>
      </x:c>
      <x:c r="C50" s="1" t="str">
        <x:v>basic</x:v>
      </x:c>
      <x:c r="D50" s="1" t="str">
        <x:v>9.99</x:v>
      </x:c>
      <x:c r="E50" s="1" t="str">
        <x:v>2</x:v>
      </x:c>
      <x:c r="F50" s="1" t="str">
        <x:v>21</x:v>
      </x:c>
      <x:c r="G50" s="1" t="str">
        <x:v>1</x:v>
      </x:c>
      <x:c r="H50" s="1" t="str">
        <x:v>0</x:v>
      </x:c>
      <x:c r="I50" s="1" t="str">
        <x:v>0</x:v>
      </x:c>
      <x:c r="J50" s="1" t="str">
        <x:v>no</x:v>
      </x:c>
      <x:c r="K50" s="1"/>
      <x:c r="L50" s="1"/>
      <x:c r="M50" s="1"/>
      <x:c r="N50" s="1"/>
      <x:c r="O50" s="1"/>
    </x:row>
    <x:row r="51">
      <x:c r="A51" s="1" t="str">
        <x:v>S0050</x:v>
      </x:c>
      <x:c r="B51" s="1" t="str">
        <x:v>13</x:v>
      </x:c>
      <x:c r="C51" s="1" t="str">
        <x:v>premium</x:v>
      </x:c>
      <x:c r="D51" s="1" t="str">
        <x:v>15.99</x:v>
      </x:c>
      <x:c r="E51" s="1" t="str">
        <x:v>2</x:v>
      </x:c>
      <x:c r="F51" s="1" t="str">
        <x:v>21</x:v>
      </x:c>
      <x:c r="G51" s="1" t="str">
        <x:v>17</x:v>
      </x:c>
      <x:c r="H51" s="1" t="str">
        <x:v>0</x:v>
      </x:c>
      <x:c r="I51" s="1" t="str">
        <x:v>0</x:v>
      </x:c>
      <x:c r="J51" s="1" t="str">
        <x:v>no</x:v>
      </x:c>
      <x:c r="K51" s="1"/>
      <x:c r="L51" s="1"/>
      <x:c r="M51" s="1"/>
      <x:c r="N51" s="1"/>
      <x:c r="O51" s="1"/>
    </x:row>
    <x:row r="52">
      <x:c r="A52" s="1" t="str">
        <x:v>S0051</x:v>
      </x:c>
      <x:c r="B52" s="1" t="str">
        <x:v>33</x:v>
      </x:c>
      <x:c r="C52" s="1" t="str">
        <x:v>basic</x:v>
      </x:c>
      <x:c r="D52" s="1" t="str">
        <x:v>9.99</x:v>
      </x:c>
      <x:c r="E52" s="1" t="str">
        <x:v>0</x:v>
      </x:c>
      <x:c r="F52" s="1" t="str">
        <x:v>25</x:v>
      </x:c>
      <x:c r="G52" s="1" t="str">
        <x:v>14</x:v>
      </x:c>
      <x:c r="H52" s="1" t="str">
        <x:v>0</x:v>
      </x:c>
      <x:c r="I52" s="1" t="str">
        <x:v>0</x:v>
      </x:c>
      <x:c r="J52" s="1" t="str">
        <x:v>yes</x:v>
      </x:c>
      <x:c r="K52" s="1"/>
      <x:c r="L52" s="1"/>
      <x:c r="M52" s="1"/>
      <x:c r="N52" s="1"/>
      <x:c r="O52" s="1"/>
    </x:row>
    <x:row r="53">
      <x:c r="A53" s="1" t="str">
        <x:v>S0052</x:v>
      </x:c>
      <x:c r="B53" s="1" t="str">
        <x:v>10</x:v>
      </x:c>
      <x:c r="C53" s="1" t="str">
        <x:v>basic</x:v>
      </x:c>
      <x:c r="D53" s="1" t="str">
        <x:v>9.99</x:v>
      </x:c>
      <x:c r="E53" s="1" t="str">
        <x:v>0</x:v>
      </x:c>
      <x:c r="F53" s="1" t="str">
        <x:v>10</x:v>
      </x:c>
      <x:c r="G53" s="1" t="str">
        <x:v>9</x:v>
      </x:c>
      <x:c r="H53" s="1" t="str">
        <x:v>2</x:v>
      </x:c>
      <x:c r="I53" s="1" t="str">
        <x:v>0</x:v>
      </x:c>
      <x:c r="J53" s="1" t="str">
        <x:v>no</x:v>
      </x:c>
      <x:c r="K53" s="1"/>
      <x:c r="L53" s="1"/>
      <x:c r="M53" s="1"/>
      <x:c r="N53" s="1"/>
      <x:c r="O53" s="1"/>
    </x:row>
    <x:row r="54">
      <x:c r="A54" s="1" t="str">
        <x:v>S0053</x:v>
      </x:c>
      <x:c r="B54" s="1" t="str">
        <x:v>29</x:v>
      </x:c>
      <x:c r="C54" s="1" t="str">
        <x:v>basic</x:v>
      </x:c>
      <x:c r="D54" s="1" t="str">
        <x:v>9.99</x:v>
      </x:c>
      <x:c r="E54" s="1" t="str">
        <x:v>1</x:v>
      </x:c>
      <x:c r="F54" s="1" t="str">
        <x:v>14</x:v>
      </x:c>
      <x:c r="G54" s="1" t="str">
        <x:v>5</x:v>
      </x:c>
      <x:c r="H54" s="1" t="str">
        <x:v>1</x:v>
      </x:c>
      <x:c r="I54" s="1" t="str">
        <x:v>0</x:v>
      </x:c>
      <x:c r="J54" s="1" t="str">
        <x:v>no</x:v>
      </x:c>
      <x:c r="K54" s="1"/>
      <x:c r="L54" s="1"/>
      <x:c r="M54" s="1"/>
      <x:c r="N54" s="1"/>
      <x:c r="O54" s="1"/>
    </x:row>
    <x:row r="55">
      <x:c r="A55" s="1" t="str">
        <x:v>S0054</x:v>
      </x:c>
      <x:c r="B55" s="1" t="str">
        <x:v>29</x:v>
      </x:c>
      <x:c r="C55" s="1" t="str">
        <x:v>premium</x:v>
      </x:c>
      <x:c r="D55" s="1" t="str">
        <x:v>15.99</x:v>
      </x:c>
      <x:c r="E55" s="1" t="str">
        <x:v>1</x:v>
      </x:c>
      <x:c r="F55" s="1" t="str">
        <x:v>29</x:v>
      </x:c>
      <x:c r="G55" s="1" t="str">
        <x:v>3</x:v>
      </x:c>
      <x:c r="H55" s="1" t="str">
        <x:v>0</x:v>
      </x:c>
      <x:c r="I55" s="1" t="str">
        <x:v>0</x:v>
      </x:c>
      <x:c r="J55" s="1" t="str">
        <x:v>no</x:v>
      </x:c>
      <x:c r="K55" s="1"/>
      <x:c r="L55" s="1"/>
      <x:c r="M55" s="1"/>
      <x:c r="N55" s="1"/>
      <x:c r="O55" s="1"/>
    </x:row>
    <x:row r="56">
      <x:c r="A56" s="1" t="str">
        <x:v>S0055</x:v>
      </x:c>
      <x:c r="B56" s="1" t="str">
        <x:v>10</x:v>
      </x:c>
      <x:c r="C56" s="1" t="str">
        <x:v>basic</x:v>
      </x:c>
      <x:c r="D56" s="1" t="str">
        <x:v>9.99</x:v>
      </x:c>
      <x:c r="E56" s="1" t="str">
        <x:v>0</x:v>
      </x:c>
      <x:c r="F56" s="1" t="str">
        <x:v>8</x:v>
      </x:c>
      <x:c r="G56" s="1" t="str">
        <x:v>4</x:v>
      </x:c>
      <x:c r="H56" s="1" t="str">
        <x:v>0</x:v>
      </x:c>
      <x:c r="I56" s="1" t="str">
        <x:v>0</x:v>
      </x:c>
      <x:c r="J56" s="1" t="str">
        <x:v>no</x:v>
      </x:c>
      <x:c r="K56" s="1"/>
      <x:c r="L56" s="1"/>
      <x:c r="M56" s="1"/>
      <x:c r="N56" s="1"/>
      <x:c r="O56" s="1"/>
    </x:row>
    <x:row r="57">
      <x:c r="A57" s="1" t="str">
        <x:v>S0056</x:v>
      </x:c>
      <x:c r="B57" s="1" t="str">
        <x:v>13</x:v>
      </x:c>
      <x:c r="C57" s="1" t="str">
        <x:v>basic</x:v>
      </x:c>
      <x:c r="D57" s="1" t="str">
        <x:v>9.99</x:v>
      </x:c>
      <x:c r="E57" s="1" t="str">
        <x:v>0</x:v>
      </x:c>
      <x:c r="F57" s="1" t="str">
        <x:v>21</x:v>
      </x:c>
      <x:c r="G57" s="1" t="str">
        <x:v>12</x:v>
      </x:c>
      <x:c r="H57" s="1" t="str">
        <x:v>0</x:v>
      </x:c>
      <x:c r="I57" s="1" t="str">
        <x:v>0</x:v>
      </x:c>
      <x:c r="J57" s="1" t="str">
        <x:v>no</x:v>
      </x:c>
      <x:c r="K57" s="1"/>
      <x:c r="L57" s="1"/>
      <x:c r="M57" s="1"/>
      <x:c r="N57" s="1"/>
      <x:c r="O57" s="1"/>
    </x:row>
    <x:row r="58">
      <x:c r="A58" s="1" t="str">
        <x:v>S0057</x:v>
      </x:c>
      <x:c r="B58" s="1" t="str">
        <x:v>14</x:v>
      </x:c>
      <x:c r="C58" s="1" t="str">
        <x:v>premium</x:v>
      </x:c>
      <x:c r="D58" s="1" t="str">
        <x:v>15.99</x:v>
      </x:c>
      <x:c r="E58" s="1" t="str">
        <x:v>1</x:v>
      </x:c>
      <x:c r="F58" s="1" t="str">
        <x:v>30</x:v>
      </x:c>
      <x:c r="G58" s="1" t="str">
        <x:v>0</x:v>
      </x:c>
      <x:c r="H58" s="1" t="str">
        <x:v>0</x:v>
      </x:c>
      <x:c r="I58" s="1" t="str">
        <x:v>0</x:v>
      </x:c>
      <x:c r="J58" s="1" t="str">
        <x:v>no</x:v>
      </x:c>
      <x:c r="K58" s="1"/>
      <x:c r="L58" s="1"/>
      <x:c r="M58" s="1"/>
      <x:c r="N58" s="1"/>
      <x:c r="O58" s="1"/>
    </x:row>
    <x:row r="59">
      <x:c r="A59" s="1" t="str">
        <x:v>S0058</x:v>
      </x:c>
      <x:c r="B59" s="1" t="str">
        <x:v>28</x:v>
      </x:c>
      <x:c r="C59" s="1" t="str">
        <x:v>premium</x:v>
      </x:c>
      <x:c r="D59" s="1" t="str">
        <x:v>15.99</x:v>
      </x:c>
      <x:c r="E59" s="1" t="str">
        <x:v>2</x:v>
      </x:c>
      <x:c r="F59" s="1" t="str">
        <x:v>0</x:v>
      </x:c>
      <x:c r="G59" s="1" t="str">
        <x:v>40</x:v>
      </x:c>
      <x:c r="H59" s="1" t="str">
        <x:v>0</x:v>
      </x:c>
      <x:c r="I59" s="1" t="str">
        <x:v>0</x:v>
      </x:c>
      <x:c r="J59" s="1" t="str">
        <x:v>no</x:v>
      </x:c>
      <x:c r="K59" s="1"/>
      <x:c r="L59" s="1"/>
      <x:c r="M59" s="1"/>
      <x:c r="N59" s="1"/>
      <x:c r="O59" s="1"/>
    </x:row>
    <x:row r="60">
      <x:c r="A60" s="1" t="str">
        <x:v>S0059</x:v>
      </x:c>
      <x:c r="B60" s="1" t="str">
        <x:v>27</x:v>
      </x:c>
      <x:c r="C60" s="1" t="str">
        <x:v>basic</x:v>
      </x:c>
      <x:c r="D60" s="1" t="str">
        <x:v>9.99</x:v>
      </x:c>
      <x:c r="E60" s="1" t="str">
        <x:v>1</x:v>
      </x:c>
      <x:c r="F60" s="1" t="str">
        <x:v>10</x:v>
      </x:c>
      <x:c r="G60" s="1" t="str">
        <x:v>20</x:v>
      </x:c>
      <x:c r="H60" s="1" t="str">
        <x:v>0</x:v>
      </x:c>
      <x:c r="I60" s="1" t="str">
        <x:v>0</x:v>
      </x:c>
      <x:c r="J60" s="1" t="str">
        <x:v>no</x:v>
      </x:c>
      <x:c r="K60" s="1"/>
      <x:c r="L60" s="1"/>
      <x:c r="M60" s="1"/>
      <x:c r="N60" s="1"/>
      <x:c r="O60" s="1"/>
    </x:row>
    <x:row r="61">
      <x:c r="A61" s="1" t="str">
        <x:v>S0060</x:v>
      </x:c>
      <x:c r="B61" s="1" t="str">
        <x:v>47</x:v>
      </x:c>
      <x:c r="C61" s="1" t="str">
        <x:v>basic</x:v>
      </x:c>
      <x:c r="D61" s="1" t="str">
        <x:v>9.99</x:v>
      </x:c>
      <x:c r="E61" s="1" t="str">
        <x:v>1</x:v>
      </x:c>
      <x:c r="F61" s="1" t="str">
        <x:v>21</x:v>
      </x:c>
      <x:c r="G61" s="1" t="str">
        <x:v>2</x:v>
      </x:c>
      <x:c r="H61" s="1" t="str">
        <x:v>0</x:v>
      </x:c>
      <x:c r="I61" s="1" t="str">
        <x:v>0</x:v>
      </x:c>
      <x:c r="J61" s="1" t="str">
        <x:v>no</x:v>
      </x:c>
      <x:c r="K61" s="1"/>
      <x:c r="L61" s="1"/>
      <x:c r="M61" s="1"/>
      <x:c r="N61" s="1"/>
      <x:c r="O61" s="1"/>
    </x:row>
    <x:row r="62">
      <x:c r="A62" s="1" t="str">
        <x:v>S0061</x:v>
      </x:c>
      <x:c r="B62" s="1" t="str">
        <x:v>19</x:v>
      </x:c>
      <x:c r="C62" s="1" t="str">
        <x:v>basic</x:v>
      </x:c>
      <x:c r="D62" s="1" t="str">
        <x:v>9.99</x:v>
      </x:c>
      <x:c r="E62" s="1" t="str">
        <x:v>0</x:v>
      </x:c>
      <x:c r="F62" s="1" t="str">
        <x:v>17</x:v>
      </x:c>
      <x:c r="G62" s="1" t="str">
        <x:v>23</x:v>
      </x:c>
      <x:c r="H62" s="1" t="str">
        <x:v>0</x:v>
      </x:c>
      <x:c r="I62" s="1" t="str">
        <x:v>1</x:v>
      </x:c>
      <x:c r="J62" s="1" t="str">
        <x:v>yes</x:v>
      </x:c>
      <x:c r="K62" s="1"/>
      <x:c r="L62" s="1"/>
      <x:c r="M62" s="1"/>
      <x:c r="N62" s="1"/>
      <x:c r="O62" s="1"/>
    </x:row>
    <x:row r="63">
      <x:c r="A63" s="1" t="str">
        <x:v>S0062</x:v>
      </x:c>
      <x:c r="B63" s="1" t="str">
        <x:v>43</x:v>
      </x:c>
      <x:c r="C63" s="1" t="str">
        <x:v>premium</x:v>
      </x:c>
      <x:c r="D63" s="1" t="str">
        <x:v>15.99</x:v>
      </x:c>
      <x:c r="E63" s="1" t="str">
        <x:v>0</x:v>
      </x:c>
      <x:c r="F63" s="1" t="str">
        <x:v>26</x:v>
      </x:c>
      <x:c r="G63" s="1" t="str">
        <x:v>9</x:v>
      </x:c>
      <x:c r="H63" s="1" t="str">
        <x:v>0</x:v>
      </x:c>
      <x:c r="I63" s="1" t="str">
        <x:v>0</x:v>
      </x:c>
      <x:c r="J63" s="1" t="str">
        <x:v>no</x:v>
      </x:c>
      <x:c r="K63" s="1"/>
      <x:c r="L63" s="1"/>
      <x:c r="M63" s="1"/>
      <x:c r="N63" s="1"/>
      <x:c r="O63" s="1"/>
    </x:row>
    <x:row r="64">
      <x:c r="A64" s="1" t="str">
        <x:v>S0063</x:v>
      </x:c>
      <x:c r="B64" s="1" t="str">
        <x:v>31</x:v>
      </x:c>
      <x:c r="C64" s="1" t="str">
        <x:v>basic</x:v>
      </x:c>
      <x:c r="D64" s="1" t="str">
        <x:v>9.99</x:v>
      </x:c>
      <x:c r="E64" s="1" t="str">
        <x:v>1</x:v>
      </x:c>
      <x:c r="F64" s="1" t="str">
        <x:v>17</x:v>
      </x:c>
      <x:c r="G64" s="1" t="str">
        <x:v>5</x:v>
      </x:c>
      <x:c r="H64" s="1" t="str">
        <x:v>0</x:v>
      </x:c>
      <x:c r="I64" s="1" t="str">
        <x:v>0</x:v>
      </x:c>
      <x:c r="J64" s="1" t="str">
        <x:v>no</x:v>
      </x:c>
      <x:c r="K64" s="1"/>
      <x:c r="L64" s="1"/>
      <x:c r="M64" s="1"/>
      <x:c r="N64" s="1"/>
      <x:c r="O64" s="1"/>
    </x:row>
    <x:row r="65">
      <x:c r="A65" s="1" t="str">
        <x:v>S0064</x:v>
      </x:c>
      <x:c r="B65" s="1" t="str">
        <x:v>13</x:v>
      </x:c>
      <x:c r="C65" s="1" t="str">
        <x:v>basic</x:v>
      </x:c>
      <x:c r="D65" s="1" t="str">
        <x:v>9.99</x:v>
      </x:c>
      <x:c r="E65" s="1" t="str">
        <x:v>0</x:v>
      </x:c>
      <x:c r="F65" s="1" t="str">
        <x:v>0</x:v>
      </x:c>
      <x:c r="G65" s="1" t="str">
        <x:v>58</x:v>
      </x:c>
      <x:c r="H65" s="1" t="str">
        <x:v>0</x:v>
      </x:c>
      <x:c r="I65" s="1" t="str">
        <x:v>0</x:v>
      </x:c>
      <x:c r="J65" s="1" t="str">
        <x:v>no</x:v>
      </x:c>
      <x:c r="K65" s="1"/>
      <x:c r="L65" s="1"/>
      <x:c r="M65" s="1"/>
      <x:c r="N65" s="1"/>
      <x:c r="O65" s="1"/>
    </x:row>
    <x:row r="66">
      <x:c r="A66" s="1" t="str">
        <x:v>S0065</x:v>
      </x:c>
      <x:c r="B66" s="1" t="str">
        <x:v>29</x:v>
      </x:c>
      <x:c r="C66" s="1" t="str">
        <x:v>basic</x:v>
      </x:c>
      <x:c r="D66" s="1" t="str">
        <x:v>9.99</x:v>
      </x:c>
      <x:c r="E66" s="1" t="str">
        <x:v>1</x:v>
      </x:c>
      <x:c r="F66" s="1" t="str">
        <x:v>20</x:v>
      </x:c>
      <x:c r="G66" s="1" t="str">
        <x:v>14</x:v>
      </x:c>
      <x:c r="H66" s="1" t="str">
        <x:v>1</x:v>
      </x:c>
      <x:c r="I66" s="1" t="str">
        <x:v>0</x:v>
      </x:c>
      <x:c r="J66" s="1" t="str">
        <x:v>no</x:v>
      </x:c>
      <x:c r="K66" s="1"/>
      <x:c r="L66" s="1"/>
      <x:c r="M66" s="1"/>
      <x:c r="N66" s="1"/>
      <x:c r="O66" s="1"/>
    </x:row>
    <x:row r="67">
      <x:c r="A67" s="1" t="str">
        <x:v>S0066</x:v>
      </x:c>
      <x:c r="B67" s="1" t="str">
        <x:v>31</x:v>
      </x:c>
      <x:c r="C67" s="1" t="str">
        <x:v>basic</x:v>
      </x:c>
      <x:c r="D67" s="1" t="str">
        <x:v>9.99</x:v>
      </x:c>
      <x:c r="E67" s="1" t="str">
        <x:v>0</x:v>
      </x:c>
      <x:c r="F67" s="1" t="str">
        <x:v>9</x:v>
      </x:c>
      <x:c r="G67" s="1" t="str">
        <x:v>17</x:v>
      </x:c>
      <x:c r="H67" s="1" t="str">
        <x:v>0</x:v>
      </x:c>
      <x:c r="I67" s="1" t="str">
        <x:v>0</x:v>
      </x:c>
      <x:c r="J67" s="1" t="str">
        <x:v>no</x:v>
      </x:c>
      <x:c r="K67" s="1"/>
      <x:c r="L67" s="1"/>
      <x:c r="M67" s="1"/>
      <x:c r="N67" s="1"/>
      <x:c r="O67" s="1"/>
    </x:row>
    <x:row r="68">
      <x:c r="A68" s="1" t="str">
        <x:v>S0067</x:v>
      </x:c>
      <x:c r="B68" s="1" t="str">
        <x:v>20</x:v>
      </x:c>
      <x:c r="C68" s="1" t="str">
        <x:v>basic</x:v>
      </x:c>
      <x:c r="D68" s="1" t="str">
        <x:v>9.99</x:v>
      </x:c>
      <x:c r="E68" s="1" t="str">
        <x:v>1</x:v>
      </x:c>
      <x:c r="F68" s="1" t="str">
        <x:v>1</x:v>
      </x:c>
      <x:c r="G68" s="1" t="str">
        <x:v>20</x:v>
      </x:c>
      <x:c r="H68" s="1" t="str">
        <x:v>0</x:v>
      </x:c>
      <x:c r="I68" s="1" t="str">
        <x:v>0</x:v>
      </x:c>
      <x:c r="J68" s="1" t="str">
        <x:v>yes</x:v>
      </x:c>
      <x:c r="K68" s="1"/>
      <x:c r="L68" s="1"/>
      <x:c r="M68" s="1"/>
      <x:c r="N68" s="1"/>
      <x:c r="O68" s="1"/>
    </x:row>
    <x:row r="69">
      <x:c r="A69" s="1" t="str">
        <x:v>S0068</x:v>
      </x:c>
      <x:c r="B69" s="1" t="str">
        <x:v>40</x:v>
      </x:c>
      <x:c r="C69" s="1" t="str">
        <x:v>premium</x:v>
      </x:c>
      <x:c r="D69" s="1" t="str">
        <x:v>15.99</x:v>
      </x:c>
      <x:c r="E69" s="1" t="str">
        <x:v>0</x:v>
      </x:c>
      <x:c r="F69" s="1" t="str">
        <x:v>18</x:v>
      </x:c>
      <x:c r="G69" s="1" t="str">
        <x:v>1</x:v>
      </x:c>
      <x:c r="H69" s="1" t="str">
        <x:v>0</x:v>
      </x:c>
      <x:c r="I69" s="1" t="str">
        <x:v>0</x:v>
      </x:c>
      <x:c r="J69" s="1" t="str">
        <x:v>no</x:v>
      </x:c>
      <x:c r="K69" s="1"/>
      <x:c r="L69" s="1"/>
      <x:c r="M69" s="1"/>
      <x:c r="N69" s="1"/>
      <x:c r="O69" s="1"/>
    </x:row>
    <x:row r="70">
      <x:c r="A70" s="1" t="str">
        <x:v>S0069</x:v>
      </x:c>
      <x:c r="B70" s="1" t="str">
        <x:v>42</x:v>
      </x:c>
      <x:c r="C70" s="1" t="str">
        <x:v>basic</x:v>
      </x:c>
      <x:c r="D70" s="1" t="str">
        <x:v>9.99</x:v>
      </x:c>
      <x:c r="E70" s="1" t="str">
        <x:v>0</x:v>
      </x:c>
      <x:c r="F70" s="1" t="str">
        <x:v>23</x:v>
      </x:c>
      <x:c r="G70" s="1" t="str">
        <x:v>4</x:v>
      </x:c>
      <x:c r="H70" s="1" t="str">
        <x:v>0</x:v>
      </x:c>
      <x:c r="I70" s="1" t="str">
        <x:v>0</x:v>
      </x:c>
      <x:c r="J70" s="1" t="str">
        <x:v>no</x:v>
      </x:c>
      <x:c r="K70" s="1"/>
      <x:c r="L70" s="1"/>
      <x:c r="M70" s="1"/>
      <x:c r="N70" s="1"/>
      <x:c r="O70" s="1"/>
    </x:row>
    <x:row r="71">
      <x:c r="A71" s="1" t="str">
        <x:v>S0070</x:v>
      </x:c>
      <x:c r="B71" s="1" t="str">
        <x:v>11</x:v>
      </x:c>
      <x:c r="C71" s="1" t="str">
        <x:v>basic</x:v>
      </x:c>
      <x:c r="D71" s="1" t="str">
        <x:v>9.99</x:v>
      </x:c>
      <x:c r="E71" s="1" t="str">
        <x:v>0</x:v>
      </x:c>
      <x:c r="F71" s="1" t="str">
        <x:v>23</x:v>
      </x:c>
      <x:c r="G71" s="1" t="str">
        <x:v>9</x:v>
      </x:c>
      <x:c r="H71" s="1" t="str">
        <x:v>0</x:v>
      </x:c>
      <x:c r="I71" s="1" t="str">
        <x:v>1</x:v>
      </x:c>
      <x:c r="J71" s="1" t="str">
        <x:v>no</x:v>
      </x:c>
      <x:c r="K71" s="1"/>
      <x:c r="L71" s="1"/>
      <x:c r="M71" s="1"/>
      <x:c r="N71" s="1"/>
      <x:c r="O71" s="1"/>
    </x:row>
    <x:row r="72">
      <x:c r="A72" s="1" t="str">
        <x:v>S0071</x:v>
      </x:c>
      <x:c r="B72" s="1" t="str">
        <x:v>19</x:v>
      </x:c>
      <x:c r="C72" s="1" t="str">
        <x:v>basic</x:v>
      </x:c>
      <x:c r="D72" s="1" t="str">
        <x:v>9.99</x:v>
      </x:c>
      <x:c r="E72" s="1" t="str">
        <x:v>2</x:v>
      </x:c>
      <x:c r="F72" s="1" t="str">
        <x:v>26</x:v>
      </x:c>
      <x:c r="G72" s="1" t="str">
        <x:v>1</x:v>
      </x:c>
      <x:c r="H72" s="1" t="str">
        <x:v>0</x:v>
      </x:c>
      <x:c r="I72" s="1" t="str">
        <x:v>0</x:v>
      </x:c>
      <x:c r="J72" s="1" t="str">
        <x:v>no</x:v>
      </x:c>
      <x:c r="K72" s="1"/>
      <x:c r="L72" s="1"/>
      <x:c r="M72" s="1"/>
      <x:c r="N72" s="1"/>
      <x:c r="O72" s="1"/>
    </x:row>
    <x:row r="73">
      <x:c r="A73" s="1" t="str">
        <x:v>S0072</x:v>
      </x:c>
      <x:c r="B73" s="1" t="str">
        <x:v>21</x:v>
      </x:c>
      <x:c r="C73" s="1" t="str">
        <x:v>premium</x:v>
      </x:c>
      <x:c r="D73" s="1" t="str">
        <x:v>15.99</x:v>
      </x:c>
      <x:c r="E73" s="1" t="str">
        <x:v>0</x:v>
      </x:c>
      <x:c r="F73" s="1" t="str">
        <x:v>25</x:v>
      </x:c>
      <x:c r="G73" s="1" t="str">
        <x:v>5</x:v>
      </x:c>
      <x:c r="H73" s="1" t="str">
        <x:v>0</x:v>
      </x:c>
      <x:c r="I73" s="1" t="str">
        <x:v>0</x:v>
      </x:c>
      <x:c r="J73" s="1" t="str">
        <x:v>no</x:v>
      </x:c>
      <x:c r="K73" s="1"/>
      <x:c r="L73" s="1"/>
      <x:c r="M73" s="1"/>
      <x:c r="N73" s="1"/>
      <x:c r="O73" s="1"/>
    </x:row>
    <x:row r="74">
      <x:c r="A74" s="1" t="str">
        <x:v>S0073</x:v>
      </x:c>
      <x:c r="B74" s="1" t="str">
        <x:v>11</x:v>
      </x:c>
      <x:c r="C74" s="1" t="str">
        <x:v>basic</x:v>
      </x:c>
      <x:c r="D74" s="1" t="str">
        <x:v>9.99</x:v>
      </x:c>
      <x:c r="E74" s="1" t="str">
        <x:v>4</x:v>
      </x:c>
      <x:c r="F74" s="1" t="str">
        <x:v>19</x:v>
      </x:c>
      <x:c r="G74" s="1" t="str">
        <x:v>0</x:v>
      </x:c>
      <x:c r="H74" s="1" t="str">
        <x:v>0</x:v>
      </x:c>
      <x:c r="I74" s="1" t="str">
        <x:v>0</x:v>
      </x:c>
      <x:c r="J74" s="1" t="str">
        <x:v>yes</x:v>
      </x:c>
      <x:c r="K74" s="1"/>
      <x:c r="L74" s="1"/>
      <x:c r="M74" s="1"/>
      <x:c r="N74" s="1"/>
      <x:c r="O74" s="1"/>
    </x:row>
    <x:row r="75">
      <x:c r="A75" s="1" t="str">
        <x:v>S0074</x:v>
      </x:c>
      <x:c r="B75" s="1" t="str">
        <x:v>2</x:v>
      </x:c>
      <x:c r="C75" s="1" t="str">
        <x:v>basic</x:v>
      </x:c>
      <x:c r="D75" s="1" t="str">
        <x:v>9.99</x:v>
      </x:c>
      <x:c r="E75" s="1" t="str">
        <x:v>0</x:v>
      </x:c>
      <x:c r="F75" s="1" t="str">
        <x:v>18</x:v>
      </x:c>
      <x:c r="G75" s="1" t="str">
        <x:v>3</x:v>
      </x:c>
      <x:c r="H75" s="1" t="str">
        <x:v>0</x:v>
      </x:c>
      <x:c r="I75" s="1" t="str">
        <x:v>0</x:v>
      </x:c>
      <x:c r="J75" s="1" t="str">
        <x:v>no</x:v>
      </x:c>
      <x:c r="K75" s="1"/>
      <x:c r="L75" s="1"/>
      <x:c r="M75" s="1"/>
      <x:c r="N75" s="1"/>
      <x:c r="O75" s="1"/>
    </x:row>
    <x:row r="76">
      <x:c r="A76" s="1" t="str">
        <x:v>S0075</x:v>
      </x:c>
      <x:c r="B76" s="1" t="str">
        <x:v>20</x:v>
      </x:c>
      <x:c r="C76" s="1" t="str">
        <x:v>basic</x:v>
      </x:c>
      <x:c r="D76" s="1" t="str">
        <x:v>9.99</x:v>
      </x:c>
      <x:c r="E76" s="1" t="str">
        <x:v>0</x:v>
      </x:c>
      <x:c r="F76" s="1" t="str">
        <x:v>2</x:v>
      </x:c>
      <x:c r="G76" s="1" t="str">
        <x:v>20</x:v>
      </x:c>
      <x:c r="H76" s="1" t="str">
        <x:v>1</x:v>
      </x:c>
      <x:c r="I76" s="1" t="str">
        <x:v>0</x:v>
      </x:c>
      <x:c r="J76" s="1" t="str">
        <x:v>yes</x:v>
      </x:c>
      <x:c r="K76" s="1"/>
      <x:c r="L76" s="1"/>
      <x:c r="M76" s="1"/>
      <x:c r="N76" s="1"/>
      <x:c r="O76" s="1"/>
    </x:row>
    <x:row r="77">
      <x:c r="A77" s="1" t="str">
        <x:v>S0076</x:v>
      </x:c>
      <x:c r="B77" s="1" t="str">
        <x:v>21</x:v>
      </x:c>
      <x:c r="C77" s="1" t="str">
        <x:v>basic</x:v>
      </x:c>
      <x:c r="D77" s="1" t="str">
        <x:v>9.99</x:v>
      </x:c>
      <x:c r="E77" s="1" t="str">
        <x:v>0</x:v>
      </x:c>
      <x:c r="F77" s="1" t="str">
        <x:v>21</x:v>
      </x:c>
      <x:c r="G77" s="1" t="str">
        <x:v>14</x:v>
      </x:c>
      <x:c r="H77" s="1" t="str">
        <x:v>0</x:v>
      </x:c>
      <x:c r="I77" s="1" t="str">
        <x:v>0</x:v>
      </x:c>
      <x:c r="J77" s="1" t="str">
        <x:v>no</x:v>
      </x:c>
      <x:c r="K77" s="1"/>
      <x:c r="L77" s="1"/>
      <x:c r="M77" s="1"/>
      <x:c r="N77" s="1"/>
      <x:c r="O77" s="1"/>
    </x:row>
    <x:row r="78">
      <x:c r="A78" s="1" t="str">
        <x:v>S0077</x:v>
      </x:c>
      <x:c r="B78" s="1" t="str">
        <x:v>40</x:v>
      </x:c>
      <x:c r="C78" s="1" t="str">
        <x:v>basic</x:v>
      </x:c>
      <x:c r="D78" s="1" t="str">
        <x:v>9.99</x:v>
      </x:c>
      <x:c r="E78" s="1" t="str">
        <x:v>4</x:v>
      </x:c>
      <x:c r="F78" s="1" t="str">
        <x:v>0</x:v>
      </x:c>
      <x:c r="G78" s="1" t="str">
        <x:v>33</x:v>
      </x:c>
      <x:c r="H78" s="1" t="str">
        <x:v>0</x:v>
      </x:c>
      <x:c r="I78" s="1" t="str">
        <x:v>0</x:v>
      </x:c>
      <x:c r="J78" s="1" t="str">
        <x:v>no</x:v>
      </x:c>
      <x:c r="K78" s="1"/>
      <x:c r="L78" s="1"/>
      <x:c r="M78" s="1"/>
      <x:c r="N78" s="1"/>
      <x:c r="O78" s="1"/>
    </x:row>
    <x:row r="79">
      <x:c r="A79" s="1" t="str">
        <x:v>S0078</x:v>
      </x:c>
      <x:c r="B79" s="1" t="str">
        <x:v>8</x:v>
      </x:c>
      <x:c r="C79" s="1" t="str">
        <x:v>premium</x:v>
      </x:c>
      <x:c r="D79" s="1" t="str">
        <x:v>15.99</x:v>
      </x:c>
      <x:c r="E79" s="1" t="str">
        <x:v>2</x:v>
      </x:c>
      <x:c r="F79" s="1" t="str">
        <x:v>17</x:v>
      </x:c>
      <x:c r="G79" s="1" t="str">
        <x:v>0</x:v>
      </x:c>
      <x:c r="H79" s="1" t="str">
        <x:v>0</x:v>
      </x:c>
      <x:c r="I79" s="1" t="str">
        <x:v>0</x:v>
      </x:c>
      <x:c r="J79" s="1" t="str">
        <x:v>no</x:v>
      </x:c>
      <x:c r="K79" s="1"/>
      <x:c r="L79" s="1"/>
      <x:c r="M79" s="1"/>
      <x:c r="N79" s="1"/>
      <x:c r="O79" s="1"/>
    </x:row>
    <x:row r="80">
      <x:c r="A80" s="1" t="str">
        <x:v>S0079</x:v>
      </x:c>
      <x:c r="B80" s="1" t="str">
        <x:v>29</x:v>
      </x:c>
      <x:c r="C80" s="1" t="str">
        <x:v>basic</x:v>
      </x:c>
      <x:c r="D80" s="1" t="str">
        <x:v>9.99</x:v>
      </x:c>
      <x:c r="E80" s="1" t="str">
        <x:v>1</x:v>
      </x:c>
      <x:c r="F80" s="1" t="str">
        <x:v>8</x:v>
      </x:c>
      <x:c r="G80" s="1" t="str">
        <x:v>5</x:v>
      </x:c>
      <x:c r="H80" s="1" t="str">
        <x:v>0</x:v>
      </x:c>
      <x:c r="I80" s="1" t="str">
        <x:v>0</x:v>
      </x:c>
      <x:c r="J80" s="1" t="str">
        <x:v>no</x:v>
      </x:c>
      <x:c r="K80" s="1"/>
      <x:c r="L80" s="1"/>
      <x:c r="M80" s="1"/>
      <x:c r="N80" s="1"/>
      <x:c r="O80" s="1"/>
    </x:row>
    <x:row r="81">
      <x:c r="A81" s="1" t="str">
        <x:v>S0080</x:v>
      </x:c>
      <x:c r="B81" s="1" t="str">
        <x:v>15</x:v>
      </x:c>
      <x:c r="C81" s="1" t="str">
        <x:v>basic</x:v>
      </x:c>
      <x:c r="D81" s="1" t="str">
        <x:v>9.99</x:v>
      </x:c>
      <x:c r="E81" s="1" t="str">
        <x:v>0</x:v>
      </x:c>
      <x:c r="F81" s="1" t="str">
        <x:v>25</x:v>
      </x:c>
      <x:c r="G81" s="1" t="str">
        <x:v>2</x:v>
      </x:c>
      <x:c r="H81" s="1" t="str">
        <x:v>0</x:v>
      </x:c>
      <x:c r="I81" s="1" t="str">
        <x:v>0</x:v>
      </x:c>
      <x:c r="J81" s="1" t="str">
        <x:v>no</x:v>
      </x:c>
      <x:c r="K81" s="1"/>
      <x:c r="L81" s="1"/>
      <x:c r="M81" s="1"/>
      <x:c r="N81" s="1"/>
      <x:c r="O81" s="1"/>
    </x:row>
    <x:row r="82">
      <x:c r="A82" s="1" t="str">
        <x:v>S0081</x:v>
      </x:c>
      <x:c r="B82" s="1" t="str">
        <x:v>26</x:v>
      </x:c>
      <x:c r="C82" s="1" t="str">
        <x:v>premium</x:v>
      </x:c>
      <x:c r="D82" s="1" t="str">
        <x:v>15.99</x:v>
      </x:c>
      <x:c r="E82" s="1" t="str">
        <x:v>1</x:v>
      </x:c>
      <x:c r="F82" s="1" t="str">
        <x:v>23</x:v>
      </x:c>
      <x:c r="G82" s="1" t="str">
        <x:v>5</x:v>
      </x:c>
      <x:c r="H82" s="1" t="str">
        <x:v>0</x:v>
      </x:c>
      <x:c r="I82" s="1" t="str">
        <x:v>0</x:v>
      </x:c>
      <x:c r="J82" s="1" t="str">
        <x:v>no</x:v>
      </x:c>
      <x:c r="K82" s="1"/>
      <x:c r="L82" s="1"/>
      <x:c r="M82" s="1"/>
      <x:c r="N82" s="1"/>
      <x:c r="O82" s="1"/>
    </x:row>
    <x:row r="83">
      <x:c r="A83" s="1" t="str">
        <x:v>S0082</x:v>
      </x:c>
      <x:c r="B83" s="1" t="str">
        <x:v>33</x:v>
      </x:c>
      <x:c r="C83" s="1" t="str">
        <x:v>basic</x:v>
      </x:c>
      <x:c r="D83" s="1" t="str">
        <x:v>9.99</x:v>
      </x:c>
      <x:c r="E83" s="1" t="str">
        <x:v>1</x:v>
      </x:c>
      <x:c r="F83" s="1" t="str">
        <x:v>20</x:v>
      </x:c>
      <x:c r="G83" s="1" t="str">
        <x:v>7</x:v>
      </x:c>
      <x:c r="H83" s="1" t="str">
        <x:v>0</x:v>
      </x:c>
      <x:c r="I83" s="1" t="str">
        <x:v>0</x:v>
      </x:c>
      <x:c r="J83" s="1" t="str">
        <x:v>no</x:v>
      </x:c>
      <x:c r="K83" s="1"/>
      <x:c r="L83" s="1"/>
      <x:c r="M83" s="1"/>
      <x:c r="N83" s="1"/>
      <x:c r="O83" s="1"/>
    </x:row>
    <x:row r="84">
      <x:c r="A84" s="1" t="str">
        <x:v>S0083</x:v>
      </x:c>
      <x:c r="B84" s="1" t="str">
        <x:v>48</x:v>
      </x:c>
      <x:c r="C84" s="1" t="str">
        <x:v>basic</x:v>
      </x:c>
      <x:c r="D84" s="1" t="str">
        <x:v>9.99</x:v>
      </x:c>
      <x:c r="E84" s="1" t="str">
        <x:v>1</x:v>
      </x:c>
      <x:c r="F84" s="1" t="str">
        <x:v>0</x:v>
      </x:c>
      <x:c r="G84" s="1" t="str">
        <x:v>59</x:v>
      </x:c>
      <x:c r="H84" s="1" t="str">
        <x:v>0</x:v>
      </x:c>
      <x:c r="I84" s="1" t="str">
        <x:v>0</x:v>
      </x:c>
      <x:c r="J84" s="1" t="str">
        <x:v>no</x:v>
      </x:c>
      <x:c r="K84" s="1"/>
      <x:c r="L84" s="1"/>
      <x:c r="M84" s="1"/>
      <x:c r="N84" s="1"/>
      <x:c r="O84" s="1"/>
    </x:row>
    <x:row r="85">
      <x:c r="A85" s="1" t="str">
        <x:v>S0084</x:v>
      </x:c>
      <x:c r="B85" s="1" t="str">
        <x:v>34</x:v>
      </x:c>
      <x:c r="C85" s="1" t="str">
        <x:v>basic</x:v>
      </x:c>
      <x:c r="D85" s="1" t="str">
        <x:v>9.99</x:v>
      </x:c>
      <x:c r="E85" s="1" t="str">
        <x:v>0</x:v>
      </x:c>
      <x:c r="F85" s="1" t="str">
        <x:v>6</x:v>
      </x:c>
      <x:c r="G85" s="1" t="str">
        <x:v>16</x:v>
      </x:c>
      <x:c r="H85" s="1" t="str">
        <x:v>0</x:v>
      </x:c>
      <x:c r="I85" s="1" t="str">
        <x:v>0</x:v>
      </x:c>
      <x:c r="J85" s="1" t="str">
        <x:v>no</x:v>
      </x:c>
      <x:c r="K85" s="1"/>
      <x:c r="L85" s="1"/>
      <x:c r="M85" s="1"/>
      <x:c r="N85" s="1"/>
      <x:c r="O85" s="1"/>
    </x:row>
    <x:row r="86">
      <x:c r="A86" s="1" t="str">
        <x:v>S0085</x:v>
      </x:c>
      <x:c r="B86" s="1" t="str">
        <x:v>39</x:v>
      </x:c>
      <x:c r="C86" s="1" t="str">
        <x:v>premium</x:v>
      </x:c>
      <x:c r="D86" s="1" t="str">
        <x:v>15.99</x:v>
      </x:c>
      <x:c r="E86" s="1" t="str">
        <x:v>2</x:v>
      </x:c>
      <x:c r="F86" s="1" t="str">
        <x:v>0</x:v>
      </x:c>
      <x:c r="G86" s="1" t="str">
        <x:v>49</x:v>
      </x:c>
      <x:c r="H86" s="1" t="str">
        <x:v>0</x:v>
      </x:c>
      <x:c r="I86" s="1" t="str">
        <x:v>0</x:v>
      </x:c>
      <x:c r="J86" s="1" t="str">
        <x:v>no</x:v>
      </x:c>
      <x:c r="K86" s="1"/>
      <x:c r="L86" s="1"/>
      <x:c r="M86" s="1"/>
      <x:c r="N86" s="1"/>
      <x:c r="O86" s="1"/>
    </x:row>
    <x:row r="87">
      <x:c r="A87" s="1" t="str">
        <x:v>S0086</x:v>
      </x:c>
      <x:c r="B87" s="1" t="str">
        <x:v>33</x:v>
      </x:c>
      <x:c r="C87" s="1" t="str">
        <x:v>premium</x:v>
      </x:c>
      <x:c r="D87" s="1" t="str">
        <x:v>15.99</x:v>
      </x:c>
      <x:c r="E87" s="1" t="str">
        <x:v>1</x:v>
      </x:c>
      <x:c r="F87" s="1" t="str">
        <x:v>12</x:v>
      </x:c>
      <x:c r="G87" s="1" t="str">
        <x:v>28</x:v>
      </x:c>
      <x:c r="H87" s="1" t="str">
        <x:v>2</x:v>
      </x:c>
      <x:c r="I87" s="1" t="str">
        <x:v>1</x:v>
      </x:c>
      <x:c r="J87" s="1" t="str">
        <x:v>yes</x:v>
      </x:c>
      <x:c r="K87" s="1"/>
      <x:c r="L87" s="1"/>
      <x:c r="M87" s="1"/>
      <x:c r="N87" s="1"/>
      <x:c r="O87" s="1"/>
    </x:row>
    <x:row r="88">
      <x:c r="A88" s="1" t="str">
        <x:v>S0087</x:v>
      </x:c>
      <x:c r="B88" s="1" t="str">
        <x:v>45</x:v>
      </x:c>
      <x:c r="C88" s="1" t="str">
        <x:v>basic</x:v>
      </x:c>
      <x:c r="D88" s="1" t="str">
        <x:v>9.99</x:v>
      </x:c>
      <x:c r="E88" s="1" t="str">
        <x:v>0</x:v>
      </x:c>
      <x:c r="F88" s="1" t="str">
        <x:v>0</x:v>
      </x:c>
      <x:c r="G88" s="1" t="str">
        <x:v>40</x:v>
      </x:c>
      <x:c r="H88" s="1" t="str">
        <x:v>0</x:v>
      </x:c>
      <x:c r="I88" s="1" t="str">
        <x:v>0</x:v>
      </x:c>
      <x:c r="J88" s="1" t="str">
        <x:v>no</x:v>
      </x:c>
      <x:c r="K88" s="1"/>
      <x:c r="L88" s="1"/>
      <x:c r="M88" s="1"/>
      <x:c r="N88" s="1"/>
      <x:c r="O88" s="1"/>
    </x:row>
    <x:row r="89">
      <x:c r="A89" s="1" t="str">
        <x:v>S0088</x:v>
      </x:c>
      <x:c r="B89" s="1" t="str">
        <x:v>41</x:v>
      </x:c>
      <x:c r="C89" s="1" t="str">
        <x:v>premium</x:v>
      </x:c>
      <x:c r="D89" s="1" t="str">
        <x:v>15.99</x:v>
      </x:c>
      <x:c r="E89" s="1" t="str">
        <x:v>2</x:v>
      </x:c>
      <x:c r="F89" s="1" t="str">
        <x:v>14</x:v>
      </x:c>
      <x:c r="G89" s="1" t="str">
        <x:v>17</x:v>
      </x:c>
      <x:c r="H89" s="1" t="str">
        <x:v>0</x:v>
      </x:c>
      <x:c r="I89" s="1" t="str">
        <x:v>0</x:v>
      </x:c>
      <x:c r="J89" s="1" t="str">
        <x:v>no</x:v>
      </x:c>
      <x:c r="K89" s="1"/>
      <x:c r="L89" s="1"/>
      <x:c r="M89" s="1"/>
      <x:c r="N89" s="1"/>
      <x:c r="O89" s="1"/>
    </x:row>
    <x:row r="90">
      <x:c r="A90" s="1" t="str">
        <x:v>S0089</x:v>
      </x:c>
      <x:c r="B90" s="1" t="str">
        <x:v>33</x:v>
      </x:c>
      <x:c r="C90" s="1" t="str">
        <x:v>basic</x:v>
      </x:c>
      <x:c r="D90" s="1" t="str">
        <x:v>9.99</x:v>
      </x:c>
      <x:c r="E90" s="1" t="str">
        <x:v>0</x:v>
      </x:c>
      <x:c r="F90" s="1" t="str">
        <x:v>31</x:v>
      </x:c>
      <x:c r="G90" s="1" t="str">
        <x:v>2</x:v>
      </x:c>
      <x:c r="H90" s="1" t="str">
        <x:v>0</x:v>
      </x:c>
      <x:c r="I90" s="1" t="str">
        <x:v>0</x:v>
      </x:c>
      <x:c r="J90" s="1" t="str">
        <x:v>no</x:v>
      </x:c>
      <x:c r="K90" s="1"/>
      <x:c r="L90" s="1"/>
      <x:c r="M90" s="1"/>
      <x:c r="N90" s="1"/>
      <x:c r="O90" s="1"/>
    </x:row>
    <x:row r="91">
      <x:c r="A91" s="1" t="str">
        <x:v>S0090</x:v>
      </x:c>
      <x:c r="B91" s="1" t="str">
        <x:v>38</x:v>
      </x:c>
      <x:c r="C91" s="1" t="str">
        <x:v>basic</x:v>
      </x:c>
      <x:c r="D91" s="1" t="str">
        <x:v>9.99</x:v>
      </x:c>
      <x:c r="E91" s="1" t="str">
        <x:v>0</x:v>
      </x:c>
      <x:c r="F91" s="1" t="str">
        <x:v>3</x:v>
      </x:c>
      <x:c r="G91" s="1" t="str">
        <x:v>9</x:v>
      </x:c>
      <x:c r="H91" s="1" t="str">
        <x:v>0</x:v>
      </x:c>
      <x:c r="I91" s="1" t="str">
        <x:v>0</x:v>
      </x:c>
      <x:c r="J91" s="1" t="str">
        <x:v>no</x:v>
      </x:c>
      <x:c r="K91" s="1"/>
      <x:c r="L91" s="1"/>
      <x:c r="M91" s="1"/>
      <x:c r="N91" s="1"/>
      <x:c r="O91" s="1"/>
    </x:row>
    <x:row r="92">
      <x:c r="A92" s="1" t="str">
        <x:v>S0091</x:v>
      </x:c>
      <x:c r="B92" s="1" t="str">
        <x:v>25</x:v>
      </x:c>
      <x:c r="C92" s="1" t="str">
        <x:v>basic</x:v>
      </x:c>
      <x:c r="D92" s="1" t="str">
        <x:v>9.99</x:v>
      </x:c>
      <x:c r="E92" s="1" t="str">
        <x:v>0</x:v>
      </x:c>
      <x:c r="F92" s="1" t="str">
        <x:v>23</x:v>
      </x:c>
      <x:c r="G92" s="1" t="str">
        <x:v>0</x:v>
      </x:c>
      <x:c r="H92" s="1" t="str">
        <x:v>0</x:v>
      </x:c>
      <x:c r="I92" s="1" t="str">
        <x:v>1</x:v>
      </x:c>
      <x:c r="J92" s="1" t="str">
        <x:v>no</x:v>
      </x:c>
      <x:c r="K92" s="1"/>
      <x:c r="L92" s="1"/>
      <x:c r="M92" s="1"/>
      <x:c r="N92" s="1"/>
      <x:c r="O92" s="1"/>
    </x:row>
    <x:row r="93">
      <x:c r="A93" s="1" t="str">
        <x:v>S0092</x:v>
      </x:c>
      <x:c r="B93" s="1" t="str">
        <x:v>25</x:v>
      </x:c>
      <x:c r="C93" s="1" t="str">
        <x:v>basic</x:v>
      </x:c>
      <x:c r="D93" s="1" t="str">
        <x:v>9.99</x:v>
      </x:c>
      <x:c r="E93" s="1" t="str">
        <x:v>0</x:v>
      </x:c>
      <x:c r="F93" s="1" t="str">
        <x:v>23</x:v>
      </x:c>
      <x:c r="G93" s="1" t="str">
        <x:v>28</x:v>
      </x:c>
      <x:c r="H93" s="1" t="str">
        <x:v>0</x:v>
      </x:c>
      <x:c r="I93" s="1" t="str">
        <x:v>1</x:v>
      </x:c>
      <x:c r="J93" s="1" t="str">
        <x:v>no</x:v>
      </x:c>
      <x:c r="K93" s="1"/>
      <x:c r="L93" s="1"/>
      <x:c r="M93" s="1"/>
      <x:c r="N93" s="1"/>
      <x:c r="O93" s="1"/>
    </x:row>
    <x:row r="94">
      <x:c r="A94" s="1" t="str">
        <x:v>S0093</x:v>
      </x:c>
      <x:c r="B94" s="1" t="str">
        <x:v>22</x:v>
      </x:c>
      <x:c r="C94" s="1" t="str">
        <x:v>premium</x:v>
      </x:c>
      <x:c r="D94" s="1" t="str">
        <x:v>15.99</x:v>
      </x:c>
      <x:c r="E94" s="1" t="str">
        <x:v>0</x:v>
      </x:c>
      <x:c r="F94" s="1" t="str">
        <x:v>25</x:v>
      </x:c>
      <x:c r="G94" s="1" t="str">
        <x:v>16</x:v>
      </x:c>
      <x:c r="H94" s="1" t="str">
        <x:v>1</x:v>
      </x:c>
      <x:c r="I94" s="1" t="str">
        <x:v>0</x:v>
      </x:c>
      <x:c r="J94" s="1" t="str">
        <x:v>no</x:v>
      </x:c>
      <x:c r="K94" s="1"/>
      <x:c r="L94" s="1"/>
      <x:c r="M94" s="1"/>
      <x:c r="N94" s="1"/>
      <x:c r="O94" s="1"/>
    </x:row>
    <x:row r="95">
      <x:c r="A95" s="1" t="str">
        <x:v>S0094</x:v>
      </x:c>
      <x:c r="B95" s="1" t="str">
        <x:v>34</x:v>
      </x:c>
      <x:c r="C95" s="1" t="str">
        <x:v>premium</x:v>
      </x:c>
      <x:c r="D95" s="1" t="str">
        <x:v>15.99</x:v>
      </x:c>
      <x:c r="E95" s="1" t="str">
        <x:v>0</x:v>
      </x:c>
      <x:c r="F95" s="1" t="str">
        <x:v>23</x:v>
      </x:c>
      <x:c r="G95" s="1" t="str">
        <x:v>5</x:v>
      </x:c>
      <x:c r="H95" s="1" t="str">
        <x:v>0</x:v>
      </x:c>
      <x:c r="I95" s="1" t="str">
        <x:v>1</x:v>
      </x:c>
      <x:c r="J95" s="1" t="str">
        <x:v>no</x:v>
      </x:c>
      <x:c r="K95" s="1"/>
      <x:c r="L95" s="1"/>
      <x:c r="M95" s="1"/>
      <x:c r="N95" s="1"/>
      <x:c r="O95" s="1"/>
    </x:row>
    <x:row r="96">
      <x:c r="A96" s="1" t="str">
        <x:v>S0095</x:v>
      </x:c>
      <x:c r="B96" s="1" t="str">
        <x:v>19</x:v>
      </x:c>
      <x:c r="C96" s="1" t="str">
        <x:v>premium</x:v>
      </x:c>
      <x:c r="D96" s="1" t="str">
        <x:v>15.99</x:v>
      </x:c>
      <x:c r="E96" s="1" t="str">
        <x:v>2</x:v>
      </x:c>
      <x:c r="F96" s="1" t="str">
        <x:v>0</x:v>
      </x:c>
      <x:c r="G96" s="1" t="str">
        <x:v>51</x:v>
      </x:c>
      <x:c r="H96" s="1" t="str">
        <x:v>0</x:v>
      </x:c>
      <x:c r="I96" s="1" t="str">
        <x:v>0</x:v>
      </x:c>
      <x:c r="J96" s="1" t="str">
        <x:v>yes</x:v>
      </x:c>
      <x:c r="K96" s="1"/>
      <x:c r="L96" s="1"/>
      <x:c r="M96" s="1"/>
      <x:c r="N96" s="1"/>
      <x:c r="O96" s="1"/>
    </x:row>
    <x:row r="97">
      <x:c r="A97" s="1" t="str">
        <x:v>S0096</x:v>
      </x:c>
      <x:c r="B97" s="1" t="str">
        <x:v>17</x:v>
      </x:c>
      <x:c r="C97" s="1" t="str">
        <x:v>basic</x:v>
      </x:c>
      <x:c r="D97" s="1" t="str">
        <x:v>9.99</x:v>
      </x:c>
      <x:c r="E97" s="1" t="str">
        <x:v>1</x:v>
      </x:c>
      <x:c r="F97" s="1" t="str">
        <x:v>0</x:v>
      </x:c>
      <x:c r="G97" s="1" t="str">
        <x:v>55</x:v>
      </x:c>
      <x:c r="H97" s="1" t="str">
        <x:v>0</x:v>
      </x:c>
      <x:c r="I97" s="1" t="str">
        <x:v>1</x:v>
      </x:c>
      <x:c r="J97" s="1" t="str">
        <x:v>yes</x:v>
      </x:c>
      <x:c r="K97" s="1"/>
      <x:c r="L97" s="1"/>
      <x:c r="M97" s="1"/>
      <x:c r="N97" s="1"/>
      <x:c r="O97" s="1"/>
    </x:row>
    <x:row r="98">
      <x:c r="A98" s="1" t="str">
        <x:v>S0097</x:v>
      </x:c>
      <x:c r="B98" s="1" t="str">
        <x:v>22</x:v>
      </x:c>
      <x:c r="C98" s="1" t="str">
        <x:v>basic</x:v>
      </x:c>
      <x:c r="D98" s="1" t="str">
        <x:v>9.99</x:v>
      </x:c>
      <x:c r="E98" s="1" t="str">
        <x:v>0</x:v>
      </x:c>
      <x:c r="F98" s="1" t="str">
        <x:v>13</x:v>
      </x:c>
      <x:c r="G98" s="1" t="str">
        <x:v>4</x:v>
      </x:c>
      <x:c r="H98" s="1" t="str">
        <x:v>2</x:v>
      </x:c>
      <x:c r="I98" s="1" t="str">
        <x:v>0</x:v>
      </x:c>
      <x:c r="J98" s="1" t="str">
        <x:v>no</x:v>
      </x:c>
      <x:c r="K98" s="1"/>
      <x:c r="L98" s="1"/>
      <x:c r="M98" s="1"/>
      <x:c r="N98" s="1"/>
      <x:c r="O98" s="1"/>
    </x:row>
    <x:row r="99">
      <x:c r="A99" s="1" t="str">
        <x:v>S0098</x:v>
      </x:c>
      <x:c r="B99" s="1" t="str">
        <x:v>5</x:v>
      </x:c>
      <x:c r="C99" s="1" t="str">
        <x:v>premium</x:v>
      </x:c>
      <x:c r="D99" s="1" t="str">
        <x:v>15.99</x:v>
      </x:c>
      <x:c r="E99" s="1" t="str">
        <x:v>0</x:v>
      </x:c>
      <x:c r="F99" s="1" t="str">
        <x:v>22</x:v>
      </x:c>
      <x:c r="G99" s="1" t="str">
        <x:v>7</x:v>
      </x:c>
      <x:c r="H99" s="1" t="str">
        <x:v>0</x:v>
      </x:c>
      <x:c r="I99" s="1" t="str">
        <x:v>0</x:v>
      </x:c>
      <x:c r="J99" s="1" t="str">
        <x:v>no</x:v>
      </x:c>
      <x:c r="K99" s="1"/>
      <x:c r="L99" s="1"/>
      <x:c r="M99" s="1"/>
      <x:c r="N99" s="1"/>
      <x:c r="O99" s="1"/>
    </x:row>
    <x:row r="100">
      <x:c r="A100" s="1" t="str">
        <x:v>S0099</x:v>
      </x:c>
      <x:c r="B100" s="1" t="str">
        <x:v>9</x:v>
      </x:c>
      <x:c r="C100" s="1" t="str">
        <x:v>basic</x:v>
      </x:c>
      <x:c r="D100" s="1" t="str">
        <x:v>9.99</x:v>
      </x:c>
      <x:c r="E100" s="1" t="str">
        <x:v>1</x:v>
      </x:c>
      <x:c r="F100" s="1" t="str">
        <x:v>8</x:v>
      </x:c>
      <x:c r="G100" s="1" t="str">
        <x:v>14</x:v>
      </x:c>
      <x:c r="H100" s="1" t="str">
        <x:v>0</x:v>
      </x:c>
      <x:c r="I100" s="1" t="str">
        <x:v>1</x:v>
      </x:c>
      <x:c r="J100" s="1" t="str">
        <x:v>no</x:v>
      </x:c>
      <x:c r="K100" s="1"/>
      <x:c r="L100" s="1"/>
      <x:c r="M100" s="1"/>
      <x:c r="N100" s="1"/>
      <x:c r="O100" s="1"/>
    </x:row>
    <x:row r="101">
      <x:c r="A101" s="1" t="str">
        <x:v>S0100</x:v>
      </x:c>
      <x:c r="B101" s="1" t="str">
        <x:v>34</x:v>
      </x:c>
      <x:c r="C101" s="1" t="str">
        <x:v>basic</x:v>
      </x:c>
      <x:c r="D101" s="1" t="str">
        <x:v>9.99</x:v>
      </x:c>
      <x:c r="E101" s="1" t="str">
        <x:v>0</x:v>
      </x:c>
      <x:c r="F101" s="1" t="str">
        <x:v>14</x:v>
      </x:c>
      <x:c r="G101" s="1" t="str">
        <x:v>6</x:v>
      </x:c>
      <x:c r="H101" s="1" t="str">
        <x:v>0</x:v>
      </x:c>
      <x:c r="I101" s="1" t="str">
        <x:v>0</x:v>
      </x:c>
      <x:c r="J101" s="1" t="str">
        <x:v>yes</x:v>
      </x:c>
      <x:c r="K101" s="1"/>
      <x:c r="L101" s="1"/>
      <x:c r="M101" s="1"/>
      <x:c r="N101" s="1"/>
      <x:c r="O101" s="1"/>
    </x:row>
    <x:row r="102">
      <x:c r="A102" s="1" t="str">
        <x:v>S0101</x:v>
      </x:c>
      <x:c r="B102" s="1" t="str">
        <x:v>42</x:v>
      </x:c>
      <x:c r="C102" s="1" t="str">
        <x:v>premium</x:v>
      </x:c>
      <x:c r="D102" s="1" t="str">
        <x:v>15.99</x:v>
      </x:c>
      <x:c r="E102" s="1" t="str">
        <x:v>0</x:v>
      </x:c>
      <x:c r="F102" s="1" t="str">
        <x:v>11</x:v>
      </x:c>
      <x:c r="G102" s="1" t="str">
        <x:v>27</x:v>
      </x:c>
      <x:c r="H102" s="1" t="str">
        <x:v>0</x:v>
      </x:c>
      <x:c r="I102" s="1" t="str">
        <x:v>0</x:v>
      </x:c>
      <x:c r="J102" s="1" t="str">
        <x:v>no</x:v>
      </x:c>
      <x:c r="K102" s="1"/>
      <x:c r="L102" s="1"/>
      <x:c r="M102" s="1"/>
      <x:c r="N102" s="1"/>
      <x:c r="O102" s="1"/>
    </x:row>
    <x:row r="103">
      <x:c r="A103" s="1" t="str">
        <x:v>S0102</x:v>
      </x:c>
      <x:c r="B103" s="1" t="str">
        <x:v>19</x:v>
      </x:c>
      <x:c r="C103" s="1" t="str">
        <x:v>basic</x:v>
      </x:c>
      <x:c r="D103" s="1" t="str">
        <x:v>9.99</x:v>
      </x:c>
      <x:c r="E103" s="1" t="str">
        <x:v>2</x:v>
      </x:c>
      <x:c r="F103" s="1" t="str">
        <x:v>26</x:v>
      </x:c>
      <x:c r="G103" s="1" t="str">
        <x:v>9</x:v>
      </x:c>
      <x:c r="H103" s="1" t="str">
        <x:v>0</x:v>
      </x:c>
      <x:c r="I103" s="1" t="str">
        <x:v>1</x:v>
      </x:c>
      <x:c r="J103" s="1" t="str">
        <x:v>no</x:v>
      </x:c>
      <x:c r="K103" s="1"/>
      <x:c r="L103" s="1"/>
      <x:c r="M103" s="1"/>
      <x:c r="N103" s="1"/>
      <x:c r="O103" s="1"/>
    </x:row>
    <x:row r="104">
      <x:c r="A104" s="1" t="str">
        <x:v>S0103</x:v>
      </x:c>
      <x:c r="B104" s="1" t="str">
        <x:v>24</x:v>
      </x:c>
      <x:c r="C104" s="1" t="str">
        <x:v>basic</x:v>
      </x:c>
      <x:c r="D104" s="1" t="str">
        <x:v>9.99</x:v>
      </x:c>
      <x:c r="E104" s="1" t="str">
        <x:v>1</x:v>
      </x:c>
      <x:c r="F104" s="1" t="str">
        <x:v>7</x:v>
      </x:c>
      <x:c r="G104" s="1" t="str">
        <x:v>4</x:v>
      </x:c>
      <x:c r="H104" s="1" t="str">
        <x:v>0</x:v>
      </x:c>
      <x:c r="I104" s="1" t="str">
        <x:v>1</x:v>
      </x:c>
      <x:c r="J104" s="1" t="str">
        <x:v>no</x:v>
      </x:c>
      <x:c r="K104" s="1"/>
      <x:c r="L104" s="1"/>
      <x:c r="M104" s="1"/>
      <x:c r="N104" s="1"/>
      <x:c r="O104" s="1"/>
    </x:row>
    <x:row r="105">
      <x:c r="A105" s="1" t="str">
        <x:v>S0104</x:v>
      </x:c>
      <x:c r="B105" s="1" t="str">
        <x:v>38</x:v>
      </x:c>
      <x:c r="C105" s="1" t="str">
        <x:v>basic</x:v>
      </x:c>
      <x:c r="D105" s="1" t="str">
        <x:v>9.99</x:v>
      </x:c>
      <x:c r="E105" s="1" t="str">
        <x:v>0</x:v>
      </x:c>
      <x:c r="F105" s="1" t="str">
        <x:v>0</x:v>
      </x:c>
      <x:c r="G105" s="1" t="str">
        <x:v>55</x:v>
      </x:c>
      <x:c r="H105" s="1" t="str">
        <x:v>0</x:v>
      </x:c>
      <x:c r="I105" s="1" t="str">
        <x:v>0</x:v>
      </x:c>
      <x:c r="J105" s="1" t="str">
        <x:v>no</x:v>
      </x:c>
      <x:c r="K105" s="1"/>
      <x:c r="L105" s="1"/>
      <x:c r="M105" s="1"/>
      <x:c r="N105" s="1"/>
      <x:c r="O105" s="1"/>
    </x:row>
    <x:row r="106">
      <x:c r="A106" s="1" t="str">
        <x:v>S0105</x:v>
      </x:c>
      <x:c r="B106" s="1" t="str">
        <x:v>44</x:v>
      </x:c>
      <x:c r="C106" s="1" t="str">
        <x:v>basic</x:v>
      </x:c>
      <x:c r="D106" s="1" t="str">
        <x:v>9.99</x:v>
      </x:c>
      <x:c r="E106" s="1" t="str">
        <x:v>0</x:v>
      </x:c>
      <x:c r="F106" s="1" t="str">
        <x:v>19</x:v>
      </x:c>
      <x:c r="G106" s="1" t="str">
        <x:v>17</x:v>
      </x:c>
      <x:c r="H106" s="1" t="str">
        <x:v>0</x:v>
      </x:c>
      <x:c r="I106" s="1" t="str">
        <x:v>0</x:v>
      </x:c>
      <x:c r="J106" s="1" t="str">
        <x:v>no</x:v>
      </x:c>
      <x:c r="K106" s="1"/>
      <x:c r="L106" s="1"/>
      <x:c r="M106" s="1"/>
      <x:c r="N106" s="1"/>
      <x:c r="O106" s="1"/>
    </x:row>
    <x:row r="107">
      <x:c r="A107" s="1" t="str">
        <x:v>S0106</x:v>
      </x:c>
      <x:c r="B107" s="1" t="str">
        <x:v>33</x:v>
      </x:c>
      <x:c r="C107" s="1" t="str">
        <x:v>basic</x:v>
      </x:c>
      <x:c r="D107" s="1" t="str">
        <x:v>9.99</x:v>
      </x:c>
      <x:c r="E107" s="1" t="str">
        <x:v>0</x:v>
      </x:c>
      <x:c r="F107" s="1" t="str">
        <x:v>27</x:v>
      </x:c>
      <x:c r="G107" s="1" t="str">
        <x:v>3</x:v>
      </x:c>
      <x:c r="H107" s="1" t="str">
        <x:v>0</x:v>
      </x:c>
      <x:c r="I107" s="1" t="str">
        <x:v>0</x:v>
      </x:c>
      <x:c r="J107" s="1" t="str">
        <x:v>no</x:v>
      </x:c>
      <x:c r="K107" s="1"/>
      <x:c r="L107" s="1"/>
      <x:c r="M107" s="1"/>
      <x:c r="N107" s="1"/>
      <x:c r="O107" s="1"/>
    </x:row>
    <x:row r="108">
      <x:c r="A108" s="1" t="str">
        <x:v>S0107</x:v>
      </x:c>
      <x:c r="B108" s="1" t="str">
        <x:v>23</x:v>
      </x:c>
      <x:c r="C108" s="1" t="str">
        <x:v>basic</x:v>
      </x:c>
      <x:c r="D108" s="1" t="str">
        <x:v>9.99</x:v>
      </x:c>
      <x:c r="E108" s="1" t="str">
        <x:v>0</x:v>
      </x:c>
      <x:c r="F108" s="1" t="str">
        <x:v>0</x:v>
      </x:c>
      <x:c r="G108" s="1" t="str">
        <x:v>46</x:v>
      </x:c>
      <x:c r="H108" s="1" t="str">
        <x:v>0</x:v>
      </x:c>
      <x:c r="I108" s="1" t="str">
        <x:v>0</x:v>
      </x:c>
      <x:c r="J108" s="1" t="str">
        <x:v>yes</x:v>
      </x:c>
      <x:c r="K108" s="1"/>
      <x:c r="L108" s="1"/>
      <x:c r="M108" s="1"/>
      <x:c r="N108" s="1"/>
      <x:c r="O108" s="1"/>
    </x:row>
    <x:row r="109">
      <x:c r="A109" s="1" t="str">
        <x:v>S0108</x:v>
      </x:c>
      <x:c r="B109" s="1" t="str">
        <x:v>43</x:v>
      </x:c>
      <x:c r="C109" s="1" t="str">
        <x:v>basic</x:v>
      </x:c>
      <x:c r="D109" s="1" t="str">
        <x:v>9.99</x:v>
      </x:c>
      <x:c r="E109" s="1" t="str">
        <x:v>0</x:v>
      </x:c>
      <x:c r="F109" s="1" t="str">
        <x:v>1</x:v>
      </x:c>
      <x:c r="G109" s="1" t="str">
        <x:v>23</x:v>
      </x:c>
      <x:c r="H109" s="1" t="str">
        <x:v>0</x:v>
      </x:c>
      <x:c r="I109" s="1" t="str">
        <x:v>0</x:v>
      </x:c>
      <x:c r="J109" s="1" t="str">
        <x:v>no</x:v>
      </x:c>
      <x:c r="K109" s="1"/>
      <x:c r="L109" s="1"/>
      <x:c r="M109" s="1"/>
      <x:c r="N109" s="1"/>
      <x:c r="O109" s="1"/>
    </x:row>
    <x:row r="110">
      <x:c r="A110" s="1" t="str">
        <x:v>S0109</x:v>
      </x:c>
      <x:c r="B110" s="1" t="str">
        <x:v>17</x:v>
      </x:c>
      <x:c r="C110" s="1" t="str">
        <x:v>basic</x:v>
      </x:c>
      <x:c r="D110" s="1" t="str">
        <x:v>9.99</x:v>
      </x:c>
      <x:c r="E110" s="1" t="str">
        <x:v>0</x:v>
      </x:c>
      <x:c r="F110" s="1" t="str">
        <x:v>4</x:v>
      </x:c>
      <x:c r="G110" s="1" t="str">
        <x:v>9</x:v>
      </x:c>
      <x:c r="H110" s="1" t="str">
        <x:v>0</x:v>
      </x:c>
      <x:c r="I110" s="1" t="str">
        <x:v>0</x:v>
      </x:c>
      <x:c r="J110" s="1" t="str">
        <x:v>no</x:v>
      </x:c>
      <x:c r="K110" s="1"/>
      <x:c r="L110" s="1"/>
      <x:c r="M110" s="1"/>
      <x:c r="N110" s="1"/>
      <x:c r="O110" s="1"/>
    </x:row>
    <x:row r="111">
      <x:c r="A111" s="1" t="str">
        <x:v>S0110</x:v>
      </x:c>
      <x:c r="B111" s="1" t="str">
        <x:v>41</x:v>
      </x:c>
      <x:c r="C111" s="1" t="str">
        <x:v>premium</x:v>
      </x:c>
      <x:c r="D111" s="1" t="str">
        <x:v>15.99</x:v>
      </x:c>
      <x:c r="E111" s="1" t="str">
        <x:v>2</x:v>
      </x:c>
      <x:c r="F111" s="1" t="str">
        <x:v>24</x:v>
      </x:c>
      <x:c r="G111" s="1" t="str">
        <x:v>3</x:v>
      </x:c>
      <x:c r="H111" s="1" t="str">
        <x:v>0</x:v>
      </x:c>
      <x:c r="I111" s="1" t="str">
        <x:v>0</x:v>
      </x:c>
      <x:c r="J111" s="1" t="str">
        <x:v>no</x:v>
      </x:c>
      <x:c r="K111" s="1"/>
      <x:c r="L111" s="1"/>
      <x:c r="M111" s="1"/>
      <x:c r="N111" s="1"/>
      <x:c r="O111" s="1"/>
    </x:row>
    <x:row r="112">
      <x:c r="A112" s="1" t="str">
        <x:v>S0111</x:v>
      </x:c>
      <x:c r="B112" s="1" t="str">
        <x:v>18</x:v>
      </x:c>
      <x:c r="C112" s="1" t="str">
        <x:v>basic</x:v>
      </x:c>
      <x:c r="D112" s="1" t="str">
        <x:v>9.99</x:v>
      </x:c>
      <x:c r="E112" s="1" t="str">
        <x:v>0</x:v>
      </x:c>
      <x:c r="F112" s="1" t="str">
        <x:v>16</x:v>
      </x:c>
      <x:c r="G112" s="1" t="str">
        <x:v>14</x:v>
      </x:c>
      <x:c r="H112" s="1" t="str">
        <x:v>0</x:v>
      </x:c>
      <x:c r="I112" s="1" t="str">
        <x:v>0</x:v>
      </x:c>
      <x:c r="J112" s="1" t="str">
        <x:v>no</x:v>
      </x:c>
      <x:c r="K112" s="1"/>
      <x:c r="L112" s="1"/>
      <x:c r="M112" s="1"/>
      <x:c r="N112" s="1"/>
      <x:c r="O112" s="1"/>
    </x:row>
    <x:row r="113">
      <x:c r="A113" s="1" t="str">
        <x:v>S0112</x:v>
      </x:c>
      <x:c r="B113" s="1" t="str">
        <x:v>3</x:v>
      </x:c>
      <x:c r="C113" s="1" t="str">
        <x:v>basic</x:v>
      </x:c>
      <x:c r="D113" s="1" t="str">
        <x:v>9.99</x:v>
      </x:c>
      <x:c r="E113" s="1" t="str">
        <x:v>0</x:v>
      </x:c>
      <x:c r="F113" s="1" t="str">
        <x:v>1</x:v>
      </x:c>
      <x:c r="G113" s="1" t="str">
        <x:v>28</x:v>
      </x:c>
      <x:c r="H113" s="1" t="str">
        <x:v>0</x:v>
      </x:c>
      <x:c r="I113" s="1" t="str">
        <x:v>0</x:v>
      </x:c>
      <x:c r="J113" s="1" t="str">
        <x:v>no</x:v>
      </x:c>
      <x:c r="K113" s="1"/>
      <x:c r="L113" s="1"/>
      <x:c r="M113" s="1"/>
      <x:c r="N113" s="1"/>
      <x:c r="O113" s="1"/>
    </x:row>
    <x:row r="114">
      <x:c r="A114" s="1" t="str">
        <x:v>S0113</x:v>
      </x:c>
      <x:c r="B114" s="1" t="str">
        <x:v>48</x:v>
      </x:c>
      <x:c r="C114" s="1" t="str">
        <x:v>premium</x:v>
      </x:c>
      <x:c r="D114" s="1" t="str">
        <x:v>15.99</x:v>
      </x:c>
      <x:c r="E114" s="1" t="str">
        <x:v>0</x:v>
      </x:c>
      <x:c r="F114" s="1" t="str">
        <x:v>27</x:v>
      </x:c>
      <x:c r="G114" s="1" t="str">
        <x:v>0</x:v>
      </x:c>
      <x:c r="H114" s="1" t="str">
        <x:v>0</x:v>
      </x:c>
      <x:c r="I114" s="1" t="str">
        <x:v>0</x:v>
      </x:c>
      <x:c r="J114" s="1" t="str">
        <x:v>no</x:v>
      </x:c>
      <x:c r="K114" s="1"/>
      <x:c r="L114" s="1"/>
      <x:c r="M114" s="1"/>
      <x:c r="N114" s="1"/>
      <x:c r="O114" s="1"/>
    </x:row>
    <x:row r="115">
      <x:c r="A115" s="1" t="str">
        <x:v>S0114</x:v>
      </x:c>
      <x:c r="B115" s="1" t="str">
        <x:v>34</x:v>
      </x:c>
      <x:c r="C115" s="1" t="str">
        <x:v>basic</x:v>
      </x:c>
      <x:c r="D115" s="1" t="str">
        <x:v>9.99</x:v>
      </x:c>
      <x:c r="E115" s="1" t="str">
        <x:v>0</x:v>
      </x:c>
      <x:c r="F115" s="1" t="str">
        <x:v>0</x:v>
      </x:c>
      <x:c r="G115" s="1" t="str">
        <x:v>47</x:v>
      </x:c>
      <x:c r="H115" s="1" t="str">
        <x:v>0</x:v>
      </x:c>
      <x:c r="I115" s="1" t="str">
        <x:v>0</x:v>
      </x:c>
      <x:c r="J115" s="1" t="str">
        <x:v>no</x:v>
      </x:c>
      <x:c r="K115" s="1"/>
      <x:c r="L115" s="1"/>
      <x:c r="M115" s="1"/>
      <x:c r="N115" s="1"/>
      <x:c r="O115" s="1"/>
    </x:row>
    <x:row r="116">
      <x:c r="A116" s="1" t="str">
        <x:v>S0115</x:v>
      </x:c>
      <x:c r="B116" s="1" t="str">
        <x:v>8</x:v>
      </x:c>
      <x:c r="C116" s="1" t="str">
        <x:v>premium</x:v>
      </x:c>
      <x:c r="D116" s="1" t="str">
        <x:v>15.99</x:v>
      </x:c>
      <x:c r="E116" s="1" t="str">
        <x:v>4</x:v>
      </x:c>
      <x:c r="F116" s="1" t="str">
        <x:v>29</x:v>
      </x:c>
      <x:c r="G116" s="1" t="str">
        <x:v>6</x:v>
      </x:c>
      <x:c r="H116" s="1" t="str">
        <x:v>0</x:v>
      </x:c>
      <x:c r="I116" s="1" t="str">
        <x:v>0</x:v>
      </x:c>
      <x:c r="J116" s="1" t="str">
        <x:v>no</x:v>
      </x:c>
      <x:c r="K116" s="1"/>
      <x:c r="L116" s="1"/>
      <x:c r="M116" s="1"/>
      <x:c r="N116" s="1"/>
      <x:c r="O116" s="1"/>
    </x:row>
    <x:row r="117">
      <x:c r="A117" s="1" t="str">
        <x:v>S0116</x:v>
      </x:c>
      <x:c r="B117" s="1" t="str">
        <x:v>44</x:v>
      </x:c>
      <x:c r="C117" s="1" t="str">
        <x:v>basic</x:v>
      </x:c>
      <x:c r="D117" s="1" t="str">
        <x:v>9.99</x:v>
      </x:c>
      <x:c r="E117" s="1" t="str">
        <x:v>0</x:v>
      </x:c>
      <x:c r="F117" s="1" t="str">
        <x:v>21</x:v>
      </x:c>
      <x:c r="G117" s="1" t="str">
        <x:v>22</x:v>
      </x:c>
      <x:c r="H117" s="1" t="str">
        <x:v>0</x:v>
      </x:c>
      <x:c r="I117" s="1" t="str">
        <x:v>1</x:v>
      </x:c>
      <x:c r="J117" s="1" t="str">
        <x:v>no</x:v>
      </x:c>
      <x:c r="K117" s="1"/>
      <x:c r="L117" s="1"/>
      <x:c r="M117" s="1"/>
      <x:c r="N117" s="1"/>
      <x:c r="O117" s="1"/>
    </x:row>
    <x:row r="118">
      <x:c r="A118" s="1" t="str">
        <x:v>S0117</x:v>
      </x:c>
      <x:c r="B118" s="1" t="str">
        <x:v>31</x:v>
      </x:c>
      <x:c r="C118" s="1" t="str">
        <x:v>basic</x:v>
      </x:c>
      <x:c r="D118" s="1" t="str">
        <x:v>9.99</x:v>
      </x:c>
      <x:c r="E118" s="1" t="str">
        <x:v>2</x:v>
      </x:c>
      <x:c r="F118" s="1" t="str">
        <x:v>10</x:v>
      </x:c>
      <x:c r="G118" s="1" t="str">
        <x:v>2</x:v>
      </x:c>
      <x:c r="H118" s="1" t="str">
        <x:v>0</x:v>
      </x:c>
      <x:c r="I118" s="1" t="str">
        <x:v>0</x:v>
      </x:c>
      <x:c r="J118" s="1" t="str">
        <x:v>no</x:v>
      </x:c>
      <x:c r="K118" s="1"/>
      <x:c r="L118" s="1"/>
      <x:c r="M118" s="1"/>
      <x:c r="N118" s="1"/>
      <x:c r="O118" s="1"/>
    </x:row>
    <x:row r="119">
      <x:c r="A119" s="1" t="str">
        <x:v>S0118</x:v>
      </x:c>
      <x:c r="B119" s="1" t="str">
        <x:v>10</x:v>
      </x:c>
      <x:c r="C119" s="1" t="str">
        <x:v>basic</x:v>
      </x:c>
      <x:c r="D119" s="1" t="str">
        <x:v>9.99</x:v>
      </x:c>
      <x:c r="E119" s="1" t="str">
        <x:v>2</x:v>
      </x:c>
      <x:c r="F119" s="1" t="str">
        <x:v>0</x:v>
      </x:c>
      <x:c r="G119" s="1" t="str">
        <x:v>59</x:v>
      </x:c>
      <x:c r="H119" s="1" t="str">
        <x:v>0</x:v>
      </x:c>
      <x:c r="I119" s="1" t="str">
        <x:v>0</x:v>
      </x:c>
      <x:c r="J119" s="1" t="str">
        <x:v>yes</x:v>
      </x:c>
      <x:c r="K119" s="1"/>
      <x:c r="L119" s="1"/>
      <x:c r="M119" s="1"/>
      <x:c r="N119" s="1"/>
      <x:c r="O119" s="1"/>
    </x:row>
    <x:row r="120">
      <x:c r="A120" s="1" t="str">
        <x:v>S0119</x:v>
      </x:c>
      <x:c r="B120" s="1" t="str">
        <x:v>25</x:v>
      </x:c>
      <x:c r="C120" s="1" t="str">
        <x:v>basic</x:v>
      </x:c>
      <x:c r="D120" s="1" t="str">
        <x:v>9.99</x:v>
      </x:c>
      <x:c r="E120" s="1" t="str">
        <x:v>1</x:v>
      </x:c>
      <x:c r="F120" s="1" t="str">
        <x:v>1</x:v>
      </x:c>
      <x:c r="G120" s="1" t="str">
        <x:v>24</x:v>
      </x:c>
      <x:c r="H120" s="1" t="str">
        <x:v>0</x:v>
      </x:c>
      <x:c r="I120" s="1" t="str">
        <x:v>0</x:v>
      </x:c>
      <x:c r="J120" s="1" t="str">
        <x:v>no</x:v>
      </x:c>
      <x:c r="K120" s="1"/>
      <x:c r="L120" s="1"/>
      <x:c r="M120" s="1"/>
      <x:c r="N120" s="1"/>
      <x:c r="O120" s="1"/>
    </x:row>
    <x:row r="121">
      <x:c r="A121" s="1" t="str">
        <x:v>S0120</x:v>
      </x:c>
      <x:c r="B121" s="1" t="str">
        <x:v>2</x:v>
      </x:c>
      <x:c r="C121" s="1" t="str">
        <x:v>basic</x:v>
      </x:c>
      <x:c r="D121" s="1" t="str">
        <x:v>9.99</x:v>
      </x:c>
      <x:c r="E121" s="1" t="str">
        <x:v>1</x:v>
      </x:c>
      <x:c r="F121" s="1" t="str">
        <x:v>25</x:v>
      </x:c>
      <x:c r="G121" s="1" t="str">
        <x:v>0</x:v>
      </x:c>
      <x:c r="H121" s="1" t="str">
        <x:v>0</x:v>
      </x:c>
      <x:c r="I121" s="1" t="str">
        <x:v>0</x:v>
      </x:c>
      <x:c r="J121" s="1" t="str">
        <x:v>yes</x:v>
      </x:c>
      <x:c r="K121" s="1"/>
      <x:c r="L121" s="1"/>
      <x:c r="M121" s="1"/>
      <x:c r="N121" s="1"/>
      <x:c r="O121" s="1"/>
    </x:row>
    <x:row r="122">
      <x:c r="A122" s="1" t="str">
        <x:v>S0121</x:v>
      </x:c>
      <x:c r="B122" s="1" t="str">
        <x:v>16</x:v>
      </x:c>
      <x:c r="C122" s="1" t="str">
        <x:v>premium</x:v>
      </x:c>
      <x:c r="D122" s="1" t="str">
        <x:v>15.99</x:v>
      </x:c>
      <x:c r="E122" s="1" t="str">
        <x:v>1</x:v>
      </x:c>
      <x:c r="F122" s="1" t="str">
        <x:v>4</x:v>
      </x:c>
      <x:c r="G122" s="1" t="str">
        <x:v>10</x:v>
      </x:c>
      <x:c r="H122" s="1" t="str">
        <x:v>0</x:v>
      </x:c>
      <x:c r="I122" s="1" t="str">
        <x:v>0</x:v>
      </x:c>
      <x:c r="J122" s="1" t="str">
        <x:v>yes</x:v>
      </x:c>
      <x:c r="K122" s="1"/>
      <x:c r="L122" s="1"/>
      <x:c r="M122" s="1"/>
      <x:c r="N122" s="1"/>
      <x:c r="O122" s="1"/>
    </x:row>
    <x:row r="123">
      <x:c r="A123" s="1" t="str">
        <x:v>S0122</x:v>
      </x:c>
      <x:c r="B123" s="1" t="str">
        <x:v>2</x:v>
      </x:c>
      <x:c r="C123" s="1" t="str">
        <x:v>premium</x:v>
      </x:c>
      <x:c r="D123" s="1" t="str">
        <x:v>15.99</x:v>
      </x:c>
      <x:c r="E123" s="1" t="str">
        <x:v>0</x:v>
      </x:c>
      <x:c r="F123" s="1" t="str">
        <x:v>11</x:v>
      </x:c>
      <x:c r="G123" s="1" t="str">
        <x:v>7</x:v>
      </x:c>
      <x:c r="H123" s="1" t="str">
        <x:v>0</x:v>
      </x:c>
      <x:c r="I123" s="1" t="str">
        <x:v>0</x:v>
      </x:c>
      <x:c r="J123" s="1" t="str">
        <x:v>no</x:v>
      </x:c>
      <x:c r="K123" s="1"/>
      <x:c r="L123" s="1"/>
      <x:c r="M123" s="1"/>
      <x:c r="N123" s="1"/>
      <x:c r="O123" s="1"/>
    </x:row>
    <x:row r="124">
      <x:c r="A124" s="1" t="str">
        <x:v>S0123</x:v>
      </x:c>
      <x:c r="B124" s="1" t="str">
        <x:v>1</x:v>
      </x:c>
      <x:c r="C124" s="1" t="str">
        <x:v>basic</x:v>
      </x:c>
      <x:c r="D124" s="1" t="str">
        <x:v>9.99</x:v>
      </x:c>
      <x:c r="E124" s="1" t="str">
        <x:v>1</x:v>
      </x:c>
      <x:c r="F124" s="1" t="str">
        <x:v>20</x:v>
      </x:c>
      <x:c r="G124" s="1" t="str">
        <x:v>5</x:v>
      </x:c>
      <x:c r="H124" s="1" t="str">
        <x:v>0</x:v>
      </x:c>
      <x:c r="I124" s="1" t="str">
        <x:v>0</x:v>
      </x:c>
      <x:c r="J124" s="1" t="str">
        <x:v>no</x:v>
      </x:c>
      <x:c r="K124" s="1"/>
      <x:c r="L124" s="1"/>
      <x:c r="M124" s="1"/>
      <x:c r="N124" s="1"/>
      <x:c r="O124" s="1"/>
    </x:row>
    <x:row r="125">
      <x:c r="A125" s="1" t="str">
        <x:v>S0124</x:v>
      </x:c>
      <x:c r="B125" s="1" t="str">
        <x:v>27</x:v>
      </x:c>
      <x:c r="C125" s="1" t="str">
        <x:v>basic</x:v>
      </x:c>
      <x:c r="D125" s="1" t="str">
        <x:v>9.99</x:v>
      </x:c>
      <x:c r="E125" s="1" t="str">
        <x:v>1</x:v>
      </x:c>
      <x:c r="F125" s="1" t="str">
        <x:v>14</x:v>
      </x:c>
      <x:c r="G125" s="1" t="str">
        <x:v>1</x:v>
      </x:c>
      <x:c r="H125" s="1" t="str">
        <x:v>0</x:v>
      </x:c>
      <x:c r="I125" s="1" t="str">
        <x:v>0</x:v>
      </x:c>
      <x:c r="J125" s="1" t="str">
        <x:v>no</x:v>
      </x:c>
      <x:c r="K125" s="1"/>
      <x:c r="L125" s="1"/>
      <x:c r="M125" s="1"/>
      <x:c r="N125" s="1"/>
      <x:c r="O125" s="1"/>
    </x:row>
    <x:row r="126">
      <x:c r="A126" s="1" t="str">
        <x:v>S0125</x:v>
      </x:c>
      <x:c r="B126" s="1" t="str">
        <x:v>4</x:v>
      </x:c>
      <x:c r="C126" s="1" t="str">
        <x:v>basic</x:v>
      </x:c>
      <x:c r="D126" s="1" t="str">
        <x:v>9.99</x:v>
      </x:c>
      <x:c r="E126" s="1" t="str">
        <x:v>0</x:v>
      </x:c>
      <x:c r="F126" s="1" t="str">
        <x:v>15</x:v>
      </x:c>
      <x:c r="G126" s="1" t="str">
        <x:v>7</x:v>
      </x:c>
      <x:c r="H126" s="1" t="str">
        <x:v>0</x:v>
      </x:c>
      <x:c r="I126" s="1" t="str">
        <x:v>0</x:v>
      </x:c>
      <x:c r="J126" s="1" t="str">
        <x:v>no</x:v>
      </x:c>
      <x:c r="K126" s="1"/>
      <x:c r="L126" s="1"/>
      <x:c r="M126" s="1"/>
      <x:c r="N126" s="1"/>
      <x:c r="O126" s="1"/>
    </x:row>
    <x:row r="127">
      <x:c r="A127" s="1" t="str">
        <x:v>S0126</x:v>
      </x:c>
      <x:c r="B127" s="1" t="str">
        <x:v>41</x:v>
      </x:c>
      <x:c r="C127" s="1" t="str">
        <x:v>premium</x:v>
      </x:c>
      <x:c r="D127" s="1" t="str">
        <x:v>15.99</x:v>
      </x:c>
      <x:c r="E127" s="1" t="str">
        <x:v>3</x:v>
      </x:c>
      <x:c r="F127" s="1" t="str">
        <x:v>23</x:v>
      </x:c>
      <x:c r="G127" s="1" t="str">
        <x:v>0</x:v>
      </x:c>
      <x:c r="H127" s="1" t="str">
        <x:v>1</x:v>
      </x:c>
      <x:c r="I127" s="1" t="str">
        <x:v>0</x:v>
      </x:c>
      <x:c r="J127" s="1" t="str">
        <x:v>yes</x:v>
      </x:c>
      <x:c r="K127" s="1"/>
      <x:c r="L127" s="1"/>
      <x:c r="M127" s="1"/>
      <x:c r="N127" s="1"/>
      <x:c r="O127" s="1"/>
    </x:row>
    <x:row r="128">
      <x:c r="A128" s="1" t="str">
        <x:v>S0127</x:v>
      </x:c>
      <x:c r="B128" s="1" t="str">
        <x:v>10</x:v>
      </x:c>
      <x:c r="C128" s="1" t="str">
        <x:v>basic</x:v>
      </x:c>
      <x:c r="D128" s="1" t="str">
        <x:v>9.99</x:v>
      </x:c>
      <x:c r="E128" s="1" t="str">
        <x:v>1</x:v>
      </x:c>
      <x:c r="F128" s="1" t="str">
        <x:v>0</x:v>
      </x:c>
      <x:c r="G128" s="1" t="str">
        <x:v>58</x:v>
      </x:c>
      <x:c r="H128" s="1" t="str">
        <x:v>0</x:v>
      </x:c>
      <x:c r="I128" s="1" t="str">
        <x:v>0</x:v>
      </x:c>
      <x:c r="J128" s="1" t="str">
        <x:v>yes</x:v>
      </x:c>
      <x:c r="K128" s="1"/>
      <x:c r="L128" s="1"/>
      <x:c r="M128" s="1"/>
      <x:c r="N128" s="1"/>
      <x:c r="O128" s="1"/>
    </x:row>
    <x:row r="129">
      <x:c r="A129" s="1" t="str">
        <x:v>S0128</x:v>
      </x:c>
      <x:c r="B129" s="1" t="str">
        <x:v>23</x:v>
      </x:c>
      <x:c r="C129" s="1" t="str">
        <x:v>basic</x:v>
      </x:c>
      <x:c r="D129" s="1" t="str">
        <x:v>9.99</x:v>
      </x:c>
      <x:c r="E129" s="1" t="str">
        <x:v>0</x:v>
      </x:c>
      <x:c r="F129" s="1" t="str">
        <x:v>7</x:v>
      </x:c>
      <x:c r="G129" s="1" t="str">
        <x:v>1</x:v>
      </x:c>
      <x:c r="H129" s="1" t="str">
        <x:v>0</x:v>
      </x:c>
      <x:c r="I129" s="1" t="str">
        <x:v>0</x:v>
      </x:c>
      <x:c r="J129" s="1" t="str">
        <x:v>no</x:v>
      </x:c>
      <x:c r="K129" s="1"/>
      <x:c r="L129" s="1"/>
      <x:c r="M129" s="1"/>
      <x:c r="N129" s="1"/>
      <x:c r="O129" s="1"/>
    </x:row>
    <x:row r="130">
      <x:c r="A130" s="1" t="str">
        <x:v>S0129</x:v>
      </x:c>
      <x:c r="B130" s="1" t="str">
        <x:v>41</x:v>
      </x:c>
      <x:c r="C130" s="1" t="str">
        <x:v>premium</x:v>
      </x:c>
      <x:c r="D130" s="1" t="str">
        <x:v>15.99</x:v>
      </x:c>
      <x:c r="E130" s="1" t="str">
        <x:v>2</x:v>
      </x:c>
      <x:c r="F130" s="1" t="str">
        <x:v>15</x:v>
      </x:c>
      <x:c r="G130" s="1" t="str">
        <x:v>16</x:v>
      </x:c>
      <x:c r="H130" s="1" t="str">
        <x:v>0</x:v>
      </x:c>
      <x:c r="I130" s="1" t="str">
        <x:v>0</x:v>
      </x:c>
      <x:c r="J130" s="1" t="str">
        <x:v>no</x:v>
      </x:c>
      <x:c r="K130" s="1"/>
      <x:c r="L130" s="1"/>
      <x:c r="M130" s="1"/>
      <x:c r="N130" s="1"/>
      <x:c r="O130" s="1"/>
    </x:row>
    <x:row r="131">
      <x:c r="A131" s="1" t="str">
        <x:v>S0130</x:v>
      </x:c>
      <x:c r="B131" s="1" t="str">
        <x:v>19</x:v>
      </x:c>
      <x:c r="C131" s="1" t="str">
        <x:v>basic</x:v>
      </x:c>
      <x:c r="D131" s="1" t="str">
        <x:v>9.99</x:v>
      </x:c>
      <x:c r="E131" s="1" t="str">
        <x:v>1</x:v>
      </x:c>
      <x:c r="F131" s="1" t="str">
        <x:v>23</x:v>
      </x:c>
      <x:c r="G131" s="1" t="str">
        <x:v>1</x:v>
      </x:c>
      <x:c r="H131" s="1" t="str">
        <x:v>0</x:v>
      </x:c>
      <x:c r="I131" s="1" t="str">
        <x:v>0</x:v>
      </x:c>
      <x:c r="J131" s="1" t="str">
        <x:v>no</x:v>
      </x:c>
      <x:c r="K131" s="1"/>
      <x:c r="L131" s="1"/>
      <x:c r="M131" s="1"/>
      <x:c r="N131" s="1"/>
      <x:c r="O131" s="1"/>
    </x:row>
    <x:row r="132">
      <x:c r="A132" s="1" t="str">
        <x:v>S0131</x:v>
      </x:c>
      <x:c r="B132" s="1" t="str">
        <x:v>19</x:v>
      </x:c>
      <x:c r="C132" s="1" t="str">
        <x:v>basic</x:v>
      </x:c>
      <x:c r="D132" s="1" t="str">
        <x:v>9.99</x:v>
      </x:c>
      <x:c r="E132" s="1" t="str">
        <x:v>2</x:v>
      </x:c>
      <x:c r="F132" s="1" t="str">
        <x:v>4</x:v>
      </x:c>
      <x:c r="G132" s="1" t="str">
        <x:v>21</x:v>
      </x:c>
      <x:c r="H132" s="1" t="str">
        <x:v>0</x:v>
      </x:c>
      <x:c r="I132" s="1" t="str">
        <x:v>0</x:v>
      </x:c>
      <x:c r="J132" s="1" t="str">
        <x:v>no</x:v>
      </x:c>
      <x:c r="K132" s="1"/>
      <x:c r="L132" s="1"/>
      <x:c r="M132" s="1"/>
      <x:c r="N132" s="1"/>
      <x:c r="O132" s="1"/>
    </x:row>
    <x:row r="133">
      <x:c r="A133" s="1" t="str">
        <x:v>S0132</x:v>
      </x:c>
      <x:c r="B133" s="1" t="str">
        <x:v>18</x:v>
      </x:c>
      <x:c r="C133" s="1" t="str">
        <x:v>basic</x:v>
      </x:c>
      <x:c r="D133" s="1" t="str">
        <x:v>9.99</x:v>
      </x:c>
      <x:c r="E133" s="1" t="str">
        <x:v>0</x:v>
      </x:c>
      <x:c r="F133" s="1" t="str">
        <x:v>12</x:v>
      </x:c>
      <x:c r="G133" s="1" t="str">
        <x:v>25</x:v>
      </x:c>
      <x:c r="H133" s="1" t="str">
        <x:v>1</x:v>
      </x:c>
      <x:c r="I133" s="1" t="str">
        <x:v>0</x:v>
      </x:c>
      <x:c r="J133" s="1" t="str">
        <x:v>yes</x:v>
      </x:c>
      <x:c r="K133" s="1"/>
      <x:c r="L133" s="1"/>
      <x:c r="M133" s="1"/>
      <x:c r="N133" s="1"/>
      <x:c r="O133" s="1"/>
    </x:row>
    <x:row r="134">
      <x:c r="A134" s="1" t="str">
        <x:v>S0133</x:v>
      </x:c>
      <x:c r="B134" s="1" t="str">
        <x:v>29</x:v>
      </x:c>
      <x:c r="C134" s="1" t="str">
        <x:v>basic</x:v>
      </x:c>
      <x:c r="D134" s="1" t="str">
        <x:v>9.99</x:v>
      </x:c>
      <x:c r="E134" s="1" t="str">
        <x:v>0</x:v>
      </x:c>
      <x:c r="F134" s="1" t="str">
        <x:v>25</x:v>
      </x:c>
      <x:c r="G134" s="1" t="str">
        <x:v>11</x:v>
      </x:c>
      <x:c r="H134" s="1" t="str">
        <x:v>0</x:v>
      </x:c>
      <x:c r="I134" s="1" t="str">
        <x:v>0</x:v>
      </x:c>
      <x:c r="J134" s="1" t="str">
        <x:v>no</x:v>
      </x:c>
      <x:c r="K134" s="1"/>
      <x:c r="L134" s="1"/>
      <x:c r="M134" s="1"/>
      <x:c r="N134" s="1"/>
      <x:c r="O134" s="1"/>
    </x:row>
    <x:row r="135">
      <x:c r="A135" s="1" t="str">
        <x:v>S0134</x:v>
      </x:c>
      <x:c r="B135" s="1" t="str">
        <x:v>44</x:v>
      </x:c>
      <x:c r="C135" s="1" t="str">
        <x:v>premium</x:v>
      </x:c>
      <x:c r="D135" s="1" t="str">
        <x:v>15.99</x:v>
      </x:c>
      <x:c r="E135" s="1" t="str">
        <x:v>1</x:v>
      </x:c>
      <x:c r="F135" s="1" t="str">
        <x:v>1</x:v>
      </x:c>
      <x:c r="G135" s="1" t="str">
        <x:v>15</x:v>
      </x:c>
      <x:c r="H135" s="1" t="str">
        <x:v>0</x:v>
      </x:c>
      <x:c r="I135" s="1" t="str">
        <x:v>0</x:v>
      </x:c>
      <x:c r="J135" s="1" t="str">
        <x:v>no</x:v>
      </x:c>
      <x:c r="K135" s="1"/>
      <x:c r="L135" s="1"/>
      <x:c r="M135" s="1"/>
      <x:c r="N135" s="1"/>
      <x:c r="O135" s="1"/>
    </x:row>
    <x:row r="136">
      <x:c r="A136" s="1" t="str">
        <x:v>S0135</x:v>
      </x:c>
      <x:c r="B136" s="1" t="str">
        <x:v>7</x:v>
      </x:c>
      <x:c r="C136" s="1" t="str">
        <x:v>premium</x:v>
      </x:c>
      <x:c r="D136" s="1" t="str">
        <x:v>15.99</x:v>
      </x:c>
      <x:c r="E136" s="1" t="str">
        <x:v>2</x:v>
      </x:c>
      <x:c r="F136" s="1" t="str">
        <x:v>9</x:v>
      </x:c>
      <x:c r="G136" s="1" t="str">
        <x:v>14</x:v>
      </x:c>
      <x:c r="H136" s="1" t="str">
        <x:v>0</x:v>
      </x:c>
      <x:c r="I136" s="1" t="str">
        <x:v>1</x:v>
      </x:c>
      <x:c r="J136" s="1" t="str">
        <x:v>no</x:v>
      </x:c>
      <x:c r="K136" s="1"/>
      <x:c r="L136" s="1"/>
      <x:c r="M136" s="1"/>
      <x:c r="N136" s="1"/>
      <x:c r="O136" s="1"/>
    </x:row>
    <x:row r="137">
      <x:c r="A137" s="1" t="str">
        <x:v>S0136</x:v>
      </x:c>
      <x:c r="B137" s="1" t="str">
        <x:v>9</x:v>
      </x:c>
      <x:c r="C137" s="1" t="str">
        <x:v>basic</x:v>
      </x:c>
      <x:c r="D137" s="1" t="str">
        <x:v>9.99</x:v>
      </x:c>
      <x:c r="E137" s="1" t="str">
        <x:v>0</x:v>
      </x:c>
      <x:c r="F137" s="1" t="str">
        <x:v>0</x:v>
      </x:c>
      <x:c r="G137" s="1" t="str">
        <x:v>47</x:v>
      </x:c>
      <x:c r="H137" s="1" t="str">
        <x:v>0</x:v>
      </x:c>
      <x:c r="I137" s="1" t="str">
        <x:v>0</x:v>
      </x:c>
      <x:c r="J137" s="1" t="str">
        <x:v>yes</x:v>
      </x:c>
      <x:c r="K137" s="1"/>
      <x:c r="L137" s="1"/>
      <x:c r="M137" s="1"/>
      <x:c r="N137" s="1"/>
      <x:c r="O137" s="1"/>
    </x:row>
    <x:row r="138">
      <x:c r="A138" s="1" t="str">
        <x:v>S0137</x:v>
      </x:c>
      <x:c r="B138" s="1" t="str">
        <x:v>9</x:v>
      </x:c>
      <x:c r="C138" s="1" t="str">
        <x:v>basic</x:v>
      </x:c>
      <x:c r="D138" s="1" t="str">
        <x:v>9.99</x:v>
      </x:c>
      <x:c r="E138" s="1" t="str">
        <x:v>0</x:v>
      </x:c>
      <x:c r="F138" s="1" t="str">
        <x:v>16</x:v>
      </x:c>
      <x:c r="G138" s="1" t="str">
        <x:v>2</x:v>
      </x:c>
      <x:c r="H138" s="1" t="str">
        <x:v>0</x:v>
      </x:c>
      <x:c r="I138" s="1" t="str">
        <x:v>0</x:v>
      </x:c>
      <x:c r="J138" s="1" t="str">
        <x:v>no</x:v>
      </x:c>
      <x:c r="K138" s="1"/>
      <x:c r="L138" s="1"/>
      <x:c r="M138" s="1"/>
      <x:c r="N138" s="1"/>
      <x:c r="O138" s="1"/>
    </x:row>
    <x:row r="139">
      <x:c r="A139" s="1" t="str">
        <x:v>S0138</x:v>
      </x:c>
      <x:c r="B139" s="1" t="str">
        <x:v>33</x:v>
      </x:c>
      <x:c r="C139" s="1" t="str">
        <x:v>basic</x:v>
      </x:c>
      <x:c r="D139" s="1" t="str">
        <x:v>9.99</x:v>
      </x:c>
      <x:c r="E139" s="1" t="str">
        <x:v>3</x:v>
      </x:c>
      <x:c r="F139" s="1" t="str">
        <x:v>17</x:v>
      </x:c>
      <x:c r="G139" s="1" t="str">
        <x:v>15</x:v>
      </x:c>
      <x:c r="H139" s="1" t="str">
        <x:v>0</x:v>
      </x:c>
      <x:c r="I139" s="1" t="str">
        <x:v>1</x:v>
      </x:c>
      <x:c r="J139" s="1" t="str">
        <x:v>no</x:v>
      </x:c>
      <x:c r="K139" s="1"/>
      <x:c r="L139" s="1"/>
      <x:c r="M139" s="1"/>
      <x:c r="N139" s="1"/>
      <x:c r="O139" s="1"/>
    </x:row>
    <x:row r="140">
      <x:c r="A140" s="1" t="str">
        <x:v>S0139</x:v>
      </x:c>
      <x:c r="B140" s="1" t="str">
        <x:v>33</x:v>
      </x:c>
      <x:c r="C140" s="1" t="str">
        <x:v>premium</x:v>
      </x:c>
      <x:c r="D140" s="1" t="str">
        <x:v>15.99</x:v>
      </x:c>
      <x:c r="E140" s="1" t="str">
        <x:v>3</x:v>
      </x:c>
      <x:c r="F140" s="1" t="str">
        <x:v>20</x:v>
      </x:c>
      <x:c r="G140" s="1" t="str">
        <x:v>7</x:v>
      </x:c>
      <x:c r="H140" s="1" t="str">
        <x:v>0</x:v>
      </x:c>
      <x:c r="I140" s="1" t="str">
        <x:v>1</x:v>
      </x:c>
      <x:c r="J140" s="1" t="str">
        <x:v>no</x:v>
      </x:c>
      <x:c r="K140" s="1"/>
      <x:c r="L140" s="1"/>
      <x:c r="M140" s="1"/>
      <x:c r="N140" s="1"/>
      <x:c r="O140" s="1"/>
    </x:row>
    <x:row r="141">
      <x:c r="A141" s="1" t="str">
        <x:v>S0140</x:v>
      </x:c>
      <x:c r="B141" s="1" t="str">
        <x:v>34</x:v>
      </x:c>
      <x:c r="C141" s="1" t="str">
        <x:v>basic</x:v>
      </x:c>
      <x:c r="D141" s="1" t="str">
        <x:v>9.99</x:v>
      </x:c>
      <x:c r="E141" s="1" t="str">
        <x:v>0</x:v>
      </x:c>
      <x:c r="F141" s="1" t="str">
        <x:v>16</x:v>
      </x:c>
      <x:c r="G141" s="1" t="str">
        <x:v>2</x:v>
      </x:c>
      <x:c r="H141" s="1" t="str">
        <x:v>2</x:v>
      </x:c>
      <x:c r="I141" s="1" t="str">
        <x:v>0</x:v>
      </x:c>
      <x:c r="J141" s="1" t="str">
        <x:v>no</x:v>
      </x:c>
      <x:c r="K141" s="1"/>
      <x:c r="L141" s="1"/>
      <x:c r="M141" s="1"/>
      <x:c r="N141" s="1"/>
      <x:c r="O141" s="1"/>
    </x:row>
    <x:row r="142">
      <x:c r="A142" s="1" t="str">
        <x:v>S0141</x:v>
      </x:c>
      <x:c r="B142" s="1" t="str">
        <x:v>35</x:v>
      </x:c>
      <x:c r="C142" s="1" t="str">
        <x:v>basic</x:v>
      </x:c>
      <x:c r="D142" s="1" t="str">
        <x:v>9.99</x:v>
      </x:c>
      <x:c r="E142" s="1" t="str">
        <x:v>0</x:v>
      </x:c>
      <x:c r="F142" s="1" t="str">
        <x:v>26</x:v>
      </x:c>
      <x:c r="G142" s="1" t="str">
        <x:v>6</x:v>
      </x:c>
      <x:c r="H142" s="1" t="str">
        <x:v>0</x:v>
      </x:c>
      <x:c r="I142" s="1" t="str">
        <x:v>1</x:v>
      </x:c>
      <x:c r="J142" s="1" t="str">
        <x:v>no</x:v>
      </x:c>
      <x:c r="K142" s="1"/>
      <x:c r="L142" s="1"/>
      <x:c r="M142" s="1"/>
      <x:c r="N142" s="1"/>
      <x:c r="O142" s="1"/>
    </x:row>
    <x:row r="143">
      <x:c r="A143" s="1" t="str">
        <x:v>S0142</x:v>
      </x:c>
      <x:c r="B143" s="1" t="str">
        <x:v>7</x:v>
      </x:c>
      <x:c r="C143" s="1" t="str">
        <x:v>premium</x:v>
      </x:c>
      <x:c r="D143" s="1" t="str">
        <x:v>15.99</x:v>
      </x:c>
      <x:c r="E143" s="1" t="str">
        <x:v>1</x:v>
      </x:c>
      <x:c r="F143" s="1" t="str">
        <x:v>13</x:v>
      </x:c>
      <x:c r="G143" s="1" t="str">
        <x:v>1</x:v>
      </x:c>
      <x:c r="H143" s="1" t="str">
        <x:v>0</x:v>
      </x:c>
      <x:c r="I143" s="1" t="str">
        <x:v>0</x:v>
      </x:c>
      <x:c r="J143" s="1" t="str">
        <x:v>yes</x:v>
      </x:c>
      <x:c r="K143" s="1"/>
      <x:c r="L143" s="1"/>
      <x:c r="M143" s="1"/>
      <x:c r="N143" s="1"/>
      <x:c r="O143" s="1"/>
    </x:row>
    <x:row r="144">
      <x:c r="A144" s="1" t="str">
        <x:v>S0143</x:v>
      </x:c>
      <x:c r="B144" s="1" t="str">
        <x:v>16</x:v>
      </x:c>
      <x:c r="C144" s="1" t="str">
        <x:v>basic</x:v>
      </x:c>
      <x:c r="D144" s="1" t="str">
        <x:v>9.99</x:v>
      </x:c>
      <x:c r="E144" s="1" t="str">
        <x:v>0</x:v>
      </x:c>
      <x:c r="F144" s="1" t="str">
        <x:v>16</x:v>
      </x:c>
      <x:c r="G144" s="1" t="str">
        <x:v>9</x:v>
      </x:c>
      <x:c r="H144" s="1" t="str">
        <x:v>0</x:v>
      </x:c>
      <x:c r="I144" s="1" t="str">
        <x:v>0</x:v>
      </x:c>
      <x:c r="J144" s="1" t="str">
        <x:v>no</x:v>
      </x:c>
      <x:c r="K144" s="1"/>
      <x:c r="L144" s="1"/>
      <x:c r="M144" s="1"/>
      <x:c r="N144" s="1"/>
      <x:c r="O144" s="1"/>
    </x:row>
    <x:row r="145">
      <x:c r="A145" s="1" t="str">
        <x:v>S0144</x:v>
      </x:c>
      <x:c r="B145" s="1" t="str">
        <x:v>26</x:v>
      </x:c>
      <x:c r="C145" s="1" t="str">
        <x:v>basic</x:v>
      </x:c>
      <x:c r="D145" s="1" t="str">
        <x:v>9.99</x:v>
      </x:c>
      <x:c r="E145" s="1" t="str">
        <x:v>0</x:v>
      </x:c>
      <x:c r="F145" s="1" t="str">
        <x:v>17</x:v>
      </x:c>
      <x:c r="G145" s="1" t="str">
        <x:v>29</x:v>
      </x:c>
      <x:c r="H145" s="1" t="str">
        <x:v>0</x:v>
      </x:c>
      <x:c r="I145" s="1" t="str">
        <x:v>0</x:v>
      </x:c>
      <x:c r="J145" s="1" t="str">
        <x:v>no</x:v>
      </x:c>
      <x:c r="K145" s="1"/>
      <x:c r="L145" s="1"/>
      <x:c r="M145" s="1"/>
      <x:c r="N145" s="1"/>
      <x:c r="O145" s="1"/>
    </x:row>
    <x:row r="146">
      <x:c r="A146" s="1" t="str">
        <x:v>S0145</x:v>
      </x:c>
      <x:c r="B146" s="1" t="str">
        <x:v>38</x:v>
      </x:c>
      <x:c r="C146" s="1" t="str">
        <x:v>basic</x:v>
      </x:c>
      <x:c r="D146" s="1" t="str">
        <x:v>9.99</x:v>
      </x:c>
      <x:c r="E146" s="1" t="str">
        <x:v>1</x:v>
      </x:c>
      <x:c r="F146" s="1" t="str">
        <x:v>32</x:v>
      </x:c>
      <x:c r="G146" s="1" t="str">
        <x:v>7</x:v>
      </x:c>
      <x:c r="H146" s="1" t="str">
        <x:v>0</x:v>
      </x:c>
      <x:c r="I146" s="1" t="str">
        <x:v>0</x:v>
      </x:c>
      <x:c r="J146" s="1" t="str">
        <x:v>no</x:v>
      </x:c>
      <x:c r="K146" s="1"/>
      <x:c r="L146" s="1"/>
      <x:c r="M146" s="1"/>
      <x:c r="N146" s="1"/>
      <x:c r="O146" s="1"/>
    </x:row>
    <x:row r="147">
      <x:c r="A147" s="1" t="str">
        <x:v>S0146</x:v>
      </x:c>
      <x:c r="B147" s="1" t="str">
        <x:v>48</x:v>
      </x:c>
      <x:c r="C147" s="1" t="str">
        <x:v>basic</x:v>
      </x:c>
      <x:c r="D147" s="1" t="str">
        <x:v>9.99</x:v>
      </x:c>
      <x:c r="E147" s="1" t="str">
        <x:v>0</x:v>
      </x:c>
      <x:c r="F147" s="1" t="str">
        <x:v>16</x:v>
      </x:c>
      <x:c r="G147" s="1" t="str">
        <x:v>18</x:v>
      </x:c>
      <x:c r="H147" s="1" t="str">
        <x:v>0</x:v>
      </x:c>
      <x:c r="I147" s="1" t="str">
        <x:v>0</x:v>
      </x:c>
      <x:c r="J147" s="1" t="str">
        <x:v>no</x:v>
      </x:c>
      <x:c r="K147" s="1"/>
      <x:c r="L147" s="1"/>
      <x:c r="M147" s="1"/>
      <x:c r="N147" s="1"/>
      <x:c r="O147" s="1"/>
    </x:row>
    <x:row r="148">
      <x:c r="A148" s="1" t="str">
        <x:v>S0147</x:v>
      </x:c>
      <x:c r="B148" s="1" t="str">
        <x:v>40</x:v>
      </x:c>
      <x:c r="C148" s="1" t="str">
        <x:v>basic</x:v>
      </x:c>
      <x:c r="D148" s="1" t="str">
        <x:v>9.99</x:v>
      </x:c>
      <x:c r="E148" s="1" t="str">
        <x:v>0</x:v>
      </x:c>
      <x:c r="F148" s="1" t="str">
        <x:v>0</x:v>
      </x:c>
      <x:c r="G148" s="1" t="str">
        <x:v>34</x:v>
      </x:c>
      <x:c r="H148" s="1" t="str">
        <x:v>2</x:v>
      </x:c>
      <x:c r="I148" s="1" t="str">
        <x:v>1</x:v>
      </x:c>
      <x:c r="J148" s="1" t="str">
        <x:v>yes</x:v>
      </x:c>
      <x:c r="K148" s="1"/>
      <x:c r="L148" s="1"/>
      <x:c r="M148" s="1"/>
      <x:c r="N148" s="1"/>
      <x:c r="O148" s="1"/>
    </x:row>
    <x:row r="149">
      <x:c r="A149" s="1" t="str">
        <x:v>S0148</x:v>
      </x:c>
      <x:c r="B149" s="1" t="str">
        <x:v>39</x:v>
      </x:c>
      <x:c r="C149" s="1" t="str">
        <x:v>basic</x:v>
      </x:c>
      <x:c r="D149" s="1" t="str">
        <x:v>9.99</x:v>
      </x:c>
      <x:c r="E149" s="1" t="str">
        <x:v>0</x:v>
      </x:c>
      <x:c r="F149" s="1" t="str">
        <x:v>6</x:v>
      </x:c>
      <x:c r="G149" s="1" t="str">
        <x:v>8</x:v>
      </x:c>
      <x:c r="H149" s="1" t="str">
        <x:v>0</x:v>
      </x:c>
      <x:c r="I149" s="1" t="str">
        <x:v>0</x:v>
      </x:c>
      <x:c r="J149" s="1" t="str">
        <x:v>no</x:v>
      </x:c>
      <x:c r="K149" s="1"/>
      <x:c r="L149" s="1"/>
      <x:c r="M149" s="1"/>
      <x:c r="N149" s="1"/>
      <x:c r="O149" s="1"/>
    </x:row>
    <x:row r="150">
      <x:c r="A150" s="1" t="str">
        <x:v>S0149</x:v>
      </x:c>
      <x:c r="B150" s="1" t="str">
        <x:v>48</x:v>
      </x:c>
      <x:c r="C150" s="1" t="str">
        <x:v>basic</x:v>
      </x:c>
      <x:c r="D150" s="1" t="str">
        <x:v>9.99</x:v>
      </x:c>
      <x:c r="E150" s="1" t="str">
        <x:v>3</x:v>
      </x:c>
      <x:c r="F150" s="1" t="str">
        <x:v>8</x:v>
      </x:c>
      <x:c r="G150" s="1" t="str">
        <x:v>17</x:v>
      </x:c>
      <x:c r="H150" s="1" t="str">
        <x:v>0</x:v>
      </x:c>
      <x:c r="I150" s="1" t="str">
        <x:v>1</x:v>
      </x:c>
      <x:c r="J150" s="1" t="str">
        <x:v>no</x:v>
      </x:c>
      <x:c r="K150" s="1"/>
      <x:c r="L150" s="1"/>
      <x:c r="M150" s="1"/>
      <x:c r="N150" s="1"/>
      <x:c r="O150" s="1"/>
    </x:row>
    <x:row r="151">
      <x:c r="A151" s="1" t="str">
        <x:v>S0150</x:v>
      </x:c>
      <x:c r="B151" s="1" t="str">
        <x:v>46</x:v>
      </x:c>
      <x:c r="C151" s="1" t="str">
        <x:v>premium</x:v>
      </x:c>
      <x:c r="D151" s="1" t="str">
        <x:v>15.99</x:v>
      </x:c>
      <x:c r="E151" s="1" t="str">
        <x:v>0</x:v>
      </x:c>
      <x:c r="F151" s="1" t="str">
        <x:v>8</x:v>
      </x:c>
      <x:c r="G151" s="1" t="str">
        <x:v>29</x:v>
      </x:c>
      <x:c r="H151" s="1" t="str">
        <x:v>0</x:v>
      </x:c>
      <x:c r="I151" s="1" t="str">
        <x:v>0</x:v>
      </x:c>
      <x:c r="J151" s="1" t="str">
        <x:v>no</x:v>
      </x:c>
      <x:c r="K151" s="1"/>
      <x:c r="L151" s="1"/>
      <x:c r="M151" s="1"/>
      <x:c r="N151" s="1"/>
      <x:c r="O151" s="1"/>
    </x:row>
    <x:row r="152">
      <x:c r="A152" s="1" t="str">
        <x:v>S0151</x:v>
      </x:c>
      <x:c r="B152" s="1" t="str">
        <x:v>43</x:v>
      </x:c>
      <x:c r="C152" s="1" t="str">
        <x:v>basic</x:v>
      </x:c>
      <x:c r="D152" s="1" t="str">
        <x:v>9.99</x:v>
      </x:c>
      <x:c r="E152" s="1" t="str">
        <x:v>0</x:v>
      </x:c>
      <x:c r="F152" s="1" t="str">
        <x:v>1</x:v>
      </x:c>
      <x:c r="G152" s="1" t="str">
        <x:v>18</x:v>
      </x:c>
      <x:c r="H152" s="1" t="str">
        <x:v>1</x:v>
      </x:c>
      <x:c r="I152" s="1" t="str">
        <x:v>0</x:v>
      </x:c>
      <x:c r="J152" s="1" t="str">
        <x:v>no</x:v>
      </x:c>
      <x:c r="K152" s="1"/>
      <x:c r="L152" s="1"/>
      <x:c r="M152" s="1"/>
      <x:c r="N152" s="1"/>
      <x:c r="O152" s="1"/>
    </x:row>
    <x:row r="153">
      <x:c r="A153" s="1" t="str">
        <x:v>S0152</x:v>
      </x:c>
      <x:c r="B153" s="1" t="str">
        <x:v>22</x:v>
      </x:c>
      <x:c r="C153" s="1" t="str">
        <x:v>premium</x:v>
      </x:c>
      <x:c r="D153" s="1" t="str">
        <x:v>15.99</x:v>
      </x:c>
      <x:c r="E153" s="1" t="str">
        <x:v>0</x:v>
      </x:c>
      <x:c r="F153" s="1" t="str">
        <x:v>14</x:v>
      </x:c>
      <x:c r="G153" s="1" t="str">
        <x:v>5</x:v>
      </x:c>
      <x:c r="H153" s="1" t="str">
        <x:v>0</x:v>
      </x:c>
      <x:c r="I153" s="1" t="str">
        <x:v>0</x:v>
      </x:c>
      <x:c r="J153" s="1" t="str">
        <x:v>no</x:v>
      </x:c>
      <x:c r="K153" s="1"/>
      <x:c r="L153" s="1"/>
      <x:c r="M153" s="1"/>
      <x:c r="N153" s="1"/>
      <x:c r="O153" s="1"/>
    </x:row>
    <x:row r="154">
      <x:c r="A154" s="1" t="str">
        <x:v>S0153</x:v>
      </x:c>
      <x:c r="B154" s="1" t="str">
        <x:v>36</x:v>
      </x:c>
      <x:c r="C154" s="1" t="str">
        <x:v>basic</x:v>
      </x:c>
      <x:c r="D154" s="1" t="str">
        <x:v>9.99</x:v>
      </x:c>
      <x:c r="E154" s="1" t="str">
        <x:v>2</x:v>
      </x:c>
      <x:c r="F154" s="1" t="str">
        <x:v>11</x:v>
      </x:c>
      <x:c r="G154" s="1" t="str">
        <x:v>3</x:v>
      </x:c>
      <x:c r="H154" s="1" t="str">
        <x:v>0</x:v>
      </x:c>
      <x:c r="I154" s="1" t="str">
        <x:v>0</x:v>
      </x:c>
      <x:c r="J154" s="1" t="str">
        <x:v>no</x:v>
      </x:c>
      <x:c r="K154" s="1"/>
      <x:c r="L154" s="1"/>
      <x:c r="M154" s="1"/>
      <x:c r="N154" s="1"/>
      <x:c r="O154" s="1"/>
    </x:row>
    <x:row r="155">
      <x:c r="A155" s="1" t="str">
        <x:v>S0154</x:v>
      </x:c>
      <x:c r="B155" s="1" t="str">
        <x:v>25</x:v>
      </x:c>
      <x:c r="C155" s="1" t="str">
        <x:v>basic</x:v>
      </x:c>
      <x:c r="D155" s="1" t="str">
        <x:v>9.99</x:v>
      </x:c>
      <x:c r="E155" s="1" t="str">
        <x:v>1</x:v>
      </x:c>
      <x:c r="F155" s="1" t="str">
        <x:v>0</x:v>
      </x:c>
      <x:c r="G155" s="1" t="str">
        <x:v>33</x:v>
      </x:c>
      <x:c r="H155" s="1" t="str">
        <x:v>0</x:v>
      </x:c>
      <x:c r="I155" s="1" t="str">
        <x:v>1</x:v>
      </x:c>
      <x:c r="J155" s="1" t="str">
        <x:v>no</x:v>
      </x:c>
      <x:c r="K155" s="1"/>
      <x:c r="L155" s="1"/>
      <x:c r="M155" s="1"/>
      <x:c r="N155" s="1"/>
      <x:c r="O155" s="1"/>
    </x:row>
    <x:row r="156">
      <x:c r="A156" s="1" t="str">
        <x:v>S0155</x:v>
      </x:c>
      <x:c r="B156" s="1" t="str">
        <x:v>27</x:v>
      </x:c>
      <x:c r="C156" s="1" t="str">
        <x:v>basic</x:v>
      </x:c>
      <x:c r="D156" s="1" t="str">
        <x:v>9.99</x:v>
      </x:c>
      <x:c r="E156" s="1" t="str">
        <x:v>0</x:v>
      </x:c>
      <x:c r="F156" s="1" t="str">
        <x:v>30</x:v>
      </x:c>
      <x:c r="G156" s="1" t="str">
        <x:v>1</x:v>
      </x:c>
      <x:c r="H156" s="1" t="str">
        <x:v>1</x:v>
      </x:c>
      <x:c r="I156" s="1" t="str">
        <x:v>1</x:v>
      </x:c>
      <x:c r="J156" s="1" t="str">
        <x:v>no</x:v>
      </x:c>
      <x:c r="K156" s="1"/>
      <x:c r="L156" s="1"/>
      <x:c r="M156" s="1"/>
      <x:c r="N156" s="1"/>
      <x:c r="O156" s="1"/>
    </x:row>
    <x:row r="157">
      <x:c r="A157" s="1" t="str">
        <x:v>S0156</x:v>
      </x:c>
      <x:c r="B157" s="1" t="str">
        <x:v>23</x:v>
      </x:c>
      <x:c r="C157" s="1" t="str">
        <x:v>basic</x:v>
      </x:c>
      <x:c r="D157" s="1" t="str">
        <x:v>9.99</x:v>
      </x:c>
      <x:c r="E157" s="1" t="str">
        <x:v>2</x:v>
      </x:c>
      <x:c r="F157" s="1" t="str">
        <x:v>28</x:v>
      </x:c>
      <x:c r="G157" s="1" t="str">
        <x:v>3</x:v>
      </x:c>
      <x:c r="H157" s="1" t="str">
        <x:v>2</x:v>
      </x:c>
      <x:c r="I157" s="1" t="str">
        <x:v>0</x:v>
      </x:c>
      <x:c r="J157" s="1" t="str">
        <x:v>yes</x:v>
      </x:c>
      <x:c r="K157" s="1"/>
      <x:c r="L157" s="1"/>
      <x:c r="M157" s="1"/>
      <x:c r="N157" s="1"/>
      <x:c r="O157" s="1"/>
    </x:row>
    <x:row r="158">
      <x:c r="A158" s="1" t="str">
        <x:v>S0157</x:v>
      </x:c>
      <x:c r="B158" s="1" t="str">
        <x:v>18</x:v>
      </x:c>
      <x:c r="C158" s="1" t="str">
        <x:v>premium</x:v>
      </x:c>
      <x:c r="D158" s="1" t="str">
        <x:v>15.99</x:v>
      </x:c>
      <x:c r="E158" s="1" t="str">
        <x:v>1</x:v>
      </x:c>
      <x:c r="F158" s="1" t="str">
        <x:v>20</x:v>
      </x:c>
      <x:c r="G158" s="1" t="str">
        <x:v>5</x:v>
      </x:c>
      <x:c r="H158" s="1" t="str">
        <x:v>2</x:v>
      </x:c>
      <x:c r="I158" s="1" t="str">
        <x:v>0</x:v>
      </x:c>
      <x:c r="J158" s="1" t="str">
        <x:v>no</x:v>
      </x:c>
      <x:c r="K158" s="1"/>
      <x:c r="L158" s="1"/>
      <x:c r="M158" s="1"/>
      <x:c r="N158" s="1"/>
      <x:c r="O158" s="1"/>
    </x:row>
    <x:row r="159">
      <x:c r="A159" s="1" t="str">
        <x:v>S0158</x:v>
      </x:c>
      <x:c r="B159" s="1" t="str">
        <x:v>19</x:v>
      </x:c>
      <x:c r="C159" s="1" t="str">
        <x:v>basic</x:v>
      </x:c>
      <x:c r="D159" s="1" t="str">
        <x:v>9.99</x:v>
      </x:c>
      <x:c r="E159" s="1" t="str">
        <x:v>0</x:v>
      </x:c>
      <x:c r="F159" s="1" t="str">
        <x:v>12</x:v>
      </x:c>
      <x:c r="G159" s="1" t="str">
        <x:v>5</x:v>
      </x:c>
      <x:c r="H159" s="1" t="str">
        <x:v>0</x:v>
      </x:c>
      <x:c r="I159" s="1" t="str">
        <x:v>0</x:v>
      </x:c>
      <x:c r="J159" s="1" t="str">
        <x:v>no</x:v>
      </x:c>
      <x:c r="K159" s="1"/>
      <x:c r="L159" s="1"/>
      <x:c r="M159" s="1"/>
      <x:c r="N159" s="1"/>
      <x:c r="O159" s="1"/>
    </x:row>
    <x:row r="160">
      <x:c r="A160" s="1" t="str">
        <x:v>S0159</x:v>
      </x:c>
      <x:c r="B160" s="1" t="str">
        <x:v>7</x:v>
      </x:c>
      <x:c r="C160" s="1" t="str">
        <x:v>basic</x:v>
      </x:c>
      <x:c r="D160" s="1" t="str">
        <x:v>9.99</x:v>
      </x:c>
      <x:c r="E160" s="1" t="str">
        <x:v>0</x:v>
      </x:c>
      <x:c r="F160" s="1" t="str">
        <x:v>12</x:v>
      </x:c>
      <x:c r="G160" s="1" t="str">
        <x:v>0</x:v>
      </x:c>
      <x:c r="H160" s="1" t="str">
        <x:v>0</x:v>
      </x:c>
      <x:c r="I160" s="1" t="str">
        <x:v>0</x:v>
      </x:c>
      <x:c r="J160" s="1" t="str">
        <x:v>no</x:v>
      </x:c>
      <x:c r="K160" s="1"/>
      <x:c r="L160" s="1"/>
      <x:c r="M160" s="1"/>
      <x:c r="N160" s="1"/>
      <x:c r="O160" s="1"/>
    </x:row>
    <x:row r="161">
      <x:c r="A161" s="1" t="str">
        <x:v>S0160</x:v>
      </x:c>
      <x:c r="B161" s="1" t="str">
        <x:v>25</x:v>
      </x:c>
      <x:c r="C161" s="1" t="str">
        <x:v>premium</x:v>
      </x:c>
      <x:c r="D161" s="1" t="str">
        <x:v>15.99</x:v>
      </x:c>
      <x:c r="E161" s="1" t="str">
        <x:v>2</x:v>
      </x:c>
      <x:c r="F161" s="1" t="str">
        <x:v>2</x:v>
      </x:c>
      <x:c r="G161" s="1" t="str">
        <x:v>18</x:v>
      </x:c>
      <x:c r="H161" s="1" t="str">
        <x:v>0</x:v>
      </x:c>
      <x:c r="I161" s="1" t="str">
        <x:v>0</x:v>
      </x:c>
      <x:c r="J161" s="1" t="str">
        <x:v>yes</x:v>
      </x:c>
      <x:c r="K161" s="1"/>
      <x:c r="L161" s="1"/>
      <x:c r="M161" s="1"/>
      <x:c r="N161" s="1"/>
      <x:c r="O161" s="1"/>
    </x:row>
    <x:row r="162">
      <x:c r="A162" s="1" t="str">
        <x:v>S0161</x:v>
      </x:c>
      <x:c r="B162" s="1" t="str">
        <x:v>1</x:v>
      </x:c>
      <x:c r="C162" s="1" t="str">
        <x:v>basic</x:v>
      </x:c>
      <x:c r="D162" s="1" t="str">
        <x:v>9.99</x:v>
      </x:c>
      <x:c r="E162" s="1" t="str">
        <x:v>4</x:v>
      </x:c>
      <x:c r="F162" s="1" t="str">
        <x:v>0</x:v>
      </x:c>
      <x:c r="G162" s="1" t="str">
        <x:v>48</x:v>
      </x:c>
      <x:c r="H162" s="1" t="str">
        <x:v>0</x:v>
      </x:c>
      <x:c r="I162" s="1" t="str">
        <x:v>0</x:v>
      </x:c>
      <x:c r="J162" s="1" t="str">
        <x:v>yes</x:v>
      </x:c>
      <x:c r="K162" s="1"/>
      <x:c r="L162" s="1"/>
      <x:c r="M162" s="1"/>
      <x:c r="N162" s="1"/>
      <x:c r="O162" s="1"/>
    </x:row>
    <x:row r="163">
      <x:c r="A163" s="1" t="str">
        <x:v>S0162</x:v>
      </x:c>
      <x:c r="B163" s="1" t="str">
        <x:v>12</x:v>
      </x:c>
      <x:c r="C163" s="1" t="str">
        <x:v>premium</x:v>
      </x:c>
      <x:c r="D163" s="1" t="str">
        <x:v>15.99</x:v>
      </x:c>
      <x:c r="E163" s="1" t="str">
        <x:v>1</x:v>
      </x:c>
      <x:c r="F163" s="1" t="str">
        <x:v>0</x:v>
      </x:c>
      <x:c r="G163" s="1" t="str">
        <x:v>47</x:v>
      </x:c>
      <x:c r="H163" s="1" t="str">
        <x:v>0</x:v>
      </x:c>
      <x:c r="I163" s="1" t="str">
        <x:v>0</x:v>
      </x:c>
      <x:c r="J163" s="1" t="str">
        <x:v>yes</x:v>
      </x:c>
      <x:c r="K163" s="1"/>
      <x:c r="L163" s="1"/>
      <x:c r="M163" s="1"/>
      <x:c r="N163" s="1"/>
      <x:c r="O163" s="1"/>
    </x:row>
    <x:row r="164">
      <x:c r="A164" s="1" t="str">
        <x:v>S0163</x:v>
      </x:c>
      <x:c r="B164" s="1" t="str">
        <x:v>40</x:v>
      </x:c>
      <x:c r="C164" s="1" t="str">
        <x:v>basic</x:v>
      </x:c>
      <x:c r="D164" s="1" t="str">
        <x:v>9.99</x:v>
      </x:c>
      <x:c r="E164" s="1" t="str">
        <x:v>1</x:v>
      </x:c>
      <x:c r="F164" s="1" t="str">
        <x:v>0</x:v>
      </x:c>
      <x:c r="G164" s="1" t="str">
        <x:v>34</x:v>
      </x:c>
      <x:c r="H164" s="1" t="str">
        <x:v>0</x:v>
      </x:c>
      <x:c r="I164" s="1" t="str">
        <x:v>0</x:v>
      </x:c>
      <x:c r="J164" s="1" t="str">
        <x:v>no</x:v>
      </x:c>
      <x:c r="K164" s="1"/>
      <x:c r="L164" s="1"/>
      <x:c r="M164" s="1"/>
      <x:c r="N164" s="1"/>
      <x:c r="O164" s="1"/>
    </x:row>
    <x:row r="165">
      <x:c r="A165" s="1" t="str">
        <x:v>S0164</x:v>
      </x:c>
      <x:c r="B165" s="1" t="str">
        <x:v>47</x:v>
      </x:c>
      <x:c r="C165" s="1" t="str">
        <x:v>premium</x:v>
      </x:c>
      <x:c r="D165" s="1" t="str">
        <x:v>15.99</x:v>
      </x:c>
      <x:c r="E165" s="1" t="str">
        <x:v>0</x:v>
      </x:c>
      <x:c r="F165" s="1" t="str">
        <x:v>0</x:v>
      </x:c>
      <x:c r="G165" s="1" t="str">
        <x:v>48</x:v>
      </x:c>
      <x:c r="H165" s="1" t="str">
        <x:v>0</x:v>
      </x:c>
      <x:c r="I165" s="1" t="str">
        <x:v>1</x:v>
      </x:c>
      <x:c r="J165" s="1" t="str">
        <x:v>no</x:v>
      </x:c>
      <x:c r="K165" s="1"/>
      <x:c r="L165" s="1"/>
      <x:c r="M165" s="1"/>
      <x:c r="N165" s="1"/>
      <x:c r="O165" s="1"/>
    </x:row>
    <x:row r="166">
      <x:c r="A166" s="1" t="str">
        <x:v>S0165</x:v>
      </x:c>
      <x:c r="B166" s="1" t="str">
        <x:v>6</x:v>
      </x:c>
      <x:c r="C166" s="1" t="str">
        <x:v>basic</x:v>
      </x:c>
      <x:c r="D166" s="1" t="str">
        <x:v>9.99</x:v>
      </x:c>
      <x:c r="E166" s="1" t="str">
        <x:v>0</x:v>
      </x:c>
      <x:c r="F166" s="1" t="str">
        <x:v>0</x:v>
      </x:c>
      <x:c r="G166" s="1" t="str">
        <x:v>36</x:v>
      </x:c>
      <x:c r="H166" s="1" t="str">
        <x:v>0</x:v>
      </x:c>
      <x:c r="I166" s="1" t="str">
        <x:v>0</x:v>
      </x:c>
      <x:c r="J166" s="1" t="str">
        <x:v>no</x:v>
      </x:c>
      <x:c r="K166" s="1"/>
      <x:c r="L166" s="1"/>
      <x:c r="M166" s="1"/>
      <x:c r="N166" s="1"/>
      <x:c r="O166" s="1"/>
    </x:row>
    <x:row r="167">
      <x:c r="A167" s="1" t="str">
        <x:v>S0166</x:v>
      </x:c>
      <x:c r="B167" s="1" t="str">
        <x:v>41</x:v>
      </x:c>
      <x:c r="C167" s="1" t="str">
        <x:v>premium</x:v>
      </x:c>
      <x:c r="D167" s="1" t="str">
        <x:v>15.99</x:v>
      </x:c>
      <x:c r="E167" s="1" t="str">
        <x:v>2</x:v>
      </x:c>
      <x:c r="F167" s="1" t="str">
        <x:v>32</x:v>
      </x:c>
      <x:c r="G167" s="1" t="str">
        <x:v>0</x:v>
      </x:c>
      <x:c r="H167" s="1" t="str">
        <x:v>0</x:v>
      </x:c>
      <x:c r="I167" s="1" t="str">
        <x:v>0</x:v>
      </x:c>
      <x:c r="J167" s="1" t="str">
        <x:v>no</x:v>
      </x:c>
      <x:c r="K167" s="1"/>
      <x:c r="L167" s="1"/>
      <x:c r="M167" s="1"/>
      <x:c r="N167" s="1"/>
      <x:c r="O167" s="1"/>
    </x:row>
    <x:row r="168">
      <x:c r="A168" s="1" t="str">
        <x:v>S0167</x:v>
      </x:c>
      <x:c r="B168" s="1" t="str">
        <x:v>39</x:v>
      </x:c>
      <x:c r="C168" s="1" t="str">
        <x:v>basic</x:v>
      </x:c>
      <x:c r="D168" s="1" t="str">
        <x:v>9.99</x:v>
      </x:c>
      <x:c r="E168" s="1" t="str">
        <x:v>1</x:v>
      </x:c>
      <x:c r="F168" s="1" t="str">
        <x:v>0</x:v>
      </x:c>
      <x:c r="G168" s="1" t="str">
        <x:v>45</x:v>
      </x:c>
      <x:c r="H168" s="1" t="str">
        <x:v>0</x:v>
      </x:c>
      <x:c r="I168" s="1" t="str">
        <x:v>0</x:v>
      </x:c>
      <x:c r="J168" s="1" t="str">
        <x:v>yes</x:v>
      </x:c>
      <x:c r="K168" s="1"/>
      <x:c r="L168" s="1"/>
      <x:c r="M168" s="1"/>
      <x:c r="N168" s="1"/>
      <x:c r="O168" s="1"/>
    </x:row>
    <x:row r="169">
      <x:c r="A169" s="1" t="str">
        <x:v>S0168</x:v>
      </x:c>
      <x:c r="B169" s="1" t="str">
        <x:v>18</x:v>
      </x:c>
      <x:c r="C169" s="1" t="str">
        <x:v>premium</x:v>
      </x:c>
      <x:c r="D169" s="1" t="str">
        <x:v>15.99</x:v>
      </x:c>
      <x:c r="E169" s="1" t="str">
        <x:v>0</x:v>
      </x:c>
      <x:c r="F169" s="1" t="str">
        <x:v>11</x:v>
      </x:c>
      <x:c r="G169" s="1" t="str">
        <x:v>30</x:v>
      </x:c>
      <x:c r="H169" s="1" t="str">
        <x:v>0</x:v>
      </x:c>
      <x:c r="I169" s="1" t="str">
        <x:v>0</x:v>
      </x:c>
      <x:c r="J169" s="1" t="str">
        <x:v>no</x:v>
      </x:c>
      <x:c r="K169" s="1"/>
      <x:c r="L169" s="1"/>
      <x:c r="M169" s="1"/>
      <x:c r="N169" s="1"/>
      <x:c r="O169" s="1"/>
    </x:row>
    <x:row r="170">
      <x:c r="A170" s="1" t="str">
        <x:v>S0169</x:v>
      </x:c>
      <x:c r="B170" s="1" t="str">
        <x:v>12</x:v>
      </x:c>
      <x:c r="C170" s="1" t="str">
        <x:v>basic</x:v>
      </x:c>
      <x:c r="D170" s="1" t="str">
        <x:v>9.99</x:v>
      </x:c>
      <x:c r="E170" s="1" t="str">
        <x:v>1</x:v>
      </x:c>
      <x:c r="F170" s="1" t="str">
        <x:v>18</x:v>
      </x:c>
      <x:c r="G170" s="1" t="str">
        <x:v>6</x:v>
      </x:c>
      <x:c r="H170" s="1" t="str">
        <x:v>0</x:v>
      </x:c>
      <x:c r="I170" s="1" t="str">
        <x:v>1</x:v>
      </x:c>
      <x:c r="J170" s="1" t="str">
        <x:v>no</x:v>
      </x:c>
      <x:c r="K170" s="1"/>
      <x:c r="L170" s="1"/>
      <x:c r="M170" s="1"/>
      <x:c r="N170" s="1"/>
      <x:c r="O170" s="1"/>
    </x:row>
    <x:row r="171">
      <x:c r="A171" s="1" t="str">
        <x:v>S0170</x:v>
      </x:c>
      <x:c r="B171" s="1" t="str">
        <x:v>9</x:v>
      </x:c>
      <x:c r="C171" s="1" t="str">
        <x:v>basic</x:v>
      </x:c>
      <x:c r="D171" s="1" t="str">
        <x:v>9.99</x:v>
      </x:c>
      <x:c r="E171" s="1" t="str">
        <x:v>1</x:v>
      </x:c>
      <x:c r="F171" s="1" t="str">
        <x:v>24</x:v>
      </x:c>
      <x:c r="G171" s="1" t="str">
        <x:v>1</x:v>
      </x:c>
      <x:c r="H171" s="1" t="str">
        <x:v>0</x:v>
      </x:c>
      <x:c r="I171" s="1" t="str">
        <x:v>1</x:v>
      </x:c>
      <x:c r="J171" s="1" t="str">
        <x:v>no</x:v>
      </x:c>
      <x:c r="K171" s="1"/>
      <x:c r="L171" s="1"/>
      <x:c r="M171" s="1"/>
      <x:c r="N171" s="1"/>
      <x:c r="O171" s="1"/>
    </x:row>
    <x:row r="172">
      <x:c r="A172" s="1" t="str">
        <x:v>S0171</x:v>
      </x:c>
      <x:c r="B172" s="1" t="str">
        <x:v>22</x:v>
      </x:c>
      <x:c r="C172" s="1" t="str">
        <x:v>basic</x:v>
      </x:c>
      <x:c r="D172" s="1" t="str">
        <x:v>9.99</x:v>
      </x:c>
      <x:c r="E172" s="1" t="str">
        <x:v>0</x:v>
      </x:c>
      <x:c r="F172" s="1" t="str">
        <x:v>5</x:v>
      </x:c>
      <x:c r="G172" s="1" t="str">
        <x:v>3</x:v>
      </x:c>
      <x:c r="H172" s="1" t="str">
        <x:v>0</x:v>
      </x:c>
      <x:c r="I172" s="1" t="str">
        <x:v>1</x:v>
      </x:c>
      <x:c r="J172" s="1" t="str">
        <x:v>no</x:v>
      </x:c>
      <x:c r="K172" s="1"/>
      <x:c r="L172" s="1"/>
      <x:c r="M172" s="1"/>
      <x:c r="N172" s="1"/>
      <x:c r="O172" s="1"/>
    </x:row>
    <x:row r="173">
      <x:c r="A173" s="1" t="str">
        <x:v>S0172</x:v>
      </x:c>
      <x:c r="B173" s="1" t="str">
        <x:v>15</x:v>
      </x:c>
      <x:c r="C173" s="1" t="str">
        <x:v>premium</x:v>
      </x:c>
      <x:c r="D173" s="1" t="str">
        <x:v>15.99</x:v>
      </x:c>
      <x:c r="E173" s="1" t="str">
        <x:v>2</x:v>
      </x:c>
      <x:c r="F173" s="1" t="str">
        <x:v>14</x:v>
      </x:c>
      <x:c r="G173" s="1" t="str">
        <x:v>15</x:v>
      </x:c>
      <x:c r="H173" s="1" t="str">
        <x:v>0</x:v>
      </x:c>
      <x:c r="I173" s="1" t="str">
        <x:v>0</x:v>
      </x:c>
      <x:c r="J173" s="1" t="str">
        <x:v>yes</x:v>
      </x:c>
      <x:c r="K173" s="1"/>
      <x:c r="L173" s="1"/>
      <x:c r="M173" s="1"/>
      <x:c r="N173" s="1"/>
      <x:c r="O173" s="1"/>
    </x:row>
    <x:row r="174">
      <x:c r="A174" s="1" t="str">
        <x:v>S0173</x:v>
      </x:c>
      <x:c r="B174" s="1" t="str">
        <x:v>14</x:v>
      </x:c>
      <x:c r="C174" s="1" t="str">
        <x:v>basic</x:v>
      </x:c>
      <x:c r="D174" s="1" t="str">
        <x:v>9.99</x:v>
      </x:c>
      <x:c r="E174" s="1" t="str">
        <x:v>0</x:v>
      </x:c>
      <x:c r="F174" s="1" t="str">
        <x:v>11</x:v>
      </x:c>
      <x:c r="G174" s="1" t="str">
        <x:v>3</x:v>
      </x:c>
      <x:c r="H174" s="1" t="str">
        <x:v>1</x:v>
      </x:c>
      <x:c r="I174" s="1" t="str">
        <x:v>1</x:v>
      </x:c>
      <x:c r="J174" s="1" t="str">
        <x:v>yes</x:v>
      </x:c>
      <x:c r="K174" s="1"/>
      <x:c r="L174" s="1"/>
      <x:c r="M174" s="1"/>
      <x:c r="N174" s="1"/>
      <x:c r="O174" s="1"/>
    </x:row>
    <x:row r="175">
      <x:c r="A175" s="1" t="str">
        <x:v>S0174</x:v>
      </x:c>
      <x:c r="B175" s="1" t="str">
        <x:v>15</x:v>
      </x:c>
      <x:c r="C175" s="1" t="str">
        <x:v>premium</x:v>
      </x:c>
      <x:c r="D175" s="1" t="str">
        <x:v>15.99</x:v>
      </x:c>
      <x:c r="E175" s="1" t="str">
        <x:v>1</x:v>
      </x:c>
      <x:c r="F175" s="1" t="str">
        <x:v>15</x:v>
      </x:c>
      <x:c r="G175" s="1" t="str">
        <x:v>5</x:v>
      </x:c>
      <x:c r="H175" s="1" t="str">
        <x:v>0</x:v>
      </x:c>
      <x:c r="I175" s="1" t="str">
        <x:v>0</x:v>
      </x:c>
      <x:c r="J175" s="1" t="str">
        <x:v>no</x:v>
      </x:c>
      <x:c r="K175" s="1"/>
      <x:c r="L175" s="1"/>
      <x:c r="M175" s="1"/>
      <x:c r="N175" s="1"/>
      <x:c r="O175" s="1"/>
    </x:row>
    <x:row r="176">
      <x:c r="A176" s="1" t="str">
        <x:v>S0175</x:v>
      </x:c>
      <x:c r="B176" s="1" t="str">
        <x:v>8</x:v>
      </x:c>
      <x:c r="C176" s="1" t="str">
        <x:v>basic</x:v>
      </x:c>
      <x:c r="D176" s="1" t="str">
        <x:v>9.99</x:v>
      </x:c>
      <x:c r="E176" s="1" t="str">
        <x:v>1</x:v>
      </x:c>
      <x:c r="F176" s="1" t="str">
        <x:v>12</x:v>
      </x:c>
      <x:c r="G176" s="1" t="str">
        <x:v>13</x:v>
      </x:c>
      <x:c r="H176" s="1" t="str">
        <x:v>0</x:v>
      </x:c>
      <x:c r="I176" s="1" t="str">
        <x:v>0</x:v>
      </x:c>
      <x:c r="J176" s="1" t="str">
        <x:v>no</x:v>
      </x:c>
      <x:c r="K176" s="1"/>
      <x:c r="L176" s="1"/>
      <x:c r="M176" s="1"/>
      <x:c r="N176" s="1"/>
      <x:c r="O176" s="1"/>
    </x:row>
    <x:row r="177">
      <x:c r="A177" s="1" t="str">
        <x:v>S0176</x:v>
      </x:c>
      <x:c r="B177" s="1" t="str">
        <x:v>2</x:v>
      </x:c>
      <x:c r="C177" s="1" t="str">
        <x:v>premium</x:v>
      </x:c>
      <x:c r="D177" s="1" t="str">
        <x:v>15.99</x:v>
      </x:c>
      <x:c r="E177" s="1" t="str">
        <x:v>1</x:v>
      </x:c>
      <x:c r="F177" s="1" t="str">
        <x:v>6</x:v>
      </x:c>
      <x:c r="G177" s="1" t="str">
        <x:v>4</x:v>
      </x:c>
      <x:c r="H177" s="1" t="str">
        <x:v>0</x:v>
      </x:c>
      <x:c r="I177" s="1" t="str">
        <x:v>0</x:v>
      </x:c>
      <x:c r="J177" s="1" t="str">
        <x:v>no</x:v>
      </x:c>
      <x:c r="K177" s="1"/>
      <x:c r="L177" s="1"/>
      <x:c r="M177" s="1"/>
      <x:c r="N177" s="1"/>
      <x:c r="O177" s="1"/>
    </x:row>
    <x:row r="178">
      <x:c r="A178" s="1" t="str">
        <x:v>S0177</x:v>
      </x:c>
      <x:c r="B178" s="1" t="str">
        <x:v>34</x:v>
      </x:c>
      <x:c r="C178" s="1" t="str">
        <x:v>premium</x:v>
      </x:c>
      <x:c r="D178" s="1" t="str">
        <x:v>15.99</x:v>
      </x:c>
      <x:c r="E178" s="1" t="str">
        <x:v>0</x:v>
      </x:c>
      <x:c r="F178" s="1" t="str">
        <x:v>0</x:v>
      </x:c>
      <x:c r="G178" s="1" t="str">
        <x:v>47</x:v>
      </x:c>
      <x:c r="H178" s="1" t="str">
        <x:v>0</x:v>
      </x:c>
      <x:c r="I178" s="1" t="str">
        <x:v>0</x:v>
      </x:c>
      <x:c r="J178" s="1" t="str">
        <x:v>yes</x:v>
      </x:c>
      <x:c r="K178" s="1"/>
      <x:c r="L178" s="1"/>
      <x:c r="M178" s="1"/>
      <x:c r="N178" s="1"/>
      <x:c r="O178" s="1"/>
    </x:row>
    <x:row r="179">
      <x:c r="A179" s="1" t="str">
        <x:v>S0178</x:v>
      </x:c>
      <x:c r="B179" s="1" t="str">
        <x:v>40</x:v>
      </x:c>
      <x:c r="C179" s="1" t="str">
        <x:v>basic</x:v>
      </x:c>
      <x:c r="D179" s="1" t="str">
        <x:v>9.99</x:v>
      </x:c>
      <x:c r="E179" s="1" t="str">
        <x:v>3</x:v>
      </x:c>
      <x:c r="F179" s="1" t="str">
        <x:v>25</x:v>
      </x:c>
      <x:c r="G179" s="1" t="str">
        <x:v>0</x:v>
      </x:c>
      <x:c r="H179" s="1" t="str">
        <x:v>0</x:v>
      </x:c>
      <x:c r="I179" s="1" t="str">
        <x:v>0</x:v>
      </x:c>
      <x:c r="J179" s="1" t="str">
        <x:v>no</x:v>
      </x:c>
      <x:c r="K179" s="1"/>
      <x:c r="L179" s="1"/>
      <x:c r="M179" s="1"/>
      <x:c r="N179" s="1"/>
      <x:c r="O179" s="1"/>
    </x:row>
    <x:row r="180">
      <x:c r="A180" s="1" t="str">
        <x:v>S0179</x:v>
      </x:c>
      <x:c r="B180" s="1" t="str">
        <x:v>47</x:v>
      </x:c>
      <x:c r="C180" s="1" t="str">
        <x:v>premium</x:v>
      </x:c>
      <x:c r="D180" s="1" t="str">
        <x:v>15.99</x:v>
      </x:c>
      <x:c r="E180" s="1" t="str">
        <x:v>3</x:v>
      </x:c>
      <x:c r="F180" s="1" t="str">
        <x:v>22</x:v>
      </x:c>
      <x:c r="G180" s="1" t="str">
        <x:v>7</x:v>
      </x:c>
      <x:c r="H180" s="1" t="str">
        <x:v>0</x:v>
      </x:c>
      <x:c r="I180" s="1" t="str">
        <x:v>0</x:v>
      </x:c>
      <x:c r="J180" s="1" t="str">
        <x:v>no</x:v>
      </x:c>
      <x:c r="K180" s="1"/>
      <x:c r="L180" s="1"/>
      <x:c r="M180" s="1"/>
      <x:c r="N180" s="1"/>
      <x:c r="O180" s="1"/>
    </x:row>
    <x:row r="181">
      <x:c r="A181" s="1" t="str">
        <x:v>S0180</x:v>
      </x:c>
      <x:c r="B181" s="1" t="str">
        <x:v>36</x:v>
      </x:c>
      <x:c r="C181" s="1" t="str">
        <x:v>basic</x:v>
      </x:c>
      <x:c r="D181" s="1" t="str">
        <x:v>9.99</x:v>
      </x:c>
      <x:c r="E181" s="1" t="str">
        <x:v>0</x:v>
      </x:c>
      <x:c r="F181" s="1" t="str">
        <x:v>16</x:v>
      </x:c>
      <x:c r="G181" s="1" t="str">
        <x:v>22</x:v>
      </x:c>
      <x:c r="H181" s="1" t="str">
        <x:v>0</x:v>
      </x:c>
      <x:c r="I181" s="1" t="str">
        <x:v>1</x:v>
      </x:c>
      <x:c r="J181" s="1" t="str">
        <x:v>no</x:v>
      </x:c>
      <x:c r="K181" s="1"/>
      <x:c r="L181" s="1"/>
      <x:c r="M181" s="1"/>
      <x:c r="N181" s="1"/>
      <x:c r="O181" s="1"/>
    </x:row>
    <x:row r="182">
      <x:c r="A182" s="1" t="str">
        <x:v>S0181</x:v>
      </x:c>
      <x:c r="B182" s="1" t="str">
        <x:v>33</x:v>
      </x:c>
      <x:c r="C182" s="1" t="str">
        <x:v>basic</x:v>
      </x:c>
      <x:c r="D182" s="1" t="str">
        <x:v>9.99</x:v>
      </x:c>
      <x:c r="E182" s="1" t="str">
        <x:v>0</x:v>
      </x:c>
      <x:c r="F182" s="1" t="str">
        <x:v>23</x:v>
      </x:c>
      <x:c r="G182" s="1" t="str">
        <x:v>2</x:v>
      </x:c>
      <x:c r="H182" s="1" t="str">
        <x:v>1</x:v>
      </x:c>
      <x:c r="I182" s="1" t="str">
        <x:v>0</x:v>
      </x:c>
      <x:c r="J182" s="1" t="str">
        <x:v>no</x:v>
      </x:c>
      <x:c r="K182" s="1"/>
      <x:c r="L182" s="1"/>
      <x:c r="M182" s="1"/>
      <x:c r="N182" s="1"/>
      <x:c r="O182" s="1"/>
    </x:row>
    <x:row r="183">
      <x:c r="A183" s="1" t="str">
        <x:v>S0182</x:v>
      </x:c>
      <x:c r="B183" s="1" t="str">
        <x:v>48</x:v>
      </x:c>
      <x:c r="C183" s="1" t="str">
        <x:v>basic</x:v>
      </x:c>
      <x:c r="D183" s="1" t="str">
        <x:v>9.99</x:v>
      </x:c>
      <x:c r="E183" s="1" t="str">
        <x:v>4</x:v>
      </x:c>
      <x:c r="F183" s="1" t="str">
        <x:v>13</x:v>
      </x:c>
      <x:c r="G183" s="1" t="str">
        <x:v>30</x:v>
      </x:c>
      <x:c r="H183" s="1" t="str">
        <x:v>0</x:v>
      </x:c>
      <x:c r="I183" s="1" t="str">
        <x:v>1</x:v>
      </x:c>
      <x:c r="J183" s="1" t="str">
        <x:v>no</x:v>
      </x:c>
      <x:c r="K183" s="1"/>
      <x:c r="L183" s="1"/>
      <x:c r="M183" s="1"/>
      <x:c r="N183" s="1"/>
      <x:c r="O183" s="1"/>
    </x:row>
    <x:row r="184">
      <x:c r="A184" s="1" t="str">
        <x:v>S0183</x:v>
      </x:c>
      <x:c r="B184" s="1" t="str">
        <x:v>11</x:v>
      </x:c>
      <x:c r="C184" s="1" t="str">
        <x:v>basic</x:v>
      </x:c>
      <x:c r="D184" s="1" t="str">
        <x:v>9.99</x:v>
      </x:c>
      <x:c r="E184" s="1" t="str">
        <x:v>2</x:v>
      </x:c>
      <x:c r="F184" s="1" t="str">
        <x:v>26</x:v>
      </x:c>
      <x:c r="G184" s="1" t="str">
        <x:v>3</x:v>
      </x:c>
      <x:c r="H184" s="1" t="str">
        <x:v>0</x:v>
      </x:c>
      <x:c r="I184" s="1" t="str">
        <x:v>0</x:v>
      </x:c>
      <x:c r="J184" s="1" t="str">
        <x:v>no</x:v>
      </x:c>
      <x:c r="K184" s="1"/>
      <x:c r="L184" s="1"/>
      <x:c r="M184" s="1"/>
      <x:c r="N184" s="1"/>
      <x:c r="O184" s="1"/>
    </x:row>
    <x:row r="185">
      <x:c r="A185" s="1" t="str">
        <x:v>S0184</x:v>
      </x:c>
      <x:c r="B185" s="1" t="str">
        <x:v>20</x:v>
      </x:c>
      <x:c r="C185" s="1" t="str">
        <x:v>basic</x:v>
      </x:c>
      <x:c r="D185" s="1" t="str">
        <x:v>9.99</x:v>
      </x:c>
      <x:c r="E185" s="1" t="str">
        <x:v>0</x:v>
      </x:c>
      <x:c r="F185" s="1" t="str">
        <x:v>18</x:v>
      </x:c>
      <x:c r="G185" s="1" t="str">
        <x:v>6</x:v>
      </x:c>
      <x:c r="H185" s="1" t="str">
        <x:v>0</x:v>
      </x:c>
      <x:c r="I185" s="1" t="str">
        <x:v>1</x:v>
      </x:c>
      <x:c r="J185" s="1" t="str">
        <x:v>no</x:v>
      </x:c>
      <x:c r="K185" s="1"/>
      <x:c r="L185" s="1"/>
      <x:c r="M185" s="1"/>
      <x:c r="N185" s="1"/>
      <x:c r="O185" s="1"/>
    </x:row>
    <x:row r="186">
      <x:c r="A186" s="1" t="str">
        <x:v>S0185</x:v>
      </x:c>
      <x:c r="B186" s="1" t="str">
        <x:v>12</x:v>
      </x:c>
      <x:c r="C186" s="1" t="str">
        <x:v>premium</x:v>
      </x:c>
      <x:c r="D186" s="1" t="str">
        <x:v>15.99</x:v>
      </x:c>
      <x:c r="E186" s="1" t="str">
        <x:v>1</x:v>
      </x:c>
      <x:c r="F186" s="1" t="str">
        <x:v>31</x:v>
      </x:c>
      <x:c r="G186" s="1" t="str">
        <x:v>2</x:v>
      </x:c>
      <x:c r="H186" s="1" t="str">
        <x:v>0</x:v>
      </x:c>
      <x:c r="I186" s="1" t="str">
        <x:v>0</x:v>
      </x:c>
      <x:c r="J186" s="1" t="str">
        <x:v>no</x:v>
      </x:c>
      <x:c r="K186" s="1"/>
      <x:c r="L186" s="1"/>
      <x:c r="M186" s="1"/>
      <x:c r="N186" s="1"/>
      <x:c r="O186" s="1"/>
    </x:row>
    <x:row r="187">
      <x:c r="A187" s="1" t="str">
        <x:v>S0186</x:v>
      </x:c>
      <x:c r="B187" s="1" t="str">
        <x:v>5</x:v>
      </x:c>
      <x:c r="C187" s="1" t="str">
        <x:v>basic</x:v>
      </x:c>
      <x:c r="D187" s="1" t="str">
        <x:v>9.99</x:v>
      </x:c>
      <x:c r="E187" s="1" t="str">
        <x:v>3</x:v>
      </x:c>
      <x:c r="F187" s="1" t="str">
        <x:v>24</x:v>
      </x:c>
      <x:c r="G187" s="1" t="str">
        <x:v>3</x:v>
      </x:c>
      <x:c r="H187" s="1" t="str">
        <x:v>0</x:v>
      </x:c>
      <x:c r="I187" s="1" t="str">
        <x:v>0</x:v>
      </x:c>
      <x:c r="J187" s="1" t="str">
        <x:v>yes</x:v>
      </x:c>
      <x:c r="K187" s="1"/>
      <x:c r="L187" s="1"/>
      <x:c r="M187" s="1"/>
      <x:c r="N187" s="1"/>
      <x:c r="O187" s="1"/>
    </x:row>
    <x:row r="188">
      <x:c r="A188" s="1" t="str">
        <x:v>S0187</x:v>
      </x:c>
      <x:c r="B188" s="1" t="str">
        <x:v>33</x:v>
      </x:c>
      <x:c r="C188" s="1" t="str">
        <x:v>basic</x:v>
      </x:c>
      <x:c r="D188" s="1" t="str">
        <x:v>9.99</x:v>
      </x:c>
      <x:c r="E188" s="1" t="str">
        <x:v>0</x:v>
      </x:c>
      <x:c r="F188" s="1" t="str">
        <x:v>23</x:v>
      </x:c>
      <x:c r="G188" s="1" t="str">
        <x:v>4</x:v>
      </x:c>
      <x:c r="H188" s="1" t="str">
        <x:v>0</x:v>
      </x:c>
      <x:c r="I188" s="1" t="str">
        <x:v>1</x:v>
      </x:c>
      <x:c r="J188" s="1" t="str">
        <x:v>no</x:v>
      </x:c>
      <x:c r="K188" s="1"/>
      <x:c r="L188" s="1"/>
      <x:c r="M188" s="1"/>
      <x:c r="N188" s="1"/>
      <x:c r="O188" s="1"/>
    </x:row>
    <x:row r="189">
      <x:c r="A189" s="1" t="str">
        <x:v>S0188</x:v>
      </x:c>
      <x:c r="B189" s="1" t="str">
        <x:v>14</x:v>
      </x:c>
      <x:c r="C189" s="1" t="str">
        <x:v>premium</x:v>
      </x:c>
      <x:c r="D189" s="1" t="str">
        <x:v>15.99</x:v>
      </x:c>
      <x:c r="E189" s="1" t="str">
        <x:v>0</x:v>
      </x:c>
      <x:c r="F189" s="1" t="str">
        <x:v>22</x:v>
      </x:c>
      <x:c r="G189" s="1" t="str">
        <x:v>6</x:v>
      </x:c>
      <x:c r="H189" s="1" t="str">
        <x:v>0</x:v>
      </x:c>
      <x:c r="I189" s="1" t="str">
        <x:v>0</x:v>
      </x:c>
      <x:c r="J189" s="1" t="str">
        <x:v>no</x:v>
      </x:c>
      <x:c r="K189" s="1"/>
      <x:c r="L189" s="1"/>
      <x:c r="M189" s="1"/>
      <x:c r="N189" s="1"/>
      <x:c r="O189" s="1"/>
    </x:row>
    <x:row r="190">
      <x:c r="A190" s="1" t="str">
        <x:v>S0189</x:v>
      </x:c>
      <x:c r="B190" s="1" t="str">
        <x:v>16</x:v>
      </x:c>
      <x:c r="C190" s="1" t="str">
        <x:v>premium</x:v>
      </x:c>
      <x:c r="D190" s="1" t="str">
        <x:v>15.99</x:v>
      </x:c>
      <x:c r="E190" s="1" t="str">
        <x:v>0</x:v>
      </x:c>
      <x:c r="F190" s="1" t="str">
        <x:v>7</x:v>
      </x:c>
      <x:c r="G190" s="1" t="str">
        <x:v>7</x:v>
      </x:c>
      <x:c r="H190" s="1" t="str">
        <x:v>0</x:v>
      </x:c>
      <x:c r="I190" s="1" t="str">
        <x:v>0</x:v>
      </x:c>
      <x:c r="J190" s="1" t="str">
        <x:v>no</x:v>
      </x:c>
      <x:c r="K190" s="1"/>
      <x:c r="L190" s="1"/>
      <x:c r="M190" s="1"/>
      <x:c r="N190" s="1"/>
      <x:c r="O190" s="1"/>
    </x:row>
    <x:row r="191">
      <x:c r="A191" s="1" t="str">
        <x:v>S0190</x:v>
      </x:c>
      <x:c r="B191" s="1" t="str">
        <x:v>30</x:v>
      </x:c>
      <x:c r="C191" s="1" t="str">
        <x:v>premium</x:v>
      </x:c>
      <x:c r="D191" s="1" t="str">
        <x:v>15.99</x:v>
      </x:c>
      <x:c r="E191" s="1" t="str">
        <x:v>0</x:v>
      </x:c>
      <x:c r="F191" s="1" t="str">
        <x:v>3</x:v>
      </x:c>
      <x:c r="G191" s="1" t="str">
        <x:v>2</x:v>
      </x:c>
      <x:c r="H191" s="1" t="str">
        <x:v>0</x:v>
      </x:c>
      <x:c r="I191" s="1" t="str">
        <x:v>0</x:v>
      </x:c>
      <x:c r="J191" s="1" t="str">
        <x:v>no</x:v>
      </x:c>
      <x:c r="K191" s="1"/>
      <x:c r="L191" s="1"/>
      <x:c r="M191" s="1"/>
      <x:c r="N191" s="1"/>
      <x:c r="O191" s="1"/>
    </x:row>
    <x:row r="192">
      <x:c r="A192" s="1" t="str">
        <x:v>S0191</x:v>
      </x:c>
      <x:c r="B192" s="1" t="str">
        <x:v>31</x:v>
      </x:c>
      <x:c r="C192" s="1" t="str">
        <x:v>basic</x:v>
      </x:c>
      <x:c r="D192" s="1" t="str">
        <x:v>9.99</x:v>
      </x:c>
      <x:c r="E192" s="1" t="str">
        <x:v>0</x:v>
      </x:c>
      <x:c r="F192" s="1" t="str">
        <x:v>11</x:v>
      </x:c>
      <x:c r="G192" s="1" t="str">
        <x:v>20</x:v>
      </x:c>
      <x:c r="H192" s="1" t="str">
        <x:v>0</x:v>
      </x:c>
      <x:c r="I192" s="1" t="str">
        <x:v>0</x:v>
      </x:c>
      <x:c r="J192" s="1" t="str">
        <x:v>no</x:v>
      </x:c>
      <x:c r="K192" s="1"/>
      <x:c r="L192" s="1"/>
      <x:c r="M192" s="1"/>
      <x:c r="N192" s="1"/>
      <x:c r="O192" s="1"/>
    </x:row>
    <x:row r="193">
      <x:c r="A193" s="1" t="str">
        <x:v>S0192</x:v>
      </x:c>
      <x:c r="B193" s="1" t="str">
        <x:v>30</x:v>
      </x:c>
      <x:c r="C193" s="1" t="str">
        <x:v>premium</x:v>
      </x:c>
      <x:c r="D193" s="1" t="str">
        <x:v>15.99</x:v>
      </x:c>
      <x:c r="E193" s="1" t="str">
        <x:v>3</x:v>
      </x:c>
      <x:c r="F193" s="1" t="str">
        <x:v>14</x:v>
      </x:c>
      <x:c r="G193" s="1" t="str">
        <x:v>8</x:v>
      </x:c>
      <x:c r="H193" s="1" t="str">
        <x:v>0</x:v>
      </x:c>
      <x:c r="I193" s="1" t="str">
        <x:v>0</x:v>
      </x:c>
      <x:c r="J193" s="1" t="str">
        <x:v>yes</x:v>
      </x:c>
      <x:c r="K193" s="1"/>
      <x:c r="L193" s="1"/>
      <x:c r="M193" s="1"/>
      <x:c r="N193" s="1"/>
      <x:c r="O193" s="1"/>
    </x:row>
    <x:row r="194">
      <x:c r="A194" s="1" t="str">
        <x:v>S0193</x:v>
      </x:c>
      <x:c r="B194" s="1" t="str">
        <x:v>24</x:v>
      </x:c>
      <x:c r="C194" s="1" t="str">
        <x:v>basic</x:v>
      </x:c>
      <x:c r="D194" s="1" t="str">
        <x:v>9.99</x:v>
      </x:c>
      <x:c r="E194" s="1" t="str">
        <x:v>1</x:v>
      </x:c>
      <x:c r="F194" s="1" t="str">
        <x:v>33</x:v>
      </x:c>
      <x:c r="G194" s="1" t="str">
        <x:v>5</x:v>
      </x:c>
      <x:c r="H194" s="1" t="str">
        <x:v>0</x:v>
      </x:c>
      <x:c r="I194" s="1" t="str">
        <x:v>0</x:v>
      </x:c>
      <x:c r="J194" s="1" t="str">
        <x:v>no</x:v>
      </x:c>
      <x:c r="K194" s="1"/>
      <x:c r="L194" s="1"/>
      <x:c r="M194" s="1"/>
      <x:c r="N194" s="1"/>
      <x:c r="O194" s="1"/>
    </x:row>
    <x:row r="195">
      <x:c r="A195" s="1" t="str">
        <x:v>S0194</x:v>
      </x:c>
      <x:c r="B195" s="1" t="str">
        <x:v>14</x:v>
      </x:c>
      <x:c r="C195" s="1" t="str">
        <x:v>basic</x:v>
      </x:c>
      <x:c r="D195" s="1" t="str">
        <x:v>9.99</x:v>
      </x:c>
      <x:c r="E195" s="1" t="str">
        <x:v>1</x:v>
      </x:c>
      <x:c r="F195" s="1" t="str">
        <x:v>26</x:v>
      </x:c>
      <x:c r="G195" s="1" t="str">
        <x:v>0</x:v>
      </x:c>
      <x:c r="H195" s="1" t="str">
        <x:v>0</x:v>
      </x:c>
      <x:c r="I195" s="1" t="str">
        <x:v>0</x:v>
      </x:c>
      <x:c r="J195" s="1" t="str">
        <x:v>no</x:v>
      </x:c>
      <x:c r="K195" s="1"/>
      <x:c r="L195" s="1"/>
      <x:c r="M195" s="1"/>
      <x:c r="N195" s="1"/>
      <x:c r="O195" s="1"/>
    </x:row>
    <x:row r="196">
      <x:c r="A196" s="1" t="str">
        <x:v>S0195</x:v>
      </x:c>
      <x:c r="B196" s="1" t="str">
        <x:v>48</x:v>
      </x:c>
      <x:c r="C196" s="1" t="str">
        <x:v>basic</x:v>
      </x:c>
      <x:c r="D196" s="1" t="str">
        <x:v>9.99</x:v>
      </x:c>
      <x:c r="E196" s="1" t="str">
        <x:v>0</x:v>
      </x:c>
      <x:c r="F196" s="1" t="str">
        <x:v>22</x:v>
      </x:c>
      <x:c r="G196" s="1" t="str">
        <x:v>0</x:v>
      </x:c>
      <x:c r="H196" s="1" t="str">
        <x:v>1</x:v>
      </x:c>
      <x:c r="I196" s="1" t="str">
        <x:v>0</x:v>
      </x:c>
      <x:c r="J196" s="1" t="str">
        <x:v>no</x:v>
      </x:c>
      <x:c r="K196" s="1"/>
      <x:c r="L196" s="1"/>
      <x:c r="M196" s="1"/>
      <x:c r="N196" s="1"/>
      <x:c r="O196" s="1"/>
    </x:row>
    <x:row r="197">
      <x:c r="A197" s="1" t="str">
        <x:v>S0196</x:v>
      </x:c>
      <x:c r="B197" s="1" t="str">
        <x:v>34</x:v>
      </x:c>
      <x:c r="C197" s="1" t="str">
        <x:v>basic</x:v>
      </x:c>
      <x:c r="D197" s="1" t="str">
        <x:v>9.99</x:v>
      </x:c>
      <x:c r="E197" s="1" t="str">
        <x:v>0</x:v>
      </x:c>
      <x:c r="F197" s="1" t="str">
        <x:v>10</x:v>
      </x:c>
      <x:c r="G197" s="1" t="str">
        <x:v>30</x:v>
      </x:c>
      <x:c r="H197" s="1" t="str">
        <x:v>0</x:v>
      </x:c>
      <x:c r="I197" s="1" t="str">
        <x:v>0</x:v>
      </x:c>
      <x:c r="J197" s="1" t="str">
        <x:v>no</x:v>
      </x:c>
      <x:c r="K197" s="1"/>
      <x:c r="L197" s="1"/>
      <x:c r="M197" s="1"/>
      <x:c r="N197" s="1"/>
      <x:c r="O197" s="1"/>
    </x:row>
    <x:row r="198">
      <x:c r="A198" s="1" t="str">
        <x:v>S0197</x:v>
      </x:c>
      <x:c r="B198" s="1" t="str">
        <x:v>28</x:v>
      </x:c>
      <x:c r="C198" s="1" t="str">
        <x:v>basic</x:v>
      </x:c>
      <x:c r="D198" s="1" t="str">
        <x:v>9.99</x:v>
      </x:c>
      <x:c r="E198" s="1" t="str">
        <x:v>0</x:v>
      </x:c>
      <x:c r="F198" s="1" t="str">
        <x:v>16</x:v>
      </x:c>
      <x:c r="G198" s="1" t="str">
        <x:v>7</x:v>
      </x:c>
      <x:c r="H198" s="1" t="str">
        <x:v>0</x:v>
      </x:c>
      <x:c r="I198" s="1" t="str">
        <x:v>1</x:v>
      </x:c>
      <x:c r="J198" s="1" t="str">
        <x:v>no</x:v>
      </x:c>
      <x:c r="K198" s="1"/>
      <x:c r="L198" s="1"/>
      <x:c r="M198" s="1"/>
      <x:c r="N198" s="1"/>
      <x:c r="O198" s="1"/>
    </x:row>
    <x:row r="199">
      <x:c r="A199" s="1" t="str">
        <x:v>S0198</x:v>
      </x:c>
      <x:c r="B199" s="1" t="str">
        <x:v>6</x:v>
      </x:c>
      <x:c r="C199" s="1" t="str">
        <x:v>basic</x:v>
      </x:c>
      <x:c r="D199" s="1" t="str">
        <x:v>9.99</x:v>
      </x:c>
      <x:c r="E199" s="1" t="str">
        <x:v>0</x:v>
      </x:c>
      <x:c r="F199" s="1" t="str">
        <x:v>0</x:v>
      </x:c>
      <x:c r="G199" s="1" t="str">
        <x:v>53</x:v>
      </x:c>
      <x:c r="H199" s="1" t="str">
        <x:v>0</x:v>
      </x:c>
      <x:c r="I199" s="1" t="str">
        <x:v>1</x:v>
      </x:c>
      <x:c r="J199" s="1" t="str">
        <x:v>yes</x:v>
      </x:c>
      <x:c r="K199" s="1"/>
      <x:c r="L199" s="1"/>
      <x:c r="M199" s="1"/>
      <x:c r="N199" s="1"/>
      <x:c r="O199" s="1"/>
    </x:row>
    <x:row r="200">
      <x:c r="A200" s="1" t="str">
        <x:v>S0199</x:v>
      </x:c>
      <x:c r="B200" s="1" t="str">
        <x:v>28</x:v>
      </x:c>
      <x:c r="C200" s="1" t="str">
        <x:v>basic</x:v>
      </x:c>
      <x:c r="D200" s="1" t="str">
        <x:v>9.99</x:v>
      </x:c>
      <x:c r="E200" s="1" t="str">
        <x:v>0</x:v>
      </x:c>
      <x:c r="F200" s="1" t="str">
        <x:v>26</x:v>
      </x:c>
      <x:c r="G200" s="1" t="str">
        <x:v>25</x:v>
      </x:c>
      <x:c r="H200" s="1" t="str">
        <x:v>0</x:v>
      </x:c>
      <x:c r="I200" s="1" t="str">
        <x:v>0</x:v>
      </x:c>
      <x:c r="J200" s="1" t="str">
        <x:v>no</x:v>
      </x:c>
      <x:c r="K200" s="1"/>
      <x:c r="L200" s="1"/>
      <x:c r="M200" s="1"/>
      <x:c r="N200" s="1"/>
      <x:c r="O200" s="1"/>
    </x:row>
    <x:row r="201">
      <x:c r="A201" s="1" t="str">
        <x:v>S0200</x:v>
      </x:c>
      <x:c r="B201" s="1" t="str">
        <x:v>31</x:v>
      </x:c>
      <x:c r="C201" s="1" t="str">
        <x:v>premium</x:v>
      </x:c>
      <x:c r="D201" s="1" t="str">
        <x:v>15.99</x:v>
      </x:c>
      <x:c r="E201" s="1" t="str">
        <x:v>0</x:v>
      </x:c>
      <x:c r="F201" s="1" t="str">
        <x:v>0</x:v>
      </x:c>
      <x:c r="G201" s="1" t="str">
        <x:v>53</x:v>
      </x:c>
      <x:c r="H201" s="1" t="str">
        <x:v>0</x:v>
      </x:c>
      <x:c r="I201" s="1" t="str">
        <x:v>0</x:v>
      </x:c>
      <x:c r="J201" s="1" t="str">
        <x:v>yes</x:v>
      </x:c>
      <x:c r="K201" s="1"/>
      <x:c r="L201" s="1"/>
      <x:c r="M201" s="1"/>
      <x:c r="N201" s="1"/>
      <x:c r="O201" s="1"/>
    </x:row>
    <x:row r="202">
      <x:c r="A202" s="1" t="str">
        <x:v>S0201</x:v>
      </x:c>
      <x:c r="B202" s="1" t="str">
        <x:v>22</x:v>
      </x:c>
      <x:c r="C202" s="1" t="str">
        <x:v>basic</x:v>
      </x:c>
      <x:c r="D202" s="1" t="str">
        <x:v>9.99</x:v>
      </x:c>
      <x:c r="E202" s="1" t="str">
        <x:v>0</x:v>
      </x:c>
      <x:c r="F202" s="1" t="str">
        <x:v>24</x:v>
      </x:c>
      <x:c r="G202" s="1" t="str">
        <x:v>16</x:v>
      </x:c>
      <x:c r="H202" s="1" t="str">
        <x:v>0</x:v>
      </x:c>
      <x:c r="I202" s="1" t="str">
        <x:v>0</x:v>
      </x:c>
      <x:c r="J202" s="1" t="str">
        <x:v>no</x:v>
      </x:c>
      <x:c r="K202" s="1"/>
      <x:c r="L202" s="1"/>
      <x:c r="M202" s="1"/>
      <x:c r="N202" s="1"/>
      <x:c r="O202" s="1"/>
    </x:row>
    <x:row r="203">
      <x:c r="A203" s="1" t="str">
        <x:v>S0202</x:v>
      </x:c>
      <x:c r="B203" s="1" t="str">
        <x:v>29</x:v>
      </x:c>
      <x:c r="C203" s="1" t="str">
        <x:v>basic</x:v>
      </x:c>
      <x:c r="D203" s="1" t="str">
        <x:v>9.99</x:v>
      </x:c>
      <x:c r="E203" s="1" t="str">
        <x:v>0</x:v>
      </x:c>
      <x:c r="F203" s="1" t="str">
        <x:v>25</x:v>
      </x:c>
      <x:c r="G203" s="1" t="str">
        <x:v>1</x:v>
      </x:c>
      <x:c r="H203" s="1" t="str">
        <x:v>1</x:v>
      </x:c>
      <x:c r="I203" s="1" t="str">
        <x:v>0</x:v>
      </x:c>
      <x:c r="J203" s="1" t="str">
        <x:v>no</x:v>
      </x:c>
      <x:c r="K203" s="1"/>
      <x:c r="L203" s="1"/>
      <x:c r="M203" s="1"/>
      <x:c r="N203" s="1"/>
      <x:c r="O203" s="1"/>
    </x:row>
    <x:row r="204">
      <x:c r="A204" s="1" t="str">
        <x:v>S0203</x:v>
      </x:c>
      <x:c r="B204" s="1" t="str">
        <x:v>13</x:v>
      </x:c>
      <x:c r="C204" s="1" t="str">
        <x:v>basic</x:v>
      </x:c>
      <x:c r="D204" s="1" t="str">
        <x:v>9.99</x:v>
      </x:c>
      <x:c r="E204" s="1" t="str">
        <x:v>0</x:v>
      </x:c>
      <x:c r="F204" s="1" t="str">
        <x:v>4</x:v>
      </x:c>
      <x:c r="G204" s="1" t="str">
        <x:v>22</x:v>
      </x:c>
      <x:c r="H204" s="1" t="str">
        <x:v>0</x:v>
      </x:c>
      <x:c r="I204" s="1" t="str">
        <x:v>0</x:v>
      </x:c>
      <x:c r="J204" s="1" t="str">
        <x:v>no</x:v>
      </x:c>
      <x:c r="K204" s="1"/>
      <x:c r="L204" s="1"/>
      <x:c r="M204" s="1"/>
      <x:c r="N204" s="1"/>
      <x:c r="O204" s="1"/>
    </x:row>
    <x:row r="205">
      <x:c r="A205" s="1" t="str">
        <x:v>S0204</x:v>
      </x:c>
      <x:c r="B205" s="1" t="str">
        <x:v>17</x:v>
      </x:c>
      <x:c r="C205" s="1" t="str">
        <x:v>basic</x:v>
      </x:c>
      <x:c r="D205" s="1" t="str">
        <x:v>9.99</x:v>
      </x:c>
      <x:c r="E205" s="1" t="str">
        <x:v>0</x:v>
      </x:c>
      <x:c r="F205" s="1" t="str">
        <x:v>0</x:v>
      </x:c>
      <x:c r="G205" s="1" t="str">
        <x:v>54</x:v>
      </x:c>
      <x:c r="H205" s="1" t="str">
        <x:v>0</x:v>
      </x:c>
      <x:c r="I205" s="1" t="str">
        <x:v>0</x:v>
      </x:c>
      <x:c r="J205" s="1" t="str">
        <x:v>yes</x:v>
      </x:c>
      <x:c r="K205" s="1"/>
      <x:c r="L205" s="1"/>
      <x:c r="M205" s="1"/>
      <x:c r="N205" s="1"/>
      <x:c r="O205" s="1"/>
    </x:row>
    <x:row r="206">
      <x:c r="A206" s="1" t="str">
        <x:v>S0205</x:v>
      </x:c>
      <x:c r="B206" s="1" t="str">
        <x:v>7</x:v>
      </x:c>
      <x:c r="C206" s="1" t="str">
        <x:v>basic</x:v>
      </x:c>
      <x:c r="D206" s="1" t="str">
        <x:v>9.99</x:v>
      </x:c>
      <x:c r="E206" s="1" t="str">
        <x:v>0</x:v>
      </x:c>
      <x:c r="F206" s="1" t="str">
        <x:v>10</x:v>
      </x:c>
      <x:c r="G206" s="1" t="str">
        <x:v>16</x:v>
      </x:c>
      <x:c r="H206" s="1" t="str">
        <x:v>0</x:v>
      </x:c>
      <x:c r="I206" s="1" t="str">
        <x:v>0</x:v>
      </x:c>
      <x:c r="J206" s="1" t="str">
        <x:v>yes</x:v>
      </x:c>
      <x:c r="K206" s="1"/>
      <x:c r="L206" s="1"/>
      <x:c r="M206" s="1"/>
      <x:c r="N206" s="1"/>
      <x:c r="O206" s="1"/>
    </x:row>
    <x:row r="207">
      <x:c r="A207" s="1" t="str">
        <x:v>S0206</x:v>
      </x:c>
      <x:c r="B207" s="1" t="str">
        <x:v>8</x:v>
      </x:c>
      <x:c r="C207" s="1" t="str">
        <x:v>basic</x:v>
      </x:c>
      <x:c r="D207" s="1" t="str">
        <x:v>9.99</x:v>
      </x:c>
      <x:c r="E207" s="1" t="str">
        <x:v>0</x:v>
      </x:c>
      <x:c r="F207" s="1" t="str">
        <x:v>15</x:v>
      </x:c>
      <x:c r="G207" s="1" t="str">
        <x:v>8</x:v>
      </x:c>
      <x:c r="H207" s="1" t="str">
        <x:v>0</x:v>
      </x:c>
      <x:c r="I207" s="1" t="str">
        <x:v>0</x:v>
      </x:c>
      <x:c r="J207" s="1" t="str">
        <x:v>no</x:v>
      </x:c>
      <x:c r="K207" s="1"/>
      <x:c r="L207" s="1"/>
      <x:c r="M207" s="1"/>
      <x:c r="N207" s="1"/>
      <x:c r="O207" s="1"/>
    </x:row>
    <x:row r="208">
      <x:c r="A208" s="1" t="str">
        <x:v>S0207</x:v>
      </x:c>
      <x:c r="B208" s="1" t="str">
        <x:v>24</x:v>
      </x:c>
      <x:c r="C208" s="1" t="str">
        <x:v>basic</x:v>
      </x:c>
      <x:c r="D208" s="1" t="str">
        <x:v>9.99</x:v>
      </x:c>
      <x:c r="E208" s="1" t="str">
        <x:v>2</x:v>
      </x:c>
      <x:c r="F208" s="1" t="str">
        <x:v>30</x:v>
      </x:c>
      <x:c r="G208" s="1" t="str">
        <x:v>4</x:v>
      </x:c>
      <x:c r="H208" s="1" t="str">
        <x:v>0</x:v>
      </x:c>
      <x:c r="I208" s="1" t="str">
        <x:v>1</x:v>
      </x:c>
      <x:c r="J208" s="1" t="str">
        <x:v>no</x:v>
      </x:c>
      <x:c r="K208" s="1"/>
      <x:c r="L208" s="1"/>
      <x:c r="M208" s="1"/>
      <x:c r="N208" s="1"/>
      <x:c r="O208" s="1"/>
    </x:row>
    <x:row r="209">
      <x:c r="A209" s="1" t="str">
        <x:v>S0208</x:v>
      </x:c>
      <x:c r="B209" s="1" t="str">
        <x:v>1</x:v>
      </x:c>
      <x:c r="C209" s="1" t="str">
        <x:v>basic</x:v>
      </x:c>
      <x:c r="D209" s="1" t="str">
        <x:v>9.99</x:v>
      </x:c>
      <x:c r="E209" s="1" t="str">
        <x:v>1</x:v>
      </x:c>
      <x:c r="F209" s="1" t="str">
        <x:v>19</x:v>
      </x:c>
      <x:c r="G209" s="1" t="str">
        <x:v>11</x:v>
      </x:c>
      <x:c r="H209" s="1" t="str">
        <x:v>0</x:v>
      </x:c>
      <x:c r="I209" s="1" t="str">
        <x:v>0</x:v>
      </x:c>
      <x:c r="J209" s="1" t="str">
        <x:v>yes</x:v>
      </x:c>
      <x:c r="K209" s="1"/>
      <x:c r="L209" s="1"/>
      <x:c r="M209" s="1"/>
      <x:c r="N209" s="1"/>
      <x:c r="O209" s="1"/>
    </x:row>
    <x:row r="210">
      <x:c r="A210" s="1" t="str">
        <x:v>S0209</x:v>
      </x:c>
      <x:c r="B210" s="1" t="str">
        <x:v>37</x:v>
      </x:c>
      <x:c r="C210" s="1" t="str">
        <x:v>basic</x:v>
      </x:c>
      <x:c r="D210" s="1" t="str">
        <x:v>9.99</x:v>
      </x:c>
      <x:c r="E210" s="1" t="str">
        <x:v>0</x:v>
      </x:c>
      <x:c r="F210" s="1" t="str">
        <x:v>17</x:v>
      </x:c>
      <x:c r="G210" s="1" t="str">
        <x:v>25</x:v>
      </x:c>
      <x:c r="H210" s="1" t="str">
        <x:v>0</x:v>
      </x:c>
      <x:c r="I210" s="1" t="str">
        <x:v>0</x:v>
      </x:c>
      <x:c r="J210" s="1" t="str">
        <x:v>no</x:v>
      </x:c>
      <x:c r="K210" s="1"/>
      <x:c r="L210" s="1"/>
      <x:c r="M210" s="1"/>
      <x:c r="N210" s="1"/>
      <x:c r="O210" s="1"/>
    </x:row>
    <x:row r="211">
      <x:c r="A211" s="1" t="str">
        <x:v>S0210</x:v>
      </x:c>
      <x:c r="B211" s="1" t="str">
        <x:v>33</x:v>
      </x:c>
      <x:c r="C211" s="1" t="str">
        <x:v>basic</x:v>
      </x:c>
      <x:c r="D211" s="1" t="str">
        <x:v>9.99</x:v>
      </x:c>
      <x:c r="E211" s="1" t="str">
        <x:v>3</x:v>
      </x:c>
      <x:c r="F211" s="1" t="str">
        <x:v>36</x:v>
      </x:c>
      <x:c r="G211" s="1" t="str">
        <x:v>10</x:v>
      </x:c>
      <x:c r="H211" s="1" t="str">
        <x:v>0</x:v>
      </x:c>
      <x:c r="I211" s="1" t="str">
        <x:v>0</x:v>
      </x:c>
      <x:c r="J211" s="1" t="str">
        <x:v>no</x:v>
      </x:c>
      <x:c r="K211" s="1"/>
      <x:c r="L211" s="1"/>
      <x:c r="M211" s="1"/>
      <x:c r="N211" s="1"/>
      <x:c r="O211" s="1"/>
    </x:row>
    <x:row r="212">
      <x:c r="A212" s="1" t="str">
        <x:v>S0211</x:v>
      </x:c>
      <x:c r="B212" s="1" t="str">
        <x:v>33</x:v>
      </x:c>
      <x:c r="C212" s="1" t="str">
        <x:v>basic</x:v>
      </x:c>
      <x:c r="D212" s="1" t="str">
        <x:v>9.99</x:v>
      </x:c>
      <x:c r="E212" s="1" t="str">
        <x:v>1</x:v>
      </x:c>
      <x:c r="F212" s="1" t="str">
        <x:v>0</x:v>
      </x:c>
      <x:c r="G212" s="1" t="str">
        <x:v>45</x:v>
      </x:c>
      <x:c r="H212" s="1" t="str">
        <x:v>0</x:v>
      </x:c>
      <x:c r="I212" s="1" t="str">
        <x:v>0</x:v>
      </x:c>
      <x:c r="J212" s="1" t="str">
        <x:v>yes</x:v>
      </x:c>
      <x:c r="K212" s="1"/>
      <x:c r="L212" s="1"/>
      <x:c r="M212" s="1"/>
      <x:c r="N212" s="1"/>
      <x:c r="O212" s="1"/>
    </x:row>
    <x:row r="213">
      <x:c r="A213" s="1" t="str">
        <x:v>S0212</x:v>
      </x:c>
      <x:c r="B213" s="1" t="str">
        <x:v>8</x:v>
      </x:c>
      <x:c r="C213" s="1" t="str">
        <x:v>basic</x:v>
      </x:c>
      <x:c r="D213" s="1" t="str">
        <x:v>9.99</x:v>
      </x:c>
      <x:c r="E213" s="1" t="str">
        <x:v>0</x:v>
      </x:c>
      <x:c r="F213" s="1" t="str">
        <x:v>9</x:v>
      </x:c>
      <x:c r="G213" s="1" t="str">
        <x:v>5</x:v>
      </x:c>
      <x:c r="H213" s="1" t="str">
        <x:v>0</x:v>
      </x:c>
      <x:c r="I213" s="1" t="str">
        <x:v>1</x:v>
      </x:c>
      <x:c r="J213" s="1" t="str">
        <x:v>yes</x:v>
      </x:c>
      <x:c r="K213" s="1"/>
      <x:c r="L213" s="1"/>
      <x:c r="M213" s="1"/>
      <x:c r="N213" s="1"/>
      <x:c r="O213" s="1"/>
    </x:row>
    <x:row r="214">
      <x:c r="A214" s="1" t="str">
        <x:v>S0213</x:v>
      </x:c>
      <x:c r="B214" s="1" t="str">
        <x:v>8</x:v>
      </x:c>
      <x:c r="C214" s="1" t="str">
        <x:v>basic</x:v>
      </x:c>
      <x:c r="D214" s="1" t="str">
        <x:v>9.99</x:v>
      </x:c>
      <x:c r="E214" s="1" t="str">
        <x:v>2</x:v>
      </x:c>
      <x:c r="F214" s="1" t="str">
        <x:v>0</x:v>
      </x:c>
      <x:c r="G214" s="1" t="str">
        <x:v>53</x:v>
      </x:c>
      <x:c r="H214" s="1" t="str">
        <x:v>0</x:v>
      </x:c>
      <x:c r="I214" s="1" t="str">
        <x:v>0</x:v>
      </x:c>
      <x:c r="J214" s="1" t="str">
        <x:v>yes</x:v>
      </x:c>
      <x:c r="K214" s="1"/>
      <x:c r="L214" s="1"/>
      <x:c r="M214" s="1"/>
      <x:c r="N214" s="1"/>
      <x:c r="O214" s="1"/>
    </x:row>
    <x:row r="215">
      <x:c r="A215" s="1" t="str">
        <x:v>S0214</x:v>
      </x:c>
      <x:c r="B215" s="1" t="str">
        <x:v>3</x:v>
      </x:c>
      <x:c r="C215" s="1" t="str">
        <x:v>premium</x:v>
      </x:c>
      <x:c r="D215" s="1" t="str">
        <x:v>15.99</x:v>
      </x:c>
      <x:c r="E215" s="1" t="str">
        <x:v>0</x:v>
      </x:c>
      <x:c r="F215" s="1" t="str">
        <x:v>22</x:v>
      </x:c>
      <x:c r="G215" s="1" t="str">
        <x:v>4</x:v>
      </x:c>
      <x:c r="H215" s="1" t="str">
        <x:v>0</x:v>
      </x:c>
      <x:c r="I215" s="1" t="str">
        <x:v>0</x:v>
      </x:c>
      <x:c r="J215" s="1" t="str">
        <x:v>no</x:v>
      </x:c>
      <x:c r="K215" s="1"/>
      <x:c r="L215" s="1"/>
      <x:c r="M215" s="1"/>
      <x:c r="N215" s="1"/>
      <x:c r="O215" s="1"/>
    </x:row>
    <x:row r="216">
      <x:c r="A216" s="1" t="str">
        <x:v>S0215</x:v>
      </x:c>
      <x:c r="B216" s="1" t="str">
        <x:v>26</x:v>
      </x:c>
      <x:c r="C216" s="1" t="str">
        <x:v>premium</x:v>
      </x:c>
      <x:c r="D216" s="1" t="str">
        <x:v>15.99</x:v>
      </x:c>
      <x:c r="E216" s="1" t="str">
        <x:v>2</x:v>
      </x:c>
      <x:c r="F216" s="1" t="str">
        <x:v>26</x:v>
      </x:c>
      <x:c r="G216" s="1" t="str">
        <x:v>0</x:v>
      </x:c>
      <x:c r="H216" s="1" t="str">
        <x:v>0</x:v>
      </x:c>
      <x:c r="I216" s="1" t="str">
        <x:v>0</x:v>
      </x:c>
      <x:c r="J216" s="1" t="str">
        <x:v>no</x:v>
      </x:c>
      <x:c r="K216" s="1"/>
      <x:c r="L216" s="1"/>
      <x:c r="M216" s="1"/>
      <x:c r="N216" s="1"/>
      <x:c r="O216" s="1"/>
    </x:row>
    <x:row r="217">
      <x:c r="A217" s="1" t="str">
        <x:v>S0216</x:v>
      </x:c>
      <x:c r="B217" s="1" t="str">
        <x:v>6</x:v>
      </x:c>
      <x:c r="C217" s="1" t="str">
        <x:v>premium</x:v>
      </x:c>
      <x:c r="D217" s="1" t="str">
        <x:v>15.99</x:v>
      </x:c>
      <x:c r="E217" s="1" t="str">
        <x:v>2</x:v>
      </x:c>
      <x:c r="F217" s="1" t="str">
        <x:v>22</x:v>
      </x:c>
      <x:c r="G217" s="1" t="str">
        <x:v>0</x:v>
      </x:c>
      <x:c r="H217" s="1" t="str">
        <x:v>0</x:v>
      </x:c>
      <x:c r="I217" s="1" t="str">
        <x:v>1</x:v>
      </x:c>
      <x:c r="J217" s="1" t="str">
        <x:v>yes</x:v>
      </x:c>
      <x:c r="K217" s="1"/>
      <x:c r="L217" s="1"/>
      <x:c r="M217" s="1"/>
      <x:c r="N217" s="1"/>
      <x:c r="O217" s="1"/>
    </x:row>
    <x:row r="218">
      <x:c r="A218" s="1" t="str">
        <x:v>S0217</x:v>
      </x:c>
      <x:c r="B218" s="1" t="str">
        <x:v>5</x:v>
      </x:c>
      <x:c r="C218" s="1" t="str">
        <x:v>basic</x:v>
      </x:c>
      <x:c r="D218" s="1" t="str">
        <x:v>9.99</x:v>
      </x:c>
      <x:c r="E218" s="1" t="str">
        <x:v>0</x:v>
      </x:c>
      <x:c r="F218" s="1" t="str">
        <x:v>26</x:v>
      </x:c>
      <x:c r="G218" s="1" t="str">
        <x:v>4</x:v>
      </x:c>
      <x:c r="H218" s="1" t="str">
        <x:v>0</x:v>
      </x:c>
      <x:c r="I218" s="1" t="str">
        <x:v>0</x:v>
      </x:c>
      <x:c r="J218" s="1" t="str">
        <x:v>no</x:v>
      </x:c>
      <x:c r="K218" s="1"/>
      <x:c r="L218" s="1"/>
      <x:c r="M218" s="1"/>
      <x:c r="N218" s="1"/>
      <x:c r="O218" s="1"/>
    </x:row>
    <x:row r="219">
      <x:c r="A219" s="1" t="str">
        <x:v>S0218</x:v>
      </x:c>
      <x:c r="B219" s="1" t="str">
        <x:v>3</x:v>
      </x:c>
      <x:c r="C219" s="1" t="str">
        <x:v>basic</x:v>
      </x:c>
      <x:c r="D219" s="1" t="str">
        <x:v>9.99</x:v>
      </x:c>
      <x:c r="E219" s="1" t="str">
        <x:v>3</x:v>
      </x:c>
      <x:c r="F219" s="1" t="str">
        <x:v>0</x:v>
      </x:c>
      <x:c r="G219" s="1" t="str">
        <x:v>55</x:v>
      </x:c>
      <x:c r="H219" s="1" t="str">
        <x:v>2</x:v>
      </x:c>
      <x:c r="I219" s="1" t="str">
        <x:v>0</x:v>
      </x:c>
      <x:c r="J219" s="1" t="str">
        <x:v>yes</x:v>
      </x:c>
      <x:c r="K219" s="1"/>
      <x:c r="L219" s="1"/>
      <x:c r="M219" s="1"/>
      <x:c r="N219" s="1"/>
      <x:c r="O219" s="1"/>
    </x:row>
    <x:row r="220">
      <x:c r="A220" s="1" t="str">
        <x:v>S0219</x:v>
      </x:c>
      <x:c r="B220" s="1" t="str">
        <x:v>43</x:v>
      </x:c>
      <x:c r="C220" s="1" t="str">
        <x:v>premium</x:v>
      </x:c>
      <x:c r="D220" s="1" t="str">
        <x:v>15.99</x:v>
      </x:c>
      <x:c r="E220" s="1" t="str">
        <x:v>0</x:v>
      </x:c>
      <x:c r="F220" s="1" t="str">
        <x:v>14</x:v>
      </x:c>
      <x:c r="G220" s="1" t="str">
        <x:v>7</x:v>
      </x:c>
      <x:c r="H220" s="1" t="str">
        <x:v>0</x:v>
      </x:c>
      <x:c r="I220" s="1" t="str">
        <x:v>0</x:v>
      </x:c>
      <x:c r="J220" s="1" t="str">
        <x:v>no</x:v>
      </x:c>
      <x:c r="K220" s="1"/>
      <x:c r="L220" s="1"/>
      <x:c r="M220" s="1"/>
      <x:c r="N220" s="1"/>
      <x:c r="O220" s="1"/>
    </x:row>
    <x:row r="221">
      <x:c r="A221" s="1" t="str">
        <x:v>S0220</x:v>
      </x:c>
      <x:c r="B221" s="1" t="str">
        <x:v>30</x:v>
      </x:c>
      <x:c r="C221" s="1" t="str">
        <x:v>basic</x:v>
      </x:c>
      <x:c r="D221" s="1" t="str">
        <x:v>9.99</x:v>
      </x:c>
      <x:c r="E221" s="1" t="str">
        <x:v>1</x:v>
      </x:c>
      <x:c r="F221" s="1" t="str">
        <x:v>26</x:v>
      </x:c>
      <x:c r="G221" s="1" t="str">
        <x:v>7</x:v>
      </x:c>
      <x:c r="H221" s="1" t="str">
        <x:v>0</x:v>
      </x:c>
      <x:c r="I221" s="1" t="str">
        <x:v>0</x:v>
      </x:c>
      <x:c r="J221" s="1" t="str">
        <x:v>no</x:v>
      </x:c>
      <x:c r="K221" s="1"/>
      <x:c r="L221" s="1"/>
      <x:c r="M221" s="1"/>
      <x:c r="N221" s="1"/>
      <x:c r="O221" s="1"/>
    </x:row>
    <x:row r="222">
      <x:c r="A222" s="1" t="str">
        <x:v>S0221</x:v>
      </x:c>
      <x:c r="B222" s="1" t="str">
        <x:v>34</x:v>
      </x:c>
      <x:c r="C222" s="1" t="str">
        <x:v>premium</x:v>
      </x:c>
      <x:c r="D222" s="1" t="str">
        <x:v>15.99</x:v>
      </x:c>
      <x:c r="E222" s="1" t="str">
        <x:v>1</x:v>
      </x:c>
      <x:c r="F222" s="1" t="str">
        <x:v>0</x:v>
      </x:c>
      <x:c r="G222" s="1" t="str">
        <x:v>41</x:v>
      </x:c>
      <x:c r="H222" s="1" t="str">
        <x:v>0</x:v>
      </x:c>
      <x:c r="I222" s="1" t="str">
        <x:v>1</x:v>
      </x:c>
      <x:c r="J222" s="1" t="str">
        <x:v>no</x:v>
      </x:c>
      <x:c r="K222" s="1"/>
      <x:c r="L222" s="1"/>
      <x:c r="M222" s="1"/>
      <x:c r="N222" s="1"/>
      <x:c r="O222" s="1"/>
    </x:row>
    <x:row r="223">
      <x:c r="A223" s="1" t="str">
        <x:v>S0222</x:v>
      </x:c>
      <x:c r="B223" s="1" t="str">
        <x:v>33</x:v>
      </x:c>
      <x:c r="C223" s="1" t="str">
        <x:v>basic</x:v>
      </x:c>
      <x:c r="D223" s="1" t="str">
        <x:v>9.99</x:v>
      </x:c>
      <x:c r="E223" s="1" t="str">
        <x:v>2</x:v>
      </x:c>
      <x:c r="F223" s="1" t="str">
        <x:v>30</x:v>
      </x:c>
      <x:c r="G223" s="1" t="str">
        <x:v>10</x:v>
      </x:c>
      <x:c r="H223" s="1" t="str">
        <x:v>0</x:v>
      </x:c>
      <x:c r="I223" s="1" t="str">
        <x:v>0</x:v>
      </x:c>
      <x:c r="J223" s="1" t="str">
        <x:v>no</x:v>
      </x:c>
      <x:c r="K223" s="1"/>
      <x:c r="L223" s="1"/>
      <x:c r="M223" s="1"/>
      <x:c r="N223" s="1"/>
      <x:c r="O223" s="1"/>
    </x:row>
    <x:row r="224">
      <x:c r="A224" s="1" t="str">
        <x:v>S0223</x:v>
      </x:c>
      <x:c r="B224" s="1" t="str">
        <x:v>24</x:v>
      </x:c>
      <x:c r="C224" s="1" t="str">
        <x:v>basic</x:v>
      </x:c>
      <x:c r="D224" s="1" t="str">
        <x:v>9.99</x:v>
      </x:c>
      <x:c r="E224" s="1" t="str">
        <x:v>0</x:v>
      </x:c>
      <x:c r="F224" s="1" t="str">
        <x:v>22</x:v>
      </x:c>
      <x:c r="G224" s="1" t="str">
        <x:v>25</x:v>
      </x:c>
      <x:c r="H224" s="1" t="str">
        <x:v>0</x:v>
      </x:c>
      <x:c r="I224" s="1" t="str">
        <x:v>0</x:v>
      </x:c>
      <x:c r="J224" s="1" t="str">
        <x:v>no</x:v>
      </x:c>
      <x:c r="K224" s="1"/>
      <x:c r="L224" s="1"/>
      <x:c r="M224" s="1"/>
      <x:c r="N224" s="1"/>
      <x:c r="O224" s="1"/>
    </x:row>
    <x:row r="225">
      <x:c r="A225" s="1" t="str">
        <x:v>S0224</x:v>
      </x:c>
      <x:c r="B225" s="1" t="str">
        <x:v>32</x:v>
      </x:c>
      <x:c r="C225" s="1" t="str">
        <x:v>premium</x:v>
      </x:c>
      <x:c r="D225" s="1" t="str">
        <x:v>15.99</x:v>
      </x:c>
      <x:c r="E225" s="1" t="str">
        <x:v>0</x:v>
      </x:c>
      <x:c r="F225" s="1" t="str">
        <x:v>23</x:v>
      </x:c>
      <x:c r="G225" s="1" t="str">
        <x:v>9</x:v>
      </x:c>
      <x:c r="H225" s="1" t="str">
        <x:v>0</x:v>
      </x:c>
      <x:c r="I225" s="1" t="str">
        <x:v>0</x:v>
      </x:c>
      <x:c r="J225" s="1" t="str">
        <x:v>no</x:v>
      </x:c>
      <x:c r="K225" s="1"/>
      <x:c r="L225" s="1"/>
      <x:c r="M225" s="1"/>
      <x:c r="N225" s="1"/>
      <x:c r="O225" s="1"/>
    </x:row>
    <x:row r="226">
      <x:c r="A226" s="1" t="str">
        <x:v>S0225</x:v>
      </x:c>
      <x:c r="B226" s="1" t="str">
        <x:v>36</x:v>
      </x:c>
      <x:c r="C226" s="1" t="str">
        <x:v>premium</x:v>
      </x:c>
      <x:c r="D226" s="1" t="str">
        <x:v>15.99</x:v>
      </x:c>
      <x:c r="E226" s="1" t="str">
        <x:v>0</x:v>
      </x:c>
      <x:c r="F226" s="1" t="str">
        <x:v>11</x:v>
      </x:c>
      <x:c r="G226" s="1" t="str">
        <x:v>24</x:v>
      </x:c>
      <x:c r="H226" s="1" t="str">
        <x:v>0</x:v>
      </x:c>
      <x:c r="I226" s="1" t="str">
        <x:v>0</x:v>
      </x:c>
      <x:c r="J226" s="1" t="str">
        <x:v>no</x:v>
      </x:c>
      <x:c r="K226" s="1"/>
      <x:c r="L226" s="1"/>
      <x:c r="M226" s="1"/>
      <x:c r="N226" s="1"/>
      <x:c r="O226" s="1"/>
    </x:row>
    <x:row r="227">
      <x:c r="A227" s="1" t="str">
        <x:v>S0226</x:v>
      </x:c>
      <x:c r="B227" s="1" t="str">
        <x:v>10</x:v>
      </x:c>
      <x:c r="C227" s="1" t="str">
        <x:v>basic</x:v>
      </x:c>
      <x:c r="D227" s="1" t="str">
        <x:v>9.99</x:v>
      </x:c>
      <x:c r="E227" s="1" t="str">
        <x:v>1</x:v>
      </x:c>
      <x:c r="F227" s="1" t="str">
        <x:v>0</x:v>
      </x:c>
      <x:c r="G227" s="1" t="str">
        <x:v>52</x:v>
      </x:c>
      <x:c r="H227" s="1" t="str">
        <x:v>0</x:v>
      </x:c>
      <x:c r="I227" s="1" t="str">
        <x:v>0</x:v>
      </x:c>
      <x:c r="J227" s="1" t="str">
        <x:v>yes</x:v>
      </x:c>
      <x:c r="K227" s="1"/>
      <x:c r="L227" s="1"/>
      <x:c r="M227" s="1"/>
      <x:c r="N227" s="1"/>
      <x:c r="O227" s="1"/>
    </x:row>
    <x:row r="228">
      <x:c r="A228" s="1" t="str">
        <x:v>S0227</x:v>
      </x:c>
      <x:c r="B228" s="1" t="str">
        <x:v>13</x:v>
      </x:c>
      <x:c r="C228" s="1" t="str">
        <x:v>basic</x:v>
      </x:c>
      <x:c r="D228" s="1" t="str">
        <x:v>9.99</x:v>
      </x:c>
      <x:c r="E228" s="1" t="str">
        <x:v>2</x:v>
      </x:c>
      <x:c r="F228" s="1" t="str">
        <x:v>21</x:v>
      </x:c>
      <x:c r="G228" s="1" t="str">
        <x:v>2</x:v>
      </x:c>
      <x:c r="H228" s="1" t="str">
        <x:v>1</x:v>
      </x:c>
      <x:c r="I228" s="1" t="str">
        <x:v>0</x:v>
      </x:c>
      <x:c r="J228" s="1" t="str">
        <x:v>yes</x:v>
      </x:c>
      <x:c r="K228" s="1"/>
      <x:c r="L228" s="1"/>
      <x:c r="M228" s="1"/>
      <x:c r="N228" s="1"/>
      <x:c r="O228" s="1"/>
    </x:row>
    <x:row r="229">
      <x:c r="A229" s="1" t="str">
        <x:v>S0228</x:v>
      </x:c>
      <x:c r="B229" s="1" t="str">
        <x:v>47</x:v>
      </x:c>
      <x:c r="C229" s="1" t="str">
        <x:v>basic</x:v>
      </x:c>
      <x:c r="D229" s="1" t="str">
        <x:v>9.99</x:v>
      </x:c>
      <x:c r="E229" s="1" t="str">
        <x:v>3</x:v>
      </x:c>
      <x:c r="F229" s="1" t="str">
        <x:v>22</x:v>
      </x:c>
      <x:c r="G229" s="1" t="str">
        <x:v>7</x:v>
      </x:c>
      <x:c r="H229" s="1" t="str">
        <x:v>2</x:v>
      </x:c>
      <x:c r="I229" s="1" t="str">
        <x:v>0</x:v>
      </x:c>
      <x:c r="J229" s="1" t="str">
        <x:v>no</x:v>
      </x:c>
      <x:c r="K229" s="1"/>
      <x:c r="L229" s="1"/>
      <x:c r="M229" s="1"/>
      <x:c r="N229" s="1"/>
      <x:c r="O229" s="1"/>
    </x:row>
    <x:row r="230">
      <x:c r="A230" s="1" t="str">
        <x:v>S0229</x:v>
      </x:c>
      <x:c r="B230" s="1" t="str">
        <x:v>6</x:v>
      </x:c>
      <x:c r="C230" s="1" t="str">
        <x:v>basic</x:v>
      </x:c>
      <x:c r="D230" s="1" t="str">
        <x:v>9.99</x:v>
      </x:c>
      <x:c r="E230" s="1" t="str">
        <x:v>3</x:v>
      </x:c>
      <x:c r="F230" s="1" t="str">
        <x:v>28</x:v>
      </x:c>
      <x:c r="G230" s="1" t="str">
        <x:v>6</x:v>
      </x:c>
      <x:c r="H230" s="1" t="str">
        <x:v>0</x:v>
      </x:c>
      <x:c r="I230" s="1" t="str">
        <x:v>0</x:v>
      </x:c>
      <x:c r="J230" s="1" t="str">
        <x:v>no</x:v>
      </x:c>
      <x:c r="K230" s="1"/>
      <x:c r="L230" s="1"/>
      <x:c r="M230" s="1"/>
      <x:c r="N230" s="1"/>
      <x:c r="O230" s="1"/>
    </x:row>
    <x:row r="231">
      <x:c r="A231" s="1" t="str">
        <x:v>S0230</x:v>
      </x:c>
      <x:c r="B231" s="1" t="str">
        <x:v>4</x:v>
      </x:c>
      <x:c r="C231" s="1" t="str">
        <x:v>premium</x:v>
      </x:c>
      <x:c r="D231" s="1" t="str">
        <x:v>15.99</x:v>
      </x:c>
      <x:c r="E231" s="1" t="str">
        <x:v>1</x:v>
      </x:c>
      <x:c r="F231" s="1" t="str">
        <x:v>15</x:v>
      </x:c>
      <x:c r="G231" s="1" t="str">
        <x:v>12</x:v>
      </x:c>
      <x:c r="H231" s="1" t="str">
        <x:v>0</x:v>
      </x:c>
      <x:c r="I231" s="1" t="str">
        <x:v>0</x:v>
      </x:c>
      <x:c r="J231" s="1" t="str">
        <x:v>no</x:v>
      </x:c>
      <x:c r="K231" s="1"/>
      <x:c r="L231" s="1"/>
      <x:c r="M231" s="1"/>
      <x:c r="N231" s="1"/>
      <x:c r="O231" s="1"/>
    </x:row>
    <x:row r="232">
      <x:c r="A232" s="1" t="str">
        <x:v>S0231</x:v>
      </x:c>
      <x:c r="B232" s="1" t="str">
        <x:v>37</x:v>
      </x:c>
      <x:c r="C232" s="1" t="str">
        <x:v>basic</x:v>
      </x:c>
      <x:c r="D232" s="1" t="str">
        <x:v>9.99</x:v>
      </x:c>
      <x:c r="E232" s="1" t="str">
        <x:v>1</x:v>
      </x:c>
      <x:c r="F232" s="1" t="str">
        <x:v>13</x:v>
      </x:c>
      <x:c r="G232" s="1" t="str">
        <x:v>21</x:v>
      </x:c>
      <x:c r="H232" s="1" t="str">
        <x:v>0</x:v>
      </x:c>
      <x:c r="I232" s="1" t="str">
        <x:v>1</x:v>
      </x:c>
      <x:c r="J232" s="1" t="str">
        <x:v>no</x:v>
      </x:c>
      <x:c r="K232" s="1"/>
      <x:c r="L232" s="1"/>
      <x:c r="M232" s="1"/>
      <x:c r="N232" s="1"/>
      <x:c r="O232" s="1"/>
    </x:row>
    <x:row r="233">
      <x:c r="A233" s="1" t="str">
        <x:v>S0232</x:v>
      </x:c>
      <x:c r="B233" s="1" t="str">
        <x:v>8</x:v>
      </x:c>
      <x:c r="C233" s="1" t="str">
        <x:v>basic</x:v>
      </x:c>
      <x:c r="D233" s="1" t="str">
        <x:v>9.99</x:v>
      </x:c>
      <x:c r="E233" s="1" t="str">
        <x:v>0</x:v>
      </x:c>
      <x:c r="F233" s="1" t="str">
        <x:v>23</x:v>
      </x:c>
      <x:c r="G233" s="1" t="str">
        <x:v>3</x:v>
      </x:c>
      <x:c r="H233" s="1" t="str">
        <x:v>0</x:v>
      </x:c>
      <x:c r="I233" s="1" t="str">
        <x:v>1</x:v>
      </x:c>
      <x:c r="J233" s="1" t="str">
        <x:v>no</x:v>
      </x:c>
      <x:c r="K233" s="1"/>
      <x:c r="L233" s="1"/>
      <x:c r="M233" s="1"/>
      <x:c r="N233" s="1"/>
      <x:c r="O233" s="1"/>
    </x:row>
    <x:row r="234">
      <x:c r="A234" s="1" t="str">
        <x:v>S0233</x:v>
      </x:c>
      <x:c r="B234" s="1" t="str">
        <x:v>39</x:v>
      </x:c>
      <x:c r="C234" s="1" t="str">
        <x:v>basic</x:v>
      </x:c>
      <x:c r="D234" s="1" t="str">
        <x:v>9.99</x:v>
      </x:c>
      <x:c r="E234" s="1" t="str">
        <x:v>3</x:v>
      </x:c>
      <x:c r="F234" s="1" t="str">
        <x:v>14</x:v>
      </x:c>
      <x:c r="G234" s="1" t="str">
        <x:v>7</x:v>
      </x:c>
      <x:c r="H234" s="1" t="str">
        <x:v>0</x:v>
      </x:c>
      <x:c r="I234" s="1" t="str">
        <x:v>0</x:v>
      </x:c>
      <x:c r="J234" s="1" t="str">
        <x:v>no</x:v>
      </x:c>
      <x:c r="K234" s="1"/>
      <x:c r="L234" s="1"/>
      <x:c r="M234" s="1"/>
      <x:c r="N234" s="1"/>
      <x:c r="O234" s="1"/>
    </x:row>
    <x:row r="235">
      <x:c r="A235" s="1" t="str">
        <x:v>S0234</x:v>
      </x:c>
      <x:c r="B235" s="1" t="str">
        <x:v>35</x:v>
      </x:c>
      <x:c r="C235" s="1" t="str">
        <x:v>premium</x:v>
      </x:c>
      <x:c r="D235" s="1" t="str">
        <x:v>15.99</x:v>
      </x:c>
      <x:c r="E235" s="1" t="str">
        <x:v>0</x:v>
      </x:c>
      <x:c r="F235" s="1" t="str">
        <x:v>18</x:v>
      </x:c>
      <x:c r="G235" s="1" t="str">
        <x:v>19</x:v>
      </x:c>
      <x:c r="H235" s="1" t="str">
        <x:v>0</x:v>
      </x:c>
      <x:c r="I235" s="1" t="str">
        <x:v>0</x:v>
      </x:c>
      <x:c r="J235" s="1" t="str">
        <x:v>no</x:v>
      </x:c>
      <x:c r="K235" s="1"/>
      <x:c r="L235" s="1"/>
      <x:c r="M235" s="1"/>
      <x:c r="N235" s="1"/>
      <x:c r="O235" s="1"/>
    </x:row>
    <x:row r="236">
      <x:c r="A236" s="1" t="str">
        <x:v>S0235</x:v>
      </x:c>
      <x:c r="B236" s="1" t="str">
        <x:v>32</x:v>
      </x:c>
      <x:c r="C236" s="1" t="str">
        <x:v>basic</x:v>
      </x:c>
      <x:c r="D236" s="1" t="str">
        <x:v>9.99</x:v>
      </x:c>
      <x:c r="E236" s="1" t="str">
        <x:v>0</x:v>
      </x:c>
      <x:c r="F236" s="1" t="str">
        <x:v>23</x:v>
      </x:c>
      <x:c r="G236" s="1" t="str">
        <x:v>2</x:v>
      </x:c>
      <x:c r="H236" s="1" t="str">
        <x:v>0</x:v>
      </x:c>
      <x:c r="I236" s="1" t="str">
        <x:v>1</x:v>
      </x:c>
      <x:c r="J236" s="1" t="str">
        <x:v>no</x:v>
      </x:c>
      <x:c r="K236" s="1"/>
      <x:c r="L236" s="1"/>
      <x:c r="M236" s="1"/>
      <x:c r="N236" s="1"/>
      <x:c r="O236" s="1"/>
    </x:row>
    <x:row r="237">
      <x:c r="A237" s="1" t="str">
        <x:v>S0236</x:v>
      </x:c>
      <x:c r="B237" s="1" t="str">
        <x:v>33</x:v>
      </x:c>
      <x:c r="C237" s="1" t="str">
        <x:v>premium</x:v>
      </x:c>
      <x:c r="D237" s="1" t="str">
        <x:v>15.99</x:v>
      </x:c>
      <x:c r="E237" s="1" t="str">
        <x:v>0</x:v>
      </x:c>
      <x:c r="F237" s="1" t="str">
        <x:v>0</x:v>
      </x:c>
      <x:c r="G237" s="1" t="str">
        <x:v>47</x:v>
      </x:c>
      <x:c r="H237" s="1" t="str">
        <x:v>0</x:v>
      </x:c>
      <x:c r="I237" s="1" t="str">
        <x:v>0</x:v>
      </x:c>
      <x:c r="J237" s="1" t="str">
        <x:v>yes</x:v>
      </x:c>
      <x:c r="K237" s="1"/>
      <x:c r="L237" s="1"/>
      <x:c r="M237" s="1"/>
      <x:c r="N237" s="1"/>
      <x:c r="O237" s="1"/>
    </x:row>
    <x:row r="238">
      <x:c r="A238" s="1" t="str">
        <x:v>S0237</x:v>
      </x:c>
      <x:c r="B238" s="1" t="str">
        <x:v>5</x:v>
      </x:c>
      <x:c r="C238" s="1" t="str">
        <x:v>basic</x:v>
      </x:c>
      <x:c r="D238" s="1" t="str">
        <x:v>9.99</x:v>
      </x:c>
      <x:c r="E238" s="1" t="str">
        <x:v>1</x:v>
      </x:c>
      <x:c r="F238" s="1" t="str">
        <x:v>0</x:v>
      </x:c>
      <x:c r="G238" s="1" t="str">
        <x:v>47</x:v>
      </x:c>
      <x:c r="H238" s="1" t="str">
        <x:v>0</x:v>
      </x:c>
      <x:c r="I238" s="1" t="str">
        <x:v>0</x:v>
      </x:c>
      <x:c r="J238" s="1" t="str">
        <x:v>yes</x:v>
      </x:c>
      <x:c r="K238" s="1"/>
      <x:c r="L238" s="1"/>
      <x:c r="M238" s="1"/>
      <x:c r="N238" s="1"/>
      <x:c r="O238" s="1"/>
    </x:row>
    <x:row r="239">
      <x:c r="A239" s="1" t="str">
        <x:v>S0238</x:v>
      </x:c>
      <x:c r="B239" s="1" t="str">
        <x:v>24</x:v>
      </x:c>
      <x:c r="C239" s="1" t="str">
        <x:v>premium</x:v>
      </x:c>
      <x:c r="D239" s="1" t="str">
        <x:v>15.99</x:v>
      </x:c>
      <x:c r="E239" s="1" t="str">
        <x:v>0</x:v>
      </x:c>
      <x:c r="F239" s="1" t="str">
        <x:v>1</x:v>
      </x:c>
      <x:c r="G239" s="1" t="str">
        <x:v>30</x:v>
      </x:c>
      <x:c r="H239" s="1" t="str">
        <x:v>0</x:v>
      </x:c>
      <x:c r="I239" s="1" t="str">
        <x:v>0</x:v>
      </x:c>
      <x:c r="J239" s="1" t="str">
        <x:v>no</x:v>
      </x:c>
      <x:c r="K239" s="1"/>
      <x:c r="L239" s="1"/>
      <x:c r="M239" s="1"/>
      <x:c r="N239" s="1"/>
      <x:c r="O239" s="1"/>
    </x:row>
    <x:row r="240">
      <x:c r="A240" s="1" t="str">
        <x:v>S0239</x:v>
      </x:c>
      <x:c r="B240" s="1" t="str">
        <x:v>4</x:v>
      </x:c>
      <x:c r="C240" s="1" t="str">
        <x:v>premium</x:v>
      </x:c>
      <x:c r="D240" s="1" t="str">
        <x:v>15.99</x:v>
      </x:c>
      <x:c r="E240" s="1" t="str">
        <x:v>1</x:v>
      </x:c>
      <x:c r="F240" s="1" t="str">
        <x:v>23</x:v>
      </x:c>
      <x:c r="G240" s="1" t="str">
        <x:v>19</x:v>
      </x:c>
      <x:c r="H240" s="1" t="str">
        <x:v>0</x:v>
      </x:c>
      <x:c r="I240" s="1" t="str">
        <x:v>1</x:v>
      </x:c>
      <x:c r="J240" s="1" t="str">
        <x:v>no</x:v>
      </x:c>
      <x:c r="K240" s="1"/>
      <x:c r="L240" s="1"/>
      <x:c r="M240" s="1"/>
      <x:c r="N240" s="1"/>
      <x:c r="O240" s="1"/>
    </x:row>
    <x:row r="241">
      <x:c r="A241" s="1" t="str">
        <x:v>S0240</x:v>
      </x:c>
      <x:c r="B241" s="1" t="str">
        <x:v>3</x:v>
      </x:c>
      <x:c r="C241" s="1" t="str">
        <x:v>basic</x:v>
      </x:c>
      <x:c r="D241" s="1" t="str">
        <x:v>9.99</x:v>
      </x:c>
      <x:c r="E241" s="1" t="str">
        <x:v>3</x:v>
      </x:c>
      <x:c r="F241" s="1" t="str">
        <x:v>23</x:v>
      </x:c>
      <x:c r="G241" s="1" t="str">
        <x:v>2</x:v>
      </x:c>
      <x:c r="H241" s="1" t="str">
        <x:v>0</x:v>
      </x:c>
      <x:c r="I241" s="1" t="str">
        <x:v>0</x:v>
      </x:c>
      <x:c r="J241" s="1" t="str">
        <x:v>yes</x:v>
      </x:c>
      <x:c r="K241" s="1"/>
      <x:c r="L241" s="1"/>
      <x:c r="M241" s="1"/>
      <x:c r="N241" s="1"/>
      <x:c r="O241" s="1"/>
    </x:row>
    <x:row r="242">
      <x:c r="A242" s="1" t="str">
        <x:v>S0241</x:v>
      </x:c>
      <x:c r="B242" s="1" t="str">
        <x:v>45</x:v>
      </x:c>
      <x:c r="C242" s="1" t="str">
        <x:v>premium</x:v>
      </x:c>
      <x:c r="D242" s="1" t="str">
        <x:v>15.99</x:v>
      </x:c>
      <x:c r="E242" s="1" t="str">
        <x:v>1</x:v>
      </x:c>
      <x:c r="F242" s="1" t="str">
        <x:v>11</x:v>
      </x:c>
      <x:c r="G242" s="1" t="str">
        <x:v>13</x:v>
      </x:c>
      <x:c r="H242" s="1" t="str">
        <x:v>0</x:v>
      </x:c>
      <x:c r="I242" s="1" t="str">
        <x:v>0</x:v>
      </x:c>
      <x:c r="J242" s="1" t="str">
        <x:v>no</x:v>
      </x:c>
      <x:c r="K242" s="1"/>
      <x:c r="L242" s="1"/>
      <x:c r="M242" s="1"/>
      <x:c r="N242" s="1"/>
      <x:c r="O242" s="1"/>
    </x:row>
    <x:row r="243">
      <x:c r="A243" s="1" t="str">
        <x:v>S0242</x:v>
      </x:c>
      <x:c r="B243" s="1" t="str">
        <x:v>36</x:v>
      </x:c>
      <x:c r="C243" s="1" t="str">
        <x:v>basic</x:v>
      </x:c>
      <x:c r="D243" s="1" t="str">
        <x:v>9.99</x:v>
      </x:c>
      <x:c r="E243" s="1" t="str">
        <x:v>0</x:v>
      </x:c>
      <x:c r="F243" s="1" t="str">
        <x:v>4</x:v>
      </x:c>
      <x:c r="G243" s="1" t="str">
        <x:v>26</x:v>
      </x:c>
      <x:c r="H243" s="1" t="str">
        <x:v>0</x:v>
      </x:c>
      <x:c r="I243" s="1" t="str">
        <x:v>0</x:v>
      </x:c>
      <x:c r="J243" s="1" t="str">
        <x:v>no</x:v>
      </x:c>
      <x:c r="K243" s="1"/>
      <x:c r="L243" s="1"/>
      <x:c r="M243" s="1"/>
      <x:c r="N243" s="1"/>
      <x:c r="O243" s="1"/>
    </x:row>
    <x:row r="244">
      <x:c r="A244" s="1" t="str">
        <x:v>S0243</x:v>
      </x:c>
      <x:c r="B244" s="1" t="str">
        <x:v>35</x:v>
      </x:c>
      <x:c r="C244" s="1" t="str">
        <x:v>basic</x:v>
      </x:c>
      <x:c r="D244" s="1" t="str">
        <x:v>9.99</x:v>
      </x:c>
      <x:c r="E244" s="1" t="str">
        <x:v>1</x:v>
      </x:c>
      <x:c r="F244" s="1" t="str">
        <x:v>14</x:v>
      </x:c>
      <x:c r="G244" s="1" t="str">
        <x:v>3</x:v>
      </x:c>
      <x:c r="H244" s="1" t="str">
        <x:v>0</x:v>
      </x:c>
      <x:c r="I244" s="1" t="str">
        <x:v>0</x:v>
      </x:c>
      <x:c r="J244" s="1" t="str">
        <x:v>no</x:v>
      </x:c>
      <x:c r="K244" s="1"/>
      <x:c r="L244" s="1"/>
      <x:c r="M244" s="1"/>
      <x:c r="N244" s="1"/>
      <x:c r="O244" s="1"/>
    </x:row>
    <x:row r="245">
      <x:c r="A245" s="1" t="str">
        <x:v>S0244</x:v>
      </x:c>
      <x:c r="B245" s="1" t="str">
        <x:v>2</x:v>
      </x:c>
      <x:c r="C245" s="1" t="str">
        <x:v>premium</x:v>
      </x:c>
      <x:c r="D245" s="1" t="str">
        <x:v>15.99</x:v>
      </x:c>
      <x:c r="E245" s="1" t="str">
        <x:v>2</x:v>
      </x:c>
      <x:c r="F245" s="1" t="str">
        <x:v>16</x:v>
      </x:c>
      <x:c r="G245" s="1" t="str">
        <x:v>12</x:v>
      </x:c>
      <x:c r="H245" s="1" t="str">
        <x:v>0</x:v>
      </x:c>
      <x:c r="I245" s="1" t="str">
        <x:v>1</x:v>
      </x:c>
      <x:c r="J245" s="1" t="str">
        <x:v>no</x:v>
      </x:c>
      <x:c r="K245" s="1"/>
      <x:c r="L245" s="1"/>
      <x:c r="M245" s="1"/>
      <x:c r="N245" s="1"/>
      <x:c r="O245" s="1"/>
    </x:row>
    <x:row r="246">
      <x:c r="A246" s="1" t="str">
        <x:v>S0245</x:v>
      </x:c>
      <x:c r="B246" s="1" t="str">
        <x:v>4</x:v>
      </x:c>
      <x:c r="C246" s="1" t="str">
        <x:v>basic</x:v>
      </x:c>
      <x:c r="D246" s="1" t="str">
        <x:v>9.99</x:v>
      </x:c>
      <x:c r="E246" s="1" t="str">
        <x:v>3</x:v>
      </x:c>
      <x:c r="F246" s="1" t="str">
        <x:v>19</x:v>
      </x:c>
      <x:c r="G246" s="1" t="str">
        <x:v>7</x:v>
      </x:c>
      <x:c r="H246" s="1" t="str">
        <x:v>0</x:v>
      </x:c>
      <x:c r="I246" s="1" t="str">
        <x:v>0</x:v>
      </x:c>
      <x:c r="J246" s="1" t="str">
        <x:v>no</x:v>
      </x:c>
      <x:c r="K246" s="1"/>
      <x:c r="L246" s="1"/>
      <x:c r="M246" s="1"/>
      <x:c r="N246" s="1"/>
      <x:c r="O246" s="1"/>
    </x:row>
    <x:row r="247">
      <x:c r="A247" s="1" t="str">
        <x:v>S0246</x:v>
      </x:c>
      <x:c r="B247" s="1" t="str">
        <x:v>25</x:v>
      </x:c>
      <x:c r="C247" s="1" t="str">
        <x:v>basic</x:v>
      </x:c>
      <x:c r="D247" s="1" t="str">
        <x:v>9.99</x:v>
      </x:c>
      <x:c r="E247" s="1" t="str">
        <x:v>0</x:v>
      </x:c>
      <x:c r="F247" s="1" t="str">
        <x:v>17</x:v>
      </x:c>
      <x:c r="G247" s="1" t="str">
        <x:v>10</x:v>
      </x:c>
      <x:c r="H247" s="1" t="str">
        <x:v>2</x:v>
      </x:c>
      <x:c r="I247" s="1" t="str">
        <x:v>1</x:v>
      </x:c>
      <x:c r="J247" s="1" t="str">
        <x:v>no</x:v>
      </x:c>
      <x:c r="K247" s="1"/>
      <x:c r="L247" s="1"/>
      <x:c r="M247" s="1"/>
      <x:c r="N247" s="1"/>
      <x:c r="O247" s="1"/>
    </x:row>
    <x:row r="248">
      <x:c r="A248" s="1" t="str">
        <x:v>S0247</x:v>
      </x:c>
      <x:c r="B248" s="1" t="str">
        <x:v>27</x:v>
      </x:c>
      <x:c r="C248" s="1" t="str">
        <x:v>basic</x:v>
      </x:c>
      <x:c r="D248" s="1" t="str">
        <x:v>9.99</x:v>
      </x:c>
      <x:c r="E248" s="1" t="str">
        <x:v>2</x:v>
      </x:c>
      <x:c r="F248" s="1" t="str">
        <x:v>25</x:v>
      </x:c>
      <x:c r="G248" s="1" t="str">
        <x:v>6</x:v>
      </x:c>
      <x:c r="H248" s="1" t="str">
        <x:v>0</x:v>
      </x:c>
      <x:c r="I248" s="1" t="str">
        <x:v>1</x:v>
      </x:c>
      <x:c r="J248" s="1" t="str">
        <x:v>no</x:v>
      </x:c>
      <x:c r="K248" s="1"/>
      <x:c r="L248" s="1"/>
      <x:c r="M248" s="1"/>
      <x:c r="N248" s="1"/>
      <x:c r="O248" s="1"/>
    </x:row>
    <x:row r="249">
      <x:c r="A249" s="1" t="str">
        <x:v>S0248</x:v>
      </x:c>
      <x:c r="B249" s="1" t="str">
        <x:v>10</x:v>
      </x:c>
      <x:c r="C249" s="1" t="str">
        <x:v>basic</x:v>
      </x:c>
      <x:c r="D249" s="1" t="str">
        <x:v>9.99</x:v>
      </x:c>
      <x:c r="E249" s="1" t="str">
        <x:v>1</x:v>
      </x:c>
      <x:c r="F249" s="1" t="str">
        <x:v>11</x:v>
      </x:c>
      <x:c r="G249" s="1" t="str">
        <x:v>6</x:v>
      </x:c>
      <x:c r="H249" s="1" t="str">
        <x:v>1</x:v>
      </x:c>
      <x:c r="I249" s="1" t="str">
        <x:v>0</x:v>
      </x:c>
      <x:c r="J249" s="1" t="str">
        <x:v>no</x:v>
      </x:c>
      <x:c r="K249" s="1"/>
      <x:c r="L249" s="1"/>
      <x:c r="M249" s="1"/>
      <x:c r="N249" s="1"/>
      <x:c r="O249" s="1"/>
    </x:row>
    <x:row r="250">
      <x:c r="A250" s="1" t="str">
        <x:v>S0249</x:v>
      </x:c>
      <x:c r="B250" s="1" t="str">
        <x:v>20</x:v>
      </x:c>
      <x:c r="C250" s="1" t="str">
        <x:v>basic</x:v>
      </x:c>
      <x:c r="D250" s="1" t="str">
        <x:v>9.99</x:v>
      </x:c>
      <x:c r="E250" s="1" t="str">
        <x:v>4</x:v>
      </x:c>
      <x:c r="F250" s="1" t="str">
        <x:v>28</x:v>
      </x:c>
      <x:c r="G250" s="1" t="str">
        <x:v>0</x:v>
      </x:c>
      <x:c r="H250" s="1" t="str">
        <x:v>0</x:v>
      </x:c>
      <x:c r="I250" s="1" t="str">
        <x:v>0</x:v>
      </x:c>
      <x:c r="J250" s="1" t="str">
        <x:v>no</x:v>
      </x:c>
      <x:c r="K250" s="1"/>
      <x:c r="L250" s="1"/>
      <x:c r="M250" s="1"/>
      <x:c r="N250" s="1"/>
      <x:c r="O250" s="1"/>
    </x:row>
    <x:row r="251">
      <x:c r="A251" s="1" t="str">
        <x:v>S0250</x:v>
      </x:c>
      <x:c r="B251" s="1" t="str">
        <x:v>21</x:v>
      </x:c>
      <x:c r="C251" s="1" t="str">
        <x:v>basic</x:v>
      </x:c>
      <x:c r="D251" s="1" t="str">
        <x:v>9.99</x:v>
      </x:c>
      <x:c r="E251" s="1" t="str">
        <x:v>0</x:v>
      </x:c>
      <x:c r="F251" s="1" t="str">
        <x:v>27</x:v>
      </x:c>
      <x:c r="G251" s="1" t="str">
        <x:v>14</x:v>
      </x:c>
      <x:c r="H251" s="1" t="str">
        <x:v>0</x:v>
      </x:c>
      <x:c r="I251" s="1" t="str">
        <x:v>0</x:v>
      </x:c>
      <x:c r="J251" s="1" t="str">
        <x:v>no</x:v>
      </x:c>
      <x:c r="K251" s="1"/>
      <x:c r="L251" s="1"/>
      <x:c r="M251" s="1"/>
      <x:c r="N251" s="1"/>
      <x:c r="O251" s="1"/>
    </x:row>
    <x:row r="252">
      <x:c r="A252" s="1" t="str">
        <x:v>S0251</x:v>
      </x:c>
      <x:c r="B252" s="1" t="str">
        <x:v>28</x:v>
      </x:c>
      <x:c r="C252" s="1" t="str">
        <x:v>premium</x:v>
      </x:c>
      <x:c r="D252" s="1" t="str">
        <x:v>15.99</x:v>
      </x:c>
      <x:c r="E252" s="1" t="str">
        <x:v>2</x:v>
      </x:c>
      <x:c r="F252" s="1" t="str">
        <x:v>7</x:v>
      </x:c>
      <x:c r="G252" s="1" t="str">
        <x:v>15</x:v>
      </x:c>
      <x:c r="H252" s="1" t="str">
        <x:v>1</x:v>
      </x:c>
      <x:c r="I252" s="1" t="str">
        <x:v>0</x:v>
      </x:c>
      <x:c r="J252" s="1" t="str">
        <x:v>no</x:v>
      </x:c>
      <x:c r="K252" s="1"/>
      <x:c r="L252" s="1"/>
      <x:c r="M252" s="1"/>
      <x:c r="N252" s="1"/>
      <x:c r="O252" s="1"/>
    </x:row>
    <x:row r="253">
      <x:c r="A253" s="1" t="str">
        <x:v>S0252</x:v>
      </x:c>
      <x:c r="B253" s="1" t="str">
        <x:v>6</x:v>
      </x:c>
      <x:c r="C253" s="1" t="str">
        <x:v>basic</x:v>
      </x:c>
      <x:c r="D253" s="1" t="str">
        <x:v>9.99</x:v>
      </x:c>
      <x:c r="E253" s="1" t="str">
        <x:v>0</x:v>
      </x:c>
      <x:c r="F253" s="1" t="str">
        <x:v>10</x:v>
      </x:c>
      <x:c r="G253" s="1" t="str">
        <x:v>6</x:v>
      </x:c>
      <x:c r="H253" s="1" t="str">
        <x:v>0</x:v>
      </x:c>
      <x:c r="I253" s="1" t="str">
        <x:v>0</x:v>
      </x:c>
      <x:c r="J253" s="1" t="str">
        <x:v>no</x:v>
      </x:c>
      <x:c r="K253" s="1"/>
      <x:c r="L253" s="1"/>
      <x:c r="M253" s="1"/>
      <x:c r="N253" s="1"/>
      <x:c r="O253" s="1"/>
    </x:row>
    <x:row r="254">
      <x:c r="A254" s="1" t="str">
        <x:v>S0253</x:v>
      </x:c>
      <x:c r="B254" s="1" t="str">
        <x:v>17</x:v>
      </x:c>
      <x:c r="C254" s="1" t="str">
        <x:v>basic</x:v>
      </x:c>
      <x:c r="D254" s="1" t="str">
        <x:v>9.99</x:v>
      </x:c>
      <x:c r="E254" s="1" t="str">
        <x:v>0</x:v>
      </x:c>
      <x:c r="F254" s="1" t="str">
        <x:v>12</x:v>
      </x:c>
      <x:c r="G254" s="1" t="str">
        <x:v>9</x:v>
      </x:c>
      <x:c r="H254" s="1" t="str">
        <x:v>0</x:v>
      </x:c>
      <x:c r="I254" s="1" t="str">
        <x:v>1</x:v>
      </x:c>
      <x:c r="J254" s="1" t="str">
        <x:v>no</x:v>
      </x:c>
      <x:c r="K254" s="1"/>
      <x:c r="L254" s="1"/>
      <x:c r="M254" s="1"/>
      <x:c r="N254" s="1"/>
      <x:c r="O254" s="1"/>
    </x:row>
    <x:row r="255">
      <x:c r="A255" s="1" t="str">
        <x:v>S0254</x:v>
      </x:c>
      <x:c r="B255" s="1" t="str">
        <x:v>47</x:v>
      </x:c>
      <x:c r="C255" s="1" t="str">
        <x:v>basic</x:v>
      </x:c>
      <x:c r="D255" s="1" t="str">
        <x:v>9.99</x:v>
      </x:c>
      <x:c r="E255" s="1" t="str">
        <x:v>2</x:v>
      </x:c>
      <x:c r="F255" s="1" t="str">
        <x:v>22</x:v>
      </x:c>
      <x:c r="G255" s="1" t="str">
        <x:v>0</x:v>
      </x:c>
      <x:c r="H255" s="1" t="str">
        <x:v>0</x:v>
      </x:c>
      <x:c r="I255" s="1" t="str">
        <x:v>0</x:v>
      </x:c>
      <x:c r="J255" s="1" t="str">
        <x:v>no</x:v>
      </x:c>
      <x:c r="K255" s="1"/>
      <x:c r="L255" s="1"/>
      <x:c r="M255" s="1"/>
      <x:c r="N255" s="1"/>
      <x:c r="O255" s="1"/>
    </x:row>
    <x:row r="256">
      <x:c r="A256" s="1" t="str">
        <x:v>S0255</x:v>
      </x:c>
      <x:c r="B256" s="1" t="str">
        <x:v>18</x:v>
      </x:c>
      <x:c r="C256" s="1" t="str">
        <x:v>premium</x:v>
      </x:c>
      <x:c r="D256" s="1" t="str">
        <x:v>15.99</x:v>
      </x:c>
      <x:c r="E256" s="1" t="str">
        <x:v>0</x:v>
      </x:c>
      <x:c r="F256" s="1" t="str">
        <x:v>24</x:v>
      </x:c>
      <x:c r="G256" s="1" t="str">
        <x:v>7</x:v>
      </x:c>
      <x:c r="H256" s="1" t="str">
        <x:v>0</x:v>
      </x:c>
      <x:c r="I256" s="1" t="str">
        <x:v>0</x:v>
      </x:c>
      <x:c r="J256" s="1" t="str">
        <x:v>no</x:v>
      </x:c>
      <x:c r="K256" s="1"/>
      <x:c r="L256" s="1"/>
      <x:c r="M256" s="1"/>
      <x:c r="N256" s="1"/>
      <x:c r="O256" s="1"/>
    </x:row>
    <x:row r="257">
      <x:c r="A257" s="1" t="str">
        <x:v>S0256</x:v>
      </x:c>
      <x:c r="B257" s="1" t="str">
        <x:v>33</x:v>
      </x:c>
      <x:c r="C257" s="1" t="str">
        <x:v>basic</x:v>
      </x:c>
      <x:c r="D257" s="1" t="str">
        <x:v>9.99</x:v>
      </x:c>
      <x:c r="E257" s="1" t="str">
        <x:v>0</x:v>
      </x:c>
      <x:c r="F257" s="1" t="str">
        <x:v>0</x:v>
      </x:c>
      <x:c r="G257" s="1" t="str">
        <x:v>48</x:v>
      </x:c>
      <x:c r="H257" s="1" t="str">
        <x:v>0</x:v>
      </x:c>
      <x:c r="I257" s="1" t="str">
        <x:v>0</x:v>
      </x:c>
      <x:c r="J257" s="1" t="str">
        <x:v>yes</x:v>
      </x:c>
      <x:c r="K257" s="1"/>
      <x:c r="L257" s="1"/>
      <x:c r="M257" s="1"/>
      <x:c r="N257" s="1"/>
      <x:c r="O257" s="1"/>
    </x:row>
    <x:row r="258">
      <x:c r="A258" s="1" t="str">
        <x:v>S0257</x:v>
      </x:c>
      <x:c r="B258" s="1" t="str">
        <x:v>11</x:v>
      </x:c>
      <x:c r="C258" s="1" t="str">
        <x:v>basic</x:v>
      </x:c>
      <x:c r="D258" s="1" t="str">
        <x:v>9.99</x:v>
      </x:c>
      <x:c r="E258" s="1" t="str">
        <x:v>1</x:v>
      </x:c>
      <x:c r="F258" s="1" t="str">
        <x:v>0</x:v>
      </x:c>
      <x:c r="G258" s="1" t="str">
        <x:v>37</x:v>
      </x:c>
      <x:c r="H258" s="1" t="str">
        <x:v>0</x:v>
      </x:c>
      <x:c r="I258" s="1" t="str">
        <x:v>1</x:v>
      </x:c>
      <x:c r="J258" s="1" t="str">
        <x:v>yes</x:v>
      </x:c>
      <x:c r="K258" s="1"/>
      <x:c r="L258" s="1"/>
      <x:c r="M258" s="1"/>
      <x:c r="N258" s="1"/>
      <x:c r="O258" s="1"/>
    </x:row>
    <x:row r="259">
      <x:c r="A259" s="1" t="str">
        <x:v>S0258</x:v>
      </x:c>
      <x:c r="B259" s="1" t="str">
        <x:v>41</x:v>
      </x:c>
      <x:c r="C259" s="1" t="str">
        <x:v>basic</x:v>
      </x:c>
      <x:c r="D259" s="1" t="str">
        <x:v>9.99</x:v>
      </x:c>
      <x:c r="E259" s="1" t="str">
        <x:v>2</x:v>
      </x:c>
      <x:c r="F259" s="1" t="str">
        <x:v>34</x:v>
      </x:c>
      <x:c r="G259" s="1" t="str">
        <x:v>1</x:v>
      </x:c>
      <x:c r="H259" s="1" t="str">
        <x:v>0</x:v>
      </x:c>
      <x:c r="I259" s="1" t="str">
        <x:v>0</x:v>
      </x:c>
      <x:c r="J259" s="1" t="str">
        <x:v>no</x:v>
      </x:c>
      <x:c r="K259" s="1"/>
      <x:c r="L259" s="1"/>
      <x:c r="M259" s="1"/>
      <x:c r="N259" s="1"/>
      <x:c r="O259" s="1"/>
    </x:row>
    <x:row r="260">
      <x:c r="A260" s="1" t="str">
        <x:v>S0259</x:v>
      </x:c>
      <x:c r="B260" s="1" t="str">
        <x:v>23</x:v>
      </x:c>
      <x:c r="C260" s="1" t="str">
        <x:v>premium</x:v>
      </x:c>
      <x:c r="D260" s="1" t="str">
        <x:v>15.99</x:v>
      </x:c>
      <x:c r="E260" s="1" t="str">
        <x:v>0</x:v>
      </x:c>
      <x:c r="F260" s="1" t="str">
        <x:v>4</x:v>
      </x:c>
      <x:c r="G260" s="1" t="str">
        <x:v>20</x:v>
      </x:c>
      <x:c r="H260" s="1" t="str">
        <x:v>0</x:v>
      </x:c>
      <x:c r="I260" s="1" t="str">
        <x:v>0</x:v>
      </x:c>
      <x:c r="J260" s="1" t="str">
        <x:v>yes</x:v>
      </x:c>
      <x:c r="K260" s="1"/>
      <x:c r="L260" s="1"/>
      <x:c r="M260" s="1"/>
      <x:c r="N260" s="1"/>
      <x:c r="O260" s="1"/>
    </x:row>
    <x:row r="261">
      <x:c r="A261" s="1" t="str">
        <x:v>S0260</x:v>
      </x:c>
      <x:c r="B261" s="1" t="str">
        <x:v>38</x:v>
      </x:c>
      <x:c r="C261" s="1" t="str">
        <x:v>premium</x:v>
      </x:c>
      <x:c r="D261" s="1" t="str">
        <x:v>15.99</x:v>
      </x:c>
      <x:c r="E261" s="1" t="str">
        <x:v>0</x:v>
      </x:c>
      <x:c r="F261" s="1" t="str">
        <x:v>31</x:v>
      </x:c>
      <x:c r="G261" s="1" t="str">
        <x:v>0</x:v>
      </x:c>
      <x:c r="H261" s="1" t="str">
        <x:v>0</x:v>
      </x:c>
      <x:c r="I261" s="1" t="str">
        <x:v>0</x:v>
      </x:c>
      <x:c r="J261" s="1" t="str">
        <x:v>no</x:v>
      </x:c>
      <x:c r="K261" s="1"/>
      <x:c r="L261" s="1"/>
      <x:c r="M261" s="1"/>
      <x:c r="N261" s="1"/>
      <x:c r="O261" s="1"/>
    </x:row>
    <x:row r="262">
      <x:c r="A262" s="1" t="str">
        <x:v>S0261</x:v>
      </x:c>
      <x:c r="B262" s="1" t="str">
        <x:v>16</x:v>
      </x:c>
      <x:c r="C262" s="1" t="str">
        <x:v>basic</x:v>
      </x:c>
      <x:c r="D262" s="1" t="str">
        <x:v>9.99</x:v>
      </x:c>
      <x:c r="E262" s="1" t="str">
        <x:v>1</x:v>
      </x:c>
      <x:c r="F262" s="1" t="str">
        <x:v>18</x:v>
      </x:c>
      <x:c r="G262" s="1" t="str">
        <x:v>3</x:v>
      </x:c>
      <x:c r="H262" s="1" t="str">
        <x:v>1</x:v>
      </x:c>
      <x:c r="I262" s="1" t="str">
        <x:v>0</x:v>
      </x:c>
      <x:c r="J262" s="1" t="str">
        <x:v>yes</x:v>
      </x:c>
      <x:c r="K262" s="1"/>
      <x:c r="L262" s="1"/>
      <x:c r="M262" s="1"/>
      <x:c r="N262" s="1"/>
      <x:c r="O262" s="1"/>
    </x:row>
    <x:row r="263">
      <x:c r="A263" s="1" t="str">
        <x:v>S0262</x:v>
      </x:c>
      <x:c r="B263" s="1" t="str">
        <x:v>23</x:v>
      </x:c>
      <x:c r="C263" s="1" t="str">
        <x:v>basic</x:v>
      </x:c>
      <x:c r="D263" s="1" t="str">
        <x:v>9.99</x:v>
      </x:c>
      <x:c r="E263" s="1" t="str">
        <x:v>1</x:v>
      </x:c>
      <x:c r="F263" s="1" t="str">
        <x:v>33</x:v>
      </x:c>
      <x:c r="G263" s="1" t="str">
        <x:v>0</x:v>
      </x:c>
      <x:c r="H263" s="1" t="str">
        <x:v>0</x:v>
      </x:c>
      <x:c r="I263" s="1" t="str">
        <x:v>1</x:v>
      </x:c>
      <x:c r="J263" s="1" t="str">
        <x:v>no</x:v>
      </x:c>
      <x:c r="K263" s="1"/>
      <x:c r="L263" s="1"/>
      <x:c r="M263" s="1"/>
      <x:c r="N263" s="1"/>
      <x:c r="O263" s="1"/>
    </x:row>
    <x:row r="264">
      <x:c r="A264" s="1" t="str">
        <x:v>S0263</x:v>
      </x:c>
      <x:c r="B264" s="1" t="str">
        <x:v>29</x:v>
      </x:c>
      <x:c r="C264" s="1" t="str">
        <x:v>premium</x:v>
      </x:c>
      <x:c r="D264" s="1" t="str">
        <x:v>15.99</x:v>
      </x:c>
      <x:c r="E264" s="1" t="str">
        <x:v>0</x:v>
      </x:c>
      <x:c r="F264" s="1" t="str">
        <x:v>0</x:v>
      </x:c>
      <x:c r="G264" s="1" t="str">
        <x:v>35</x:v>
      </x:c>
      <x:c r="H264" s="1" t="str">
        <x:v>0</x:v>
      </x:c>
      <x:c r="I264" s="1" t="str">
        <x:v>0</x:v>
      </x:c>
      <x:c r="J264" s="1" t="str">
        <x:v>yes</x:v>
      </x:c>
      <x:c r="K264" s="1"/>
      <x:c r="L264" s="1"/>
      <x:c r="M264" s="1"/>
      <x:c r="N264" s="1"/>
      <x:c r="O264" s="1"/>
    </x:row>
    <x:row r="265">
      <x:c r="A265" s="1" t="str">
        <x:v>S0264</x:v>
      </x:c>
      <x:c r="B265" s="1" t="str">
        <x:v>13</x:v>
      </x:c>
      <x:c r="C265" s="1" t="str">
        <x:v>basic</x:v>
      </x:c>
      <x:c r="D265" s="1" t="str">
        <x:v>9.99</x:v>
      </x:c>
      <x:c r="E265" s="1" t="str">
        <x:v>0</x:v>
      </x:c>
      <x:c r="F265" s="1" t="str">
        <x:v>17</x:v>
      </x:c>
      <x:c r="G265" s="1" t="str">
        <x:v>15</x:v>
      </x:c>
      <x:c r="H265" s="1" t="str">
        <x:v>0</x:v>
      </x:c>
      <x:c r="I265" s="1" t="str">
        <x:v>1</x:v>
      </x:c>
      <x:c r="J265" s="1" t="str">
        <x:v>no</x:v>
      </x:c>
      <x:c r="K265" s="1"/>
      <x:c r="L265" s="1"/>
      <x:c r="M265" s="1"/>
      <x:c r="N265" s="1"/>
      <x:c r="O265" s="1"/>
    </x:row>
    <x:row r="266">
      <x:c r="A266" s="1" t="str">
        <x:v>S0265</x:v>
      </x:c>
      <x:c r="B266" s="1" t="str">
        <x:v>3</x:v>
      </x:c>
      <x:c r="C266" s="1" t="str">
        <x:v>premium</x:v>
      </x:c>
      <x:c r="D266" s="1" t="str">
        <x:v>15.99</x:v>
      </x:c>
      <x:c r="E266" s="1" t="str">
        <x:v>1</x:v>
      </x:c>
      <x:c r="F266" s="1" t="str">
        <x:v>24</x:v>
      </x:c>
      <x:c r="G266" s="1" t="str">
        <x:v>17</x:v>
      </x:c>
      <x:c r="H266" s="1" t="str">
        <x:v>0</x:v>
      </x:c>
      <x:c r="I266" s="1" t="str">
        <x:v>0</x:v>
      </x:c>
      <x:c r="J266" s="1" t="str">
        <x:v>no</x:v>
      </x:c>
      <x:c r="K266" s="1"/>
      <x:c r="L266" s="1"/>
      <x:c r="M266" s="1"/>
      <x:c r="N266" s="1"/>
      <x:c r="O266" s="1"/>
    </x:row>
    <x:row r="267">
      <x:c r="A267" s="1" t="str">
        <x:v>S0266</x:v>
      </x:c>
      <x:c r="B267" s="1" t="str">
        <x:v>29</x:v>
      </x:c>
      <x:c r="C267" s="1" t="str">
        <x:v>basic</x:v>
      </x:c>
      <x:c r="D267" s="1" t="str">
        <x:v>9.99</x:v>
      </x:c>
      <x:c r="E267" s="1" t="str">
        <x:v>4</x:v>
      </x:c>
      <x:c r="F267" s="1" t="str">
        <x:v>16</x:v>
      </x:c>
      <x:c r="G267" s="1" t="str">
        <x:v>6</x:v>
      </x:c>
      <x:c r="H267" s="1" t="str">
        <x:v>0</x:v>
      </x:c>
      <x:c r="I267" s="1" t="str">
        <x:v>0</x:v>
      </x:c>
      <x:c r="J267" s="1" t="str">
        <x:v>no</x:v>
      </x:c>
      <x:c r="K267" s="1"/>
      <x:c r="L267" s="1"/>
      <x:c r="M267" s="1"/>
      <x:c r="N267" s="1"/>
      <x:c r="O267" s="1"/>
    </x:row>
    <x:row r="268">
      <x:c r="A268" s="1" t="str">
        <x:v>S0267</x:v>
      </x:c>
      <x:c r="B268" s="1" t="str">
        <x:v>28</x:v>
      </x:c>
      <x:c r="C268" s="1" t="str">
        <x:v>premium</x:v>
      </x:c>
      <x:c r="D268" s="1" t="str">
        <x:v>15.99</x:v>
      </x:c>
      <x:c r="E268" s="1" t="str">
        <x:v>2</x:v>
      </x:c>
      <x:c r="F268" s="1" t="str">
        <x:v>0</x:v>
      </x:c>
      <x:c r="G268" s="1" t="str">
        <x:v>41</x:v>
      </x:c>
      <x:c r="H268" s="1" t="str">
        <x:v>1</x:v>
      </x:c>
      <x:c r="I268" s="1" t="str">
        <x:v>0</x:v>
      </x:c>
      <x:c r="J268" s="1" t="str">
        <x:v>yes</x:v>
      </x:c>
      <x:c r="K268" s="1"/>
      <x:c r="L268" s="1"/>
      <x:c r="M268" s="1"/>
      <x:c r="N268" s="1"/>
      <x:c r="O268" s="1"/>
    </x:row>
    <x:row r="269">
      <x:c r="A269" s="1" t="str">
        <x:v>S0268</x:v>
      </x:c>
      <x:c r="B269" s="1" t="str">
        <x:v>23</x:v>
      </x:c>
      <x:c r="C269" s="1" t="str">
        <x:v>premium</x:v>
      </x:c>
      <x:c r="D269" s="1" t="str">
        <x:v>15.99</x:v>
      </x:c>
      <x:c r="E269" s="1" t="str">
        <x:v>0</x:v>
      </x:c>
      <x:c r="F269" s="1" t="str">
        <x:v>23</x:v>
      </x:c>
      <x:c r="G269" s="1" t="str">
        <x:v>7</x:v>
      </x:c>
      <x:c r="H269" s="1" t="str">
        <x:v>0</x:v>
      </x:c>
      <x:c r="I269" s="1" t="str">
        <x:v>0</x:v>
      </x:c>
      <x:c r="J269" s="1" t="str">
        <x:v>no</x:v>
      </x:c>
      <x:c r="K269" s="1"/>
      <x:c r="L269" s="1"/>
      <x:c r="M269" s="1"/>
      <x:c r="N269" s="1"/>
      <x:c r="O269" s="1"/>
    </x:row>
    <x:row r="270">
      <x:c r="A270" s="1" t="str">
        <x:v>S0269</x:v>
      </x:c>
      <x:c r="B270" s="1" t="str">
        <x:v>45</x:v>
      </x:c>
      <x:c r="C270" s="1" t="str">
        <x:v>premium</x:v>
      </x:c>
      <x:c r="D270" s="1" t="str">
        <x:v>15.99</x:v>
      </x:c>
      <x:c r="E270" s="1" t="str">
        <x:v>0</x:v>
      </x:c>
      <x:c r="F270" s="1" t="str">
        <x:v>15</x:v>
      </x:c>
      <x:c r="G270" s="1" t="str">
        <x:v>18</x:v>
      </x:c>
      <x:c r="H270" s="1" t="str">
        <x:v>0</x:v>
      </x:c>
      <x:c r="I270" s="1" t="str">
        <x:v>1</x:v>
      </x:c>
      <x:c r="J270" s="1" t="str">
        <x:v>no</x:v>
      </x:c>
      <x:c r="K270" s="1"/>
      <x:c r="L270" s="1"/>
      <x:c r="M270" s="1"/>
      <x:c r="N270" s="1"/>
      <x:c r="O270" s="1"/>
    </x:row>
    <x:row r="271">
      <x:c r="A271" s="1" t="str">
        <x:v>S0270</x:v>
      </x:c>
      <x:c r="B271" s="1" t="str">
        <x:v>42</x:v>
      </x:c>
      <x:c r="C271" s="1" t="str">
        <x:v>premium</x:v>
      </x:c>
      <x:c r="D271" s="1" t="str">
        <x:v>15.99</x:v>
      </x:c>
      <x:c r="E271" s="1" t="str">
        <x:v>2</x:v>
      </x:c>
      <x:c r="F271" s="1" t="str">
        <x:v>6</x:v>
      </x:c>
      <x:c r="G271" s="1" t="str">
        <x:v>28</x:v>
      </x:c>
      <x:c r="H271" s="1" t="str">
        <x:v>2</x:v>
      </x:c>
      <x:c r="I271" s="1" t="str">
        <x:v>0</x:v>
      </x:c>
      <x:c r="J271" s="1" t="str">
        <x:v>no</x:v>
      </x:c>
      <x:c r="K271" s="1"/>
      <x:c r="L271" s="1"/>
      <x:c r="M271" s="1"/>
      <x:c r="N271" s="1"/>
      <x:c r="O271" s="1"/>
    </x:row>
    <x:row r="272">
      <x:c r="A272" s="1" t="str">
        <x:v>S0271</x:v>
      </x:c>
      <x:c r="B272" s="1" t="str">
        <x:v>28</x:v>
      </x:c>
      <x:c r="C272" s="1" t="str">
        <x:v>premium</x:v>
      </x:c>
      <x:c r="D272" s="1" t="str">
        <x:v>15.99</x:v>
      </x:c>
      <x:c r="E272" s="1" t="str">
        <x:v>0</x:v>
      </x:c>
      <x:c r="F272" s="1" t="str">
        <x:v>15</x:v>
      </x:c>
      <x:c r="G272" s="1" t="str">
        <x:v>11</x:v>
      </x:c>
      <x:c r="H272" s="1" t="str">
        <x:v>0</x:v>
      </x:c>
      <x:c r="I272" s="1" t="str">
        <x:v>1</x:v>
      </x:c>
      <x:c r="J272" s="1" t="str">
        <x:v>no</x:v>
      </x:c>
      <x:c r="K272" s="1"/>
      <x:c r="L272" s="1"/>
      <x:c r="M272" s="1"/>
      <x:c r="N272" s="1"/>
      <x:c r="O272" s="1"/>
    </x:row>
    <x:row r="273">
      <x:c r="A273" s="1" t="str">
        <x:v>S0272</x:v>
      </x:c>
      <x:c r="B273" s="1" t="str">
        <x:v>6</x:v>
      </x:c>
      <x:c r="C273" s="1" t="str">
        <x:v>basic</x:v>
      </x:c>
      <x:c r="D273" s="1" t="str">
        <x:v>9.99</x:v>
      </x:c>
      <x:c r="E273" s="1" t="str">
        <x:v>0</x:v>
      </x:c>
      <x:c r="F273" s="1" t="str">
        <x:v>18</x:v>
      </x:c>
      <x:c r="G273" s="1" t="str">
        <x:v>5</x:v>
      </x:c>
      <x:c r="H273" s="1" t="str">
        <x:v>0</x:v>
      </x:c>
      <x:c r="I273" s="1" t="str">
        <x:v>0</x:v>
      </x:c>
      <x:c r="J273" s="1" t="str">
        <x:v>no</x:v>
      </x:c>
      <x:c r="K273" s="1"/>
      <x:c r="L273" s="1"/>
      <x:c r="M273" s="1"/>
      <x:c r="N273" s="1"/>
      <x:c r="O273" s="1"/>
    </x:row>
    <x:row r="274">
      <x:c r="A274" s="1" t="str">
        <x:v>S0273</x:v>
      </x:c>
      <x:c r="B274" s="1" t="str">
        <x:v>6</x:v>
      </x:c>
      <x:c r="C274" s="1" t="str">
        <x:v>basic</x:v>
      </x:c>
      <x:c r="D274" s="1" t="str">
        <x:v>9.99</x:v>
      </x:c>
      <x:c r="E274" s="1" t="str">
        <x:v>0</x:v>
      </x:c>
      <x:c r="F274" s="1" t="str">
        <x:v>17</x:v>
      </x:c>
      <x:c r="G274" s="1" t="str">
        <x:v>4</x:v>
      </x:c>
      <x:c r="H274" s="1" t="str">
        <x:v>0</x:v>
      </x:c>
      <x:c r="I274" s="1" t="str">
        <x:v>0</x:v>
      </x:c>
      <x:c r="J274" s="1" t="str">
        <x:v>no</x:v>
      </x:c>
      <x:c r="K274" s="1"/>
      <x:c r="L274" s="1"/>
      <x:c r="M274" s="1"/>
      <x:c r="N274" s="1"/>
      <x:c r="O274" s="1"/>
    </x:row>
    <x:row r="275">
      <x:c r="A275" s="1" t="str">
        <x:v>S0274</x:v>
      </x:c>
      <x:c r="B275" s="1" t="str">
        <x:v>29</x:v>
      </x:c>
      <x:c r="C275" s="1" t="str">
        <x:v>basic</x:v>
      </x:c>
      <x:c r="D275" s="1" t="str">
        <x:v>9.99</x:v>
      </x:c>
      <x:c r="E275" s="1" t="str">
        <x:v>0</x:v>
      </x:c>
      <x:c r="F275" s="1" t="str">
        <x:v>22</x:v>
      </x:c>
      <x:c r="G275" s="1" t="str">
        <x:v>8</x:v>
      </x:c>
      <x:c r="H275" s="1" t="str">
        <x:v>1</x:v>
      </x:c>
      <x:c r="I275" s="1" t="str">
        <x:v>1</x:v>
      </x:c>
      <x:c r="J275" s="1" t="str">
        <x:v>no</x:v>
      </x:c>
      <x:c r="K275" s="1"/>
      <x:c r="L275" s="1"/>
      <x:c r="M275" s="1"/>
      <x:c r="N275" s="1"/>
      <x:c r="O275" s="1"/>
    </x:row>
    <x:row r="276">
      <x:c r="A276" s="1" t="str">
        <x:v>S0275</x:v>
      </x:c>
      <x:c r="B276" s="1" t="str">
        <x:v>9</x:v>
      </x:c>
      <x:c r="C276" s="1" t="str">
        <x:v>basic</x:v>
      </x:c>
      <x:c r="D276" s="1" t="str">
        <x:v>9.99</x:v>
      </x:c>
      <x:c r="E276" s="1" t="str">
        <x:v>1</x:v>
      </x:c>
      <x:c r="F276" s="1" t="str">
        <x:v>23</x:v>
      </x:c>
      <x:c r="G276" s="1" t="str">
        <x:v>7</x:v>
      </x:c>
      <x:c r="H276" s="1" t="str">
        <x:v>0</x:v>
      </x:c>
      <x:c r="I276" s="1" t="str">
        <x:v>0</x:v>
      </x:c>
      <x:c r="J276" s="1" t="str">
        <x:v>no</x:v>
      </x:c>
      <x:c r="K276" s="1"/>
      <x:c r="L276" s="1"/>
      <x:c r="M276" s="1"/>
      <x:c r="N276" s="1"/>
      <x:c r="O276" s="1"/>
    </x:row>
    <x:row r="277">
      <x:c r="A277" s="1" t="str">
        <x:v>S0276</x:v>
      </x:c>
      <x:c r="B277" s="1" t="str">
        <x:v>40</x:v>
      </x:c>
      <x:c r="C277" s="1" t="str">
        <x:v>basic</x:v>
      </x:c>
      <x:c r="D277" s="1" t="str">
        <x:v>9.99</x:v>
      </x:c>
      <x:c r="E277" s="1" t="str">
        <x:v>1</x:v>
      </x:c>
      <x:c r="F277" s="1" t="str">
        <x:v>21</x:v>
      </x:c>
      <x:c r="G277" s="1" t="str">
        <x:v>0</x:v>
      </x:c>
      <x:c r="H277" s="1" t="str">
        <x:v>0</x:v>
      </x:c>
      <x:c r="I277" s="1" t="str">
        <x:v>0</x:v>
      </x:c>
      <x:c r="J277" s="1" t="str">
        <x:v>no</x:v>
      </x:c>
      <x:c r="K277" s="1"/>
      <x:c r="L277" s="1"/>
      <x:c r="M277" s="1"/>
      <x:c r="N277" s="1"/>
      <x:c r="O277" s="1"/>
    </x:row>
    <x:row r="278">
      <x:c r="A278" s="1" t="str">
        <x:v>S0277</x:v>
      </x:c>
      <x:c r="B278" s="1" t="str">
        <x:v>6</x:v>
      </x:c>
      <x:c r="C278" s="1" t="str">
        <x:v>basic</x:v>
      </x:c>
      <x:c r="D278" s="1" t="str">
        <x:v>9.99</x:v>
      </x:c>
      <x:c r="E278" s="1" t="str">
        <x:v>0</x:v>
      </x:c>
      <x:c r="F278" s="1" t="str">
        <x:v>22</x:v>
      </x:c>
      <x:c r="G278" s="1" t="str">
        <x:v>2</x:v>
      </x:c>
      <x:c r="H278" s="1" t="str">
        <x:v>1</x:v>
      </x:c>
      <x:c r="I278" s="1" t="str">
        <x:v>0</x:v>
      </x:c>
      <x:c r="J278" s="1" t="str">
        <x:v>no</x:v>
      </x:c>
      <x:c r="K278" s="1"/>
      <x:c r="L278" s="1"/>
      <x:c r="M278" s="1"/>
      <x:c r="N278" s="1"/>
      <x:c r="O278" s="1"/>
    </x:row>
    <x:row r="279">
      <x:c r="A279" s="1" t="str">
        <x:v>S0278</x:v>
      </x:c>
      <x:c r="B279" s="1" t="str">
        <x:v>26</x:v>
      </x:c>
      <x:c r="C279" s="1" t="str">
        <x:v>basic</x:v>
      </x:c>
      <x:c r="D279" s="1" t="str">
        <x:v>9.99</x:v>
      </x:c>
      <x:c r="E279" s="1" t="str">
        <x:v>1</x:v>
      </x:c>
      <x:c r="F279" s="1" t="str">
        <x:v>7</x:v>
      </x:c>
      <x:c r="G279" s="1" t="str">
        <x:v>29</x:v>
      </x:c>
      <x:c r="H279" s="1" t="str">
        <x:v>0</x:v>
      </x:c>
      <x:c r="I279" s="1" t="str">
        <x:v>1</x:v>
      </x:c>
      <x:c r="J279" s="1" t="str">
        <x:v>no</x:v>
      </x:c>
      <x:c r="K279" s="1"/>
      <x:c r="L279" s="1"/>
      <x:c r="M279" s="1"/>
      <x:c r="N279" s="1"/>
      <x:c r="O279" s="1"/>
    </x:row>
    <x:row r="280">
      <x:c r="A280" s="1" t="str">
        <x:v>S0279</x:v>
      </x:c>
      <x:c r="B280" s="1" t="str">
        <x:v>25</x:v>
      </x:c>
      <x:c r="C280" s="1" t="str">
        <x:v>basic</x:v>
      </x:c>
      <x:c r="D280" s="1" t="str">
        <x:v>9.99</x:v>
      </x:c>
      <x:c r="E280" s="1" t="str">
        <x:v>1</x:v>
      </x:c>
      <x:c r="F280" s="1" t="str">
        <x:v>9</x:v>
      </x:c>
      <x:c r="G280" s="1" t="str">
        <x:v>0</x:v>
      </x:c>
      <x:c r="H280" s="1" t="str">
        <x:v>0</x:v>
      </x:c>
      <x:c r="I280" s="1" t="str">
        <x:v>0</x:v>
      </x:c>
      <x:c r="J280" s="1" t="str">
        <x:v>no</x:v>
      </x:c>
      <x:c r="K280" s="1"/>
      <x:c r="L280" s="1"/>
      <x:c r="M280" s="1"/>
      <x:c r="N280" s="1"/>
      <x:c r="O280" s="1"/>
    </x:row>
    <x:row r="281">
      <x:c r="A281" s="1" t="str">
        <x:v>S0280</x:v>
      </x:c>
      <x:c r="B281" s="1" t="str">
        <x:v>36</x:v>
      </x:c>
      <x:c r="C281" s="1" t="str">
        <x:v>premium</x:v>
      </x:c>
      <x:c r="D281" s="1" t="str">
        <x:v>15.99</x:v>
      </x:c>
      <x:c r="E281" s="1" t="str">
        <x:v>0</x:v>
      </x:c>
      <x:c r="F281" s="1" t="str">
        <x:v>33</x:v>
      </x:c>
      <x:c r="G281" s="1" t="str">
        <x:v>4</x:v>
      </x:c>
      <x:c r="H281" s="1" t="str">
        <x:v>0</x:v>
      </x:c>
      <x:c r="I281" s="1" t="str">
        <x:v>0</x:v>
      </x:c>
      <x:c r="J281" s="1" t="str">
        <x:v>no</x:v>
      </x:c>
      <x:c r="K281" s="1"/>
      <x:c r="L281" s="1"/>
      <x:c r="M281" s="1"/>
      <x:c r="N281" s="1"/>
      <x:c r="O281" s="1"/>
    </x:row>
    <x:row r="282">
      <x:c r="A282" s="1" t="str">
        <x:v>S0281</x:v>
      </x:c>
      <x:c r="B282" s="1" t="str">
        <x:v>9</x:v>
      </x:c>
      <x:c r="C282" s="1" t="str">
        <x:v>premium</x:v>
      </x:c>
      <x:c r="D282" s="1" t="str">
        <x:v>15.99</x:v>
      </x:c>
      <x:c r="E282" s="1" t="str">
        <x:v>0</x:v>
      </x:c>
      <x:c r="F282" s="1" t="str">
        <x:v>0</x:v>
      </x:c>
      <x:c r="G282" s="1" t="str">
        <x:v>45</x:v>
      </x:c>
      <x:c r="H282" s="1" t="str">
        <x:v>0</x:v>
      </x:c>
      <x:c r="I282" s="1" t="str">
        <x:v>0</x:v>
      </x:c>
      <x:c r="J282" s="1" t="str">
        <x:v>no</x:v>
      </x:c>
      <x:c r="K282" s="1"/>
      <x:c r="L282" s="1"/>
      <x:c r="M282" s="1"/>
      <x:c r="N282" s="1"/>
      <x:c r="O282" s="1"/>
    </x:row>
    <x:row r="283">
      <x:c r="A283" s="1" t="str">
        <x:v>S0282</x:v>
      </x:c>
      <x:c r="B283" s="1" t="str">
        <x:v>44</x:v>
      </x:c>
      <x:c r="C283" s="1" t="str">
        <x:v>basic</x:v>
      </x:c>
      <x:c r="D283" s="1" t="str">
        <x:v>9.99</x:v>
      </x:c>
      <x:c r="E283" s="1" t="str">
        <x:v>1</x:v>
      </x:c>
      <x:c r="F283" s="1" t="str">
        <x:v>20</x:v>
      </x:c>
      <x:c r="G283" s="1" t="str">
        <x:v>4</x:v>
      </x:c>
      <x:c r="H283" s="1" t="str">
        <x:v>0</x:v>
      </x:c>
      <x:c r="I283" s="1" t="str">
        <x:v>0</x:v>
      </x:c>
      <x:c r="J283" s="1" t="str">
        <x:v>no</x:v>
      </x:c>
      <x:c r="K283" s="1"/>
      <x:c r="L283" s="1"/>
      <x:c r="M283" s="1"/>
      <x:c r="N283" s="1"/>
      <x:c r="O283" s="1"/>
    </x:row>
    <x:row r="284">
      <x:c r="A284" s="1" t="str">
        <x:v>S0283</x:v>
      </x:c>
      <x:c r="B284" s="1" t="str">
        <x:v>1</x:v>
      </x:c>
      <x:c r="C284" s="1" t="str">
        <x:v>premium</x:v>
      </x:c>
      <x:c r="D284" s="1" t="str">
        <x:v>15.99</x:v>
      </x:c>
      <x:c r="E284" s="1" t="str">
        <x:v>2</x:v>
      </x:c>
      <x:c r="F284" s="1" t="str">
        <x:v>22</x:v>
      </x:c>
      <x:c r="G284" s="1" t="str">
        <x:v>5</x:v>
      </x:c>
      <x:c r="H284" s="1" t="str">
        <x:v>0</x:v>
      </x:c>
      <x:c r="I284" s="1" t="str">
        <x:v>0</x:v>
      </x:c>
      <x:c r="J284" s="1" t="str">
        <x:v>yes</x:v>
      </x:c>
      <x:c r="K284" s="1"/>
      <x:c r="L284" s="1"/>
      <x:c r="M284" s="1"/>
      <x:c r="N284" s="1"/>
      <x:c r="O284" s="1"/>
    </x:row>
    <x:row r="285">
      <x:c r="A285" s="1" t="str">
        <x:v>S0284</x:v>
      </x:c>
      <x:c r="B285" s="1" t="str">
        <x:v>4</x:v>
      </x:c>
      <x:c r="C285" s="1" t="str">
        <x:v>basic</x:v>
      </x:c>
      <x:c r="D285" s="1" t="str">
        <x:v>9.99</x:v>
      </x:c>
      <x:c r="E285" s="1" t="str">
        <x:v>0</x:v>
      </x:c>
      <x:c r="F285" s="1" t="str">
        <x:v>16</x:v>
      </x:c>
      <x:c r="G285" s="1" t="str">
        <x:v>29</x:v>
      </x:c>
      <x:c r="H285" s="1" t="str">
        <x:v>0</x:v>
      </x:c>
      <x:c r="I285" s="1" t="str">
        <x:v>1</x:v>
      </x:c>
      <x:c r="J285" s="1" t="str">
        <x:v>no</x:v>
      </x:c>
      <x:c r="K285" s="1"/>
      <x:c r="L285" s="1"/>
      <x:c r="M285" s="1"/>
      <x:c r="N285" s="1"/>
      <x:c r="O285" s="1"/>
    </x:row>
    <x:row r="286">
      <x:c r="A286" s="1" t="str">
        <x:v>S0285</x:v>
      </x:c>
      <x:c r="B286" s="1" t="str">
        <x:v>29</x:v>
      </x:c>
      <x:c r="C286" s="1" t="str">
        <x:v>premium</x:v>
      </x:c>
      <x:c r="D286" s="1" t="str">
        <x:v>15.99</x:v>
      </x:c>
      <x:c r="E286" s="1" t="str">
        <x:v>1</x:v>
      </x:c>
      <x:c r="F286" s="1" t="str">
        <x:v>1</x:v>
      </x:c>
      <x:c r="G286" s="1" t="str">
        <x:v>25</x:v>
      </x:c>
      <x:c r="H286" s="1" t="str">
        <x:v>0</x:v>
      </x:c>
      <x:c r="I286" s="1" t="str">
        <x:v>1</x:v>
      </x:c>
      <x:c r="J286" s="1" t="str">
        <x:v>yes</x:v>
      </x:c>
      <x:c r="K286" s="1"/>
      <x:c r="L286" s="1"/>
      <x:c r="M286" s="1"/>
      <x:c r="N286" s="1"/>
      <x:c r="O286" s="1"/>
    </x:row>
    <x:row r="287">
      <x:c r="A287" s="1" t="str">
        <x:v>S0286</x:v>
      </x:c>
      <x:c r="B287" s="1" t="str">
        <x:v>10</x:v>
      </x:c>
      <x:c r="C287" s="1" t="str">
        <x:v>premium</x:v>
      </x:c>
      <x:c r="D287" s="1" t="str">
        <x:v>15.99</x:v>
      </x:c>
      <x:c r="E287" s="1" t="str">
        <x:v>1</x:v>
      </x:c>
      <x:c r="F287" s="1" t="str">
        <x:v>0</x:v>
      </x:c>
      <x:c r="G287" s="1" t="str">
        <x:v>37</x:v>
      </x:c>
      <x:c r="H287" s="1" t="str">
        <x:v>0</x:v>
      </x:c>
      <x:c r="I287" s="1" t="str">
        <x:v>0</x:v>
      </x:c>
      <x:c r="J287" s="1" t="str">
        <x:v>yes</x:v>
      </x:c>
      <x:c r="K287" s="1"/>
      <x:c r="L287" s="1"/>
      <x:c r="M287" s="1"/>
      <x:c r="N287" s="1"/>
      <x:c r="O287" s="1"/>
    </x:row>
    <x:row r="288">
      <x:c r="A288" s="1" t="str">
        <x:v>S0287</x:v>
      </x:c>
      <x:c r="B288" s="1" t="str">
        <x:v>47</x:v>
      </x:c>
      <x:c r="C288" s="1" t="str">
        <x:v>basic</x:v>
      </x:c>
      <x:c r="D288" s="1" t="str">
        <x:v>9.99</x:v>
      </x:c>
      <x:c r="E288" s="1" t="str">
        <x:v>0</x:v>
      </x:c>
      <x:c r="F288" s="1" t="str">
        <x:v>17</x:v>
      </x:c>
      <x:c r="G288" s="1" t="str">
        <x:v>9</x:v>
      </x:c>
      <x:c r="H288" s="1" t="str">
        <x:v>0</x:v>
      </x:c>
      <x:c r="I288" s="1" t="str">
        <x:v>0</x:v>
      </x:c>
      <x:c r="J288" s="1" t="str">
        <x:v>no</x:v>
      </x:c>
      <x:c r="K288" s="1"/>
      <x:c r="L288" s="1"/>
      <x:c r="M288" s="1"/>
      <x:c r="N288" s="1"/>
      <x:c r="O288" s="1"/>
    </x:row>
    <x:row r="289">
      <x:c r="A289" s="1" t="str">
        <x:v>S0288</x:v>
      </x:c>
      <x:c r="B289" s="1" t="str">
        <x:v>48</x:v>
      </x:c>
      <x:c r="C289" s="1" t="str">
        <x:v>basic</x:v>
      </x:c>
      <x:c r="D289" s="1" t="str">
        <x:v>9.99</x:v>
      </x:c>
      <x:c r="E289" s="1" t="str">
        <x:v>0</x:v>
      </x:c>
      <x:c r="F289" s="1" t="str">
        <x:v>6</x:v>
      </x:c>
      <x:c r="G289" s="1" t="str">
        <x:v>20</x:v>
      </x:c>
      <x:c r="H289" s="1" t="str">
        <x:v>0</x:v>
      </x:c>
      <x:c r="I289" s="1" t="str">
        <x:v>0</x:v>
      </x:c>
      <x:c r="J289" s="1" t="str">
        <x:v>no</x:v>
      </x:c>
      <x:c r="K289" s="1"/>
      <x:c r="L289" s="1"/>
      <x:c r="M289" s="1"/>
      <x:c r="N289" s="1"/>
      <x:c r="O289" s="1"/>
    </x:row>
    <x:row r="290">
      <x:c r="A290" s="1" t="str">
        <x:v>S0289</x:v>
      </x:c>
      <x:c r="B290" s="1" t="str">
        <x:v>46</x:v>
      </x:c>
      <x:c r="C290" s="1" t="str">
        <x:v>premium</x:v>
      </x:c>
      <x:c r="D290" s="1" t="str">
        <x:v>15.99</x:v>
      </x:c>
      <x:c r="E290" s="1" t="str">
        <x:v>1</x:v>
      </x:c>
      <x:c r="F290" s="1" t="str">
        <x:v>21</x:v>
      </x:c>
      <x:c r="G290" s="1" t="str">
        <x:v>5</x:v>
      </x:c>
      <x:c r="H290" s="1" t="str">
        <x:v>0</x:v>
      </x:c>
      <x:c r="I290" s="1" t="str">
        <x:v>0</x:v>
      </x:c>
      <x:c r="J290" s="1" t="str">
        <x:v>no</x:v>
      </x:c>
      <x:c r="K290" s="1"/>
      <x:c r="L290" s="1"/>
      <x:c r="M290" s="1"/>
      <x:c r="N290" s="1"/>
      <x:c r="O290" s="1"/>
    </x:row>
    <x:row r="291">
      <x:c r="A291" s="1" t="str">
        <x:v>S0290</x:v>
      </x:c>
      <x:c r="B291" s="1" t="str">
        <x:v>34</x:v>
      </x:c>
      <x:c r="C291" s="1" t="str">
        <x:v>basic</x:v>
      </x:c>
      <x:c r="D291" s="1" t="str">
        <x:v>9.99</x:v>
      </x:c>
      <x:c r="E291" s="1" t="str">
        <x:v>0</x:v>
      </x:c>
      <x:c r="F291" s="1" t="str">
        <x:v>14</x:v>
      </x:c>
      <x:c r="G291" s="1" t="str">
        <x:v>20</x:v>
      </x:c>
      <x:c r="H291" s="1" t="str">
        <x:v>0</x:v>
      </x:c>
      <x:c r="I291" s="1" t="str">
        <x:v>0</x:v>
      </x:c>
      <x:c r="J291" s="1" t="str">
        <x:v>no</x:v>
      </x:c>
      <x:c r="K291" s="1"/>
      <x:c r="L291" s="1"/>
      <x:c r="M291" s="1"/>
      <x:c r="N291" s="1"/>
      <x:c r="O291" s="1"/>
    </x:row>
    <x:row r="292">
      <x:c r="A292" s="1" t="str">
        <x:v>S0291</x:v>
      </x:c>
      <x:c r="B292" s="1" t="str">
        <x:v>36</x:v>
      </x:c>
      <x:c r="C292" s="1" t="str">
        <x:v>basic</x:v>
      </x:c>
      <x:c r="D292" s="1" t="str">
        <x:v>9.99</x:v>
      </x:c>
      <x:c r="E292" s="1" t="str">
        <x:v>2</x:v>
      </x:c>
      <x:c r="F292" s="1" t="str">
        <x:v>0</x:v>
      </x:c>
      <x:c r="G292" s="1" t="str">
        <x:v>42</x:v>
      </x:c>
      <x:c r="H292" s="1" t="str">
        <x:v>0</x:v>
      </x:c>
      <x:c r="I292" s="1" t="str">
        <x:v>0</x:v>
      </x:c>
      <x:c r="J292" s="1" t="str">
        <x:v>yes</x:v>
      </x:c>
      <x:c r="K292" s="1"/>
      <x:c r="L292" s="1"/>
      <x:c r="M292" s="1"/>
      <x:c r="N292" s="1"/>
      <x:c r="O292" s="1"/>
    </x:row>
    <x:row r="293">
      <x:c r="A293" s="1" t="str">
        <x:v>S0292</x:v>
      </x:c>
      <x:c r="B293" s="1" t="str">
        <x:v>44</x:v>
      </x:c>
      <x:c r="C293" s="1" t="str">
        <x:v>basic</x:v>
      </x:c>
      <x:c r="D293" s="1" t="str">
        <x:v>9.99</x:v>
      </x:c>
      <x:c r="E293" s="1" t="str">
        <x:v>0</x:v>
      </x:c>
      <x:c r="F293" s="1" t="str">
        <x:v>26</x:v>
      </x:c>
      <x:c r="G293" s="1" t="str">
        <x:v>6</x:v>
      </x:c>
      <x:c r="H293" s="1" t="str">
        <x:v>0</x:v>
      </x:c>
      <x:c r="I293" s="1" t="str">
        <x:v>0</x:v>
      </x:c>
      <x:c r="J293" s="1" t="str">
        <x:v>no</x:v>
      </x:c>
      <x:c r="K293" s="1"/>
      <x:c r="L293" s="1"/>
      <x:c r="M293" s="1"/>
      <x:c r="N293" s="1"/>
      <x:c r="O293" s="1"/>
    </x:row>
    <x:row r="294">
      <x:c r="A294" s="1" t="str">
        <x:v>S0293</x:v>
      </x:c>
      <x:c r="B294" s="1" t="str">
        <x:v>27</x:v>
      </x:c>
      <x:c r="C294" s="1" t="str">
        <x:v>basic</x:v>
      </x:c>
      <x:c r="D294" s="1" t="str">
        <x:v>9.99</x:v>
      </x:c>
      <x:c r="E294" s="1" t="str">
        <x:v>3</x:v>
      </x:c>
      <x:c r="F294" s="1" t="str">
        <x:v>19</x:v>
      </x:c>
      <x:c r="G294" s="1" t="str">
        <x:v>20</x:v>
      </x:c>
      <x:c r="H294" s="1" t="str">
        <x:v>0</x:v>
      </x:c>
      <x:c r="I294" s="1" t="str">
        <x:v>0</x:v>
      </x:c>
      <x:c r="J294" s="1" t="str">
        <x:v>no</x:v>
      </x:c>
      <x:c r="K294" s="1"/>
      <x:c r="L294" s="1"/>
      <x:c r="M294" s="1"/>
      <x:c r="N294" s="1"/>
      <x:c r="O294" s="1"/>
    </x:row>
    <x:row r="295">
      <x:c r="A295" s="1" t="str">
        <x:v>S0294</x:v>
      </x:c>
      <x:c r="B295" s="1" t="str">
        <x:v>31</x:v>
      </x:c>
      <x:c r="C295" s="1" t="str">
        <x:v>basic</x:v>
      </x:c>
      <x:c r="D295" s="1" t="str">
        <x:v>9.99</x:v>
      </x:c>
      <x:c r="E295" s="1" t="str">
        <x:v>0</x:v>
      </x:c>
      <x:c r="F295" s="1" t="str">
        <x:v>0</x:v>
      </x:c>
      <x:c r="G295" s="1" t="str">
        <x:v>47</x:v>
      </x:c>
      <x:c r="H295" s="1" t="str">
        <x:v>0</x:v>
      </x:c>
      <x:c r="I295" s="1" t="str">
        <x:v>0</x:v>
      </x:c>
      <x:c r="J295" s="1" t="str">
        <x:v>yes</x:v>
      </x:c>
      <x:c r="K295" s="1"/>
      <x:c r="L295" s="1"/>
      <x:c r="M295" s="1"/>
      <x:c r="N295" s="1"/>
      <x:c r="O295" s="1"/>
    </x:row>
    <x:row r="296">
      <x:c r="A296" s="1" t="str">
        <x:v>S0295</x:v>
      </x:c>
      <x:c r="B296" s="1" t="str">
        <x:v>20</x:v>
      </x:c>
      <x:c r="C296" s="1" t="str">
        <x:v>basic</x:v>
      </x:c>
      <x:c r="D296" s="1" t="str">
        <x:v>9.99</x:v>
      </x:c>
      <x:c r="E296" s="1" t="str">
        <x:v>3</x:v>
      </x:c>
      <x:c r="F296" s="1" t="str">
        <x:v>21</x:v>
      </x:c>
      <x:c r="G296" s="1" t="str">
        <x:v>3</x:v>
      </x:c>
      <x:c r="H296" s="1" t="str">
        <x:v>1</x:v>
      </x:c>
      <x:c r="I296" s="1" t="str">
        <x:v>0</x:v>
      </x:c>
      <x:c r="J296" s="1" t="str">
        <x:v>no</x:v>
      </x:c>
      <x:c r="K296" s="1"/>
      <x:c r="L296" s="1"/>
      <x:c r="M296" s="1"/>
      <x:c r="N296" s="1"/>
      <x:c r="O296" s="1"/>
    </x:row>
    <x:row r="297">
      <x:c r="A297" s="1" t="str">
        <x:v>S0296</x:v>
      </x:c>
      <x:c r="B297" s="1" t="str">
        <x:v>37</x:v>
      </x:c>
      <x:c r="C297" s="1" t="str">
        <x:v>premium</x:v>
      </x:c>
      <x:c r="D297" s="1" t="str">
        <x:v>15.99</x:v>
      </x:c>
      <x:c r="E297" s="1" t="str">
        <x:v>0</x:v>
      </x:c>
      <x:c r="F297" s="1" t="str">
        <x:v>18</x:v>
      </x:c>
      <x:c r="G297" s="1" t="str">
        <x:v>13</x:v>
      </x:c>
      <x:c r="H297" s="1" t="str">
        <x:v>0</x:v>
      </x:c>
      <x:c r="I297" s="1" t="str">
        <x:v>1</x:v>
      </x:c>
      <x:c r="J297" s="1" t="str">
        <x:v>no</x:v>
      </x:c>
      <x:c r="K297" s="1"/>
      <x:c r="L297" s="1"/>
      <x:c r="M297" s="1"/>
      <x:c r="N297" s="1"/>
      <x:c r="O297" s="1"/>
    </x:row>
    <x:row r="298">
      <x:c r="A298" s="1" t="str">
        <x:v>S0297</x:v>
      </x:c>
      <x:c r="B298" s="1" t="str">
        <x:v>40</x:v>
      </x:c>
      <x:c r="C298" s="1" t="str">
        <x:v>premium</x:v>
      </x:c>
      <x:c r="D298" s="1" t="str">
        <x:v>15.99</x:v>
      </x:c>
      <x:c r="E298" s="1" t="str">
        <x:v>0</x:v>
      </x:c>
      <x:c r="F298" s="1" t="str">
        <x:v>0</x:v>
      </x:c>
      <x:c r="G298" s="1" t="str">
        <x:v>51</x:v>
      </x:c>
      <x:c r="H298" s="1" t="str">
        <x:v>0</x:v>
      </x:c>
      <x:c r="I298" s="1" t="str">
        <x:v>0</x:v>
      </x:c>
      <x:c r="J298" s="1" t="str">
        <x:v>yes</x:v>
      </x:c>
      <x:c r="K298" s="1"/>
      <x:c r="L298" s="1"/>
      <x:c r="M298" s="1"/>
      <x:c r="N298" s="1"/>
      <x:c r="O298" s="1"/>
    </x:row>
    <x:row r="299">
      <x:c r="A299" s="1" t="str">
        <x:v>S0298</x:v>
      </x:c>
      <x:c r="B299" s="1" t="str">
        <x:v>24</x:v>
      </x:c>
      <x:c r="C299" s="1" t="str">
        <x:v>basic</x:v>
      </x:c>
      <x:c r="D299" s="1" t="str">
        <x:v>9.99</x:v>
      </x:c>
      <x:c r="E299" s="1" t="str">
        <x:v>1</x:v>
      </x:c>
      <x:c r="F299" s="1" t="str">
        <x:v>0</x:v>
      </x:c>
      <x:c r="G299" s="1" t="str">
        <x:v>35</x:v>
      </x:c>
      <x:c r="H299" s="1" t="str">
        <x:v>0</x:v>
      </x:c>
      <x:c r="I299" s="1" t="str">
        <x:v>0</x:v>
      </x:c>
      <x:c r="J299" s="1" t="str">
        <x:v>yes</x:v>
      </x:c>
      <x:c r="K299" s="1"/>
      <x:c r="L299" s="1"/>
      <x:c r="M299" s="1"/>
      <x:c r="N299" s="1"/>
      <x:c r="O299" s="1"/>
    </x:row>
    <x:row r="300">
      <x:c r="A300" s="1" t="str">
        <x:v>S0299</x:v>
      </x:c>
      <x:c r="B300" s="1" t="str">
        <x:v>31</x:v>
      </x:c>
      <x:c r="C300" s="1" t="str">
        <x:v>basic</x:v>
      </x:c>
      <x:c r="D300" s="1" t="str">
        <x:v>9.99</x:v>
      </x:c>
      <x:c r="E300" s="1" t="str">
        <x:v>0</x:v>
      </x:c>
      <x:c r="F300" s="1" t="str">
        <x:v>0</x:v>
      </x:c>
      <x:c r="G300" s="1" t="str">
        <x:v>48</x:v>
      </x:c>
      <x:c r="H300" s="1" t="str">
        <x:v>0</x:v>
      </x:c>
      <x:c r="I300" s="1" t="str">
        <x:v>0</x:v>
      </x:c>
      <x:c r="J300" s="1" t="str">
        <x:v>yes</x:v>
      </x:c>
      <x:c r="K300" s="1"/>
      <x:c r="L300" s="1"/>
      <x:c r="M300" s="1"/>
      <x:c r="N300" s="1"/>
      <x:c r="O300" s="1"/>
    </x:row>
    <x:row r="301">
      <x:c r="A301" s="1" t="str">
        <x:v>S0300</x:v>
      </x:c>
      <x:c r="B301" s="1" t="str">
        <x:v>10</x:v>
      </x:c>
      <x:c r="C301" s="1" t="str">
        <x:v>basic</x:v>
      </x:c>
      <x:c r="D301" s="1" t="str">
        <x:v>9.99</x:v>
      </x:c>
      <x:c r="E301" s="1" t="str">
        <x:v>0</x:v>
      </x:c>
      <x:c r="F301" s="1" t="str">
        <x:v>16</x:v>
      </x:c>
      <x:c r="G301" s="1" t="str">
        <x:v>1</x:v>
      </x:c>
      <x:c r="H301" s="1" t="str">
        <x:v>0</x:v>
      </x:c>
      <x:c r="I301" s="1" t="str">
        <x:v>1</x:v>
      </x:c>
      <x:c r="J301" s="1" t="str">
        <x:v>no</x:v>
      </x:c>
      <x:c r="K301" s="1"/>
      <x:c r="L301" s="1"/>
      <x:c r="M301" s="1"/>
      <x:c r="N301" s="1"/>
      <x:c r="O301" s="1"/>
    </x:row>
    <x:row r="302">
      <x:c r="A302" s="1" t="str">
        <x:v>S0301</x:v>
      </x:c>
      <x:c r="B302" s="1" t="str">
        <x:v>42</x:v>
      </x:c>
      <x:c r="C302" s="1" t="str">
        <x:v>basic</x:v>
      </x:c>
      <x:c r="D302" s="1" t="str">
        <x:v>9.99</x:v>
      </x:c>
      <x:c r="E302" s="1" t="str">
        <x:v>0</x:v>
      </x:c>
      <x:c r="F302" s="1" t="str">
        <x:v>0</x:v>
      </x:c>
      <x:c r="G302" s="1" t="str">
        <x:v>32</x:v>
      </x:c>
      <x:c r="H302" s="1" t="str">
        <x:v>0</x:v>
      </x:c>
      <x:c r="I302" s="1" t="str">
        <x:v>0</x:v>
      </x:c>
      <x:c r="J302" s="1" t="str">
        <x:v>no</x:v>
      </x:c>
      <x:c r="K302" s="1"/>
      <x:c r="L302" s="1"/>
      <x:c r="M302" s="1"/>
      <x:c r="N302" s="1"/>
      <x:c r="O302" s="1"/>
    </x:row>
    <x:row r="303">
      <x:c r="A303" s="1" t="str">
        <x:v>S0302</x:v>
      </x:c>
      <x:c r="B303" s="1" t="str">
        <x:v>18</x:v>
      </x:c>
      <x:c r="C303" s="1" t="str">
        <x:v>premium</x:v>
      </x:c>
      <x:c r="D303" s="1" t="str">
        <x:v>15.99</x:v>
      </x:c>
      <x:c r="E303" s="1" t="str">
        <x:v>0</x:v>
      </x:c>
      <x:c r="F303" s="1" t="str">
        <x:v>22</x:v>
      </x:c>
      <x:c r="G303" s="1" t="str">
        <x:v>6</x:v>
      </x:c>
      <x:c r="H303" s="1" t="str">
        <x:v>0</x:v>
      </x:c>
      <x:c r="I303" s="1" t="str">
        <x:v>0</x:v>
      </x:c>
      <x:c r="J303" s="1" t="str">
        <x:v>no</x:v>
      </x:c>
      <x:c r="K303" s="1"/>
      <x:c r="L303" s="1"/>
      <x:c r="M303" s="1"/>
      <x:c r="N303" s="1"/>
      <x:c r="O303" s="1"/>
    </x:row>
    <x:row r="304">
      <x:c r="A304" s="1" t="str">
        <x:v>S0303</x:v>
      </x:c>
      <x:c r="B304" s="1" t="str">
        <x:v>33</x:v>
      </x:c>
      <x:c r="C304" s="1" t="str">
        <x:v>basic</x:v>
      </x:c>
      <x:c r="D304" s="1" t="str">
        <x:v>9.99</x:v>
      </x:c>
      <x:c r="E304" s="1" t="str">
        <x:v>0</x:v>
      </x:c>
      <x:c r="F304" s="1" t="str">
        <x:v>6</x:v>
      </x:c>
      <x:c r="G304" s="1" t="str">
        <x:v>7</x:v>
      </x:c>
      <x:c r="H304" s="1" t="str">
        <x:v>0</x:v>
      </x:c>
      <x:c r="I304" s="1" t="str">
        <x:v>0</x:v>
      </x:c>
      <x:c r="J304" s="1" t="str">
        <x:v>no</x:v>
      </x:c>
      <x:c r="K304" s="1"/>
      <x:c r="L304" s="1"/>
      <x:c r="M304" s="1"/>
      <x:c r="N304" s="1"/>
      <x:c r="O304" s="1"/>
    </x:row>
    <x:row r="305">
      <x:c r="A305" s="1" t="str">
        <x:v>S0304</x:v>
      </x:c>
      <x:c r="B305" s="1" t="str">
        <x:v>9</x:v>
      </x:c>
      <x:c r="C305" s="1" t="str">
        <x:v>premium</x:v>
      </x:c>
      <x:c r="D305" s="1" t="str">
        <x:v>15.99</x:v>
      </x:c>
      <x:c r="E305" s="1" t="str">
        <x:v>1</x:v>
      </x:c>
      <x:c r="F305" s="1" t="str">
        <x:v>3</x:v>
      </x:c>
      <x:c r="G305" s="1" t="str">
        <x:v>25</x:v>
      </x:c>
      <x:c r="H305" s="1" t="str">
        <x:v>0</x:v>
      </x:c>
      <x:c r="I305" s="1" t="str">
        <x:v>0</x:v>
      </x:c>
      <x:c r="J305" s="1" t="str">
        <x:v>no</x:v>
      </x:c>
      <x:c r="K305" s="1"/>
      <x:c r="L305" s="1"/>
      <x:c r="M305" s="1"/>
      <x:c r="N305" s="1"/>
      <x:c r="O305" s="1"/>
    </x:row>
    <x:row r="306">
      <x:c r="A306" s="1" t="str">
        <x:v>S0305</x:v>
      </x:c>
      <x:c r="B306" s="1" t="str">
        <x:v>45</x:v>
      </x:c>
      <x:c r="C306" s="1" t="str">
        <x:v>basic</x:v>
      </x:c>
      <x:c r="D306" s="1" t="str">
        <x:v>9.99</x:v>
      </x:c>
      <x:c r="E306" s="1" t="str">
        <x:v>0</x:v>
      </x:c>
      <x:c r="F306" s="1" t="str">
        <x:v>28</x:v>
      </x:c>
      <x:c r="G306" s="1" t="str">
        <x:v>4</x:v>
      </x:c>
      <x:c r="H306" s="1" t="str">
        <x:v>1</x:v>
      </x:c>
      <x:c r="I306" s="1" t="str">
        <x:v>0</x:v>
      </x:c>
      <x:c r="J306" s="1" t="str">
        <x:v>no</x:v>
      </x:c>
      <x:c r="K306" s="1"/>
      <x:c r="L306" s="1"/>
      <x:c r="M306" s="1"/>
      <x:c r="N306" s="1"/>
      <x:c r="O306" s="1"/>
    </x:row>
    <x:row r="307">
      <x:c r="A307" s="1" t="str">
        <x:v>S0306</x:v>
      </x:c>
      <x:c r="B307" s="1" t="str">
        <x:v>34</x:v>
      </x:c>
      <x:c r="C307" s="1" t="str">
        <x:v>basic</x:v>
      </x:c>
      <x:c r="D307" s="1" t="str">
        <x:v>9.99</x:v>
      </x:c>
      <x:c r="E307" s="1" t="str">
        <x:v>1</x:v>
      </x:c>
      <x:c r="F307" s="1" t="str">
        <x:v>14</x:v>
      </x:c>
      <x:c r="G307" s="1" t="str">
        <x:v>5</x:v>
      </x:c>
      <x:c r="H307" s="1" t="str">
        <x:v>2</x:v>
      </x:c>
      <x:c r="I307" s="1" t="str">
        <x:v>0</x:v>
      </x:c>
      <x:c r="J307" s="1" t="str">
        <x:v>no</x:v>
      </x:c>
      <x:c r="K307" s="1"/>
      <x:c r="L307" s="1"/>
      <x:c r="M307" s="1"/>
      <x:c r="N307" s="1"/>
      <x:c r="O307" s="1"/>
    </x:row>
    <x:row r="308">
      <x:c r="A308" s="1" t="str">
        <x:v>S0307</x:v>
      </x:c>
      <x:c r="B308" s="1" t="str">
        <x:v>45</x:v>
      </x:c>
      <x:c r="C308" s="1" t="str">
        <x:v>basic</x:v>
      </x:c>
      <x:c r="D308" s="1" t="str">
        <x:v>9.99</x:v>
      </x:c>
      <x:c r="E308" s="1" t="str">
        <x:v>0</x:v>
      </x:c>
      <x:c r="F308" s="1" t="str">
        <x:v>0</x:v>
      </x:c>
      <x:c r="G308" s="1" t="str">
        <x:v>54</x:v>
      </x:c>
      <x:c r="H308" s="1" t="str">
        <x:v>0</x:v>
      </x:c>
      <x:c r="I308" s="1" t="str">
        <x:v>1</x:v>
      </x:c>
      <x:c r="J308" s="1" t="str">
        <x:v>no</x:v>
      </x:c>
      <x:c r="K308" s="1"/>
      <x:c r="L308" s="1"/>
      <x:c r="M308" s="1"/>
      <x:c r="N308" s="1"/>
      <x:c r="O308" s="1"/>
    </x:row>
    <x:row r="309">
      <x:c r="A309" s="1" t="str">
        <x:v>S0308</x:v>
      </x:c>
      <x:c r="B309" s="1" t="str">
        <x:v>17</x:v>
      </x:c>
      <x:c r="C309" s="1" t="str">
        <x:v>basic</x:v>
      </x:c>
      <x:c r="D309" s="1" t="str">
        <x:v>9.99</x:v>
      </x:c>
      <x:c r="E309" s="1" t="str">
        <x:v>0</x:v>
      </x:c>
      <x:c r="F309" s="1" t="str">
        <x:v>34</x:v>
      </x:c>
      <x:c r="G309" s="1" t="str">
        <x:v>0</x:v>
      </x:c>
      <x:c r="H309" s="1" t="str">
        <x:v>0</x:v>
      </x:c>
      <x:c r="I309" s="1" t="str">
        <x:v>0</x:v>
      </x:c>
      <x:c r="J309" s="1" t="str">
        <x:v>no</x:v>
      </x:c>
      <x:c r="K309" s="1"/>
      <x:c r="L309" s="1"/>
      <x:c r="M309" s="1"/>
      <x:c r="N309" s="1"/>
      <x:c r="O309" s="1"/>
    </x:row>
    <x:row r="310">
      <x:c r="A310" s="1" t="str">
        <x:v>S0309</x:v>
      </x:c>
      <x:c r="B310" s="1" t="str">
        <x:v>47</x:v>
      </x:c>
      <x:c r="C310" s="1" t="str">
        <x:v>basic</x:v>
      </x:c>
      <x:c r="D310" s="1" t="str">
        <x:v>9.99</x:v>
      </x:c>
      <x:c r="E310" s="1" t="str">
        <x:v>1</x:v>
      </x:c>
      <x:c r="F310" s="1" t="str">
        <x:v>0</x:v>
      </x:c>
      <x:c r="G310" s="1" t="str">
        <x:v>45</x:v>
      </x:c>
      <x:c r="H310" s="1" t="str">
        <x:v>0</x:v>
      </x:c>
      <x:c r="I310" s="1" t="str">
        <x:v>1</x:v>
      </x:c>
      <x:c r="J310" s="1" t="str">
        <x:v>no</x:v>
      </x:c>
      <x:c r="K310" s="1"/>
      <x:c r="L310" s="1"/>
      <x:c r="M310" s="1"/>
      <x:c r="N310" s="1"/>
      <x:c r="O310" s="1"/>
    </x:row>
    <x:row r="311">
      <x:c r="A311" s="1" t="str">
        <x:v>S0310</x:v>
      </x:c>
      <x:c r="B311" s="1" t="str">
        <x:v>1</x:v>
      </x:c>
      <x:c r="C311" s="1" t="str">
        <x:v>premium</x:v>
      </x:c>
      <x:c r="D311" s="1" t="str">
        <x:v>15.99</x:v>
      </x:c>
      <x:c r="E311" s="1" t="str">
        <x:v>0</x:v>
      </x:c>
      <x:c r="F311" s="1" t="str">
        <x:v>5</x:v>
      </x:c>
      <x:c r="G311" s="1" t="str">
        <x:v>16</x:v>
      </x:c>
      <x:c r="H311" s="1" t="str">
        <x:v>0</x:v>
      </x:c>
      <x:c r="I311" s="1" t="str">
        <x:v>1</x:v>
      </x:c>
      <x:c r="J311" s="1" t="str">
        <x:v>no</x:v>
      </x:c>
      <x:c r="K311" s="1"/>
      <x:c r="L311" s="1"/>
      <x:c r="M311" s="1"/>
      <x:c r="N311" s="1"/>
      <x:c r="O311" s="1"/>
    </x:row>
    <x:row r="312">
      <x:c r="A312" s="1" t="str">
        <x:v>S0311</x:v>
      </x:c>
      <x:c r="B312" s="1" t="str">
        <x:v>36</x:v>
      </x:c>
      <x:c r="C312" s="1" t="str">
        <x:v>basic</x:v>
      </x:c>
      <x:c r="D312" s="1" t="str">
        <x:v>9.99</x:v>
      </x:c>
      <x:c r="E312" s="1" t="str">
        <x:v>0</x:v>
      </x:c>
      <x:c r="F312" s="1" t="str">
        <x:v>24</x:v>
      </x:c>
      <x:c r="G312" s="1" t="str">
        <x:v>4</x:v>
      </x:c>
      <x:c r="H312" s="1" t="str">
        <x:v>0</x:v>
      </x:c>
      <x:c r="I312" s="1" t="str">
        <x:v>0</x:v>
      </x:c>
      <x:c r="J312" s="1" t="str">
        <x:v>no</x:v>
      </x:c>
      <x:c r="K312" s="1"/>
      <x:c r="L312" s="1"/>
      <x:c r="M312" s="1"/>
      <x:c r="N312" s="1"/>
      <x:c r="O312" s="1"/>
    </x:row>
    <x:row r="313">
      <x:c r="A313" s="1" t="str">
        <x:v>S0312</x:v>
      </x:c>
      <x:c r="B313" s="1" t="str">
        <x:v>40</x:v>
      </x:c>
      <x:c r="C313" s="1" t="str">
        <x:v>basic</x:v>
      </x:c>
      <x:c r="D313" s="1" t="str">
        <x:v>9.99</x:v>
      </x:c>
      <x:c r="E313" s="1" t="str">
        <x:v>0</x:v>
      </x:c>
      <x:c r="F313" s="1" t="str">
        <x:v>19</x:v>
      </x:c>
      <x:c r="G313" s="1" t="str">
        <x:v>6</x:v>
      </x:c>
      <x:c r="H313" s="1" t="str">
        <x:v>0</x:v>
      </x:c>
      <x:c r="I313" s="1" t="str">
        <x:v>1</x:v>
      </x:c>
      <x:c r="J313" s="1" t="str">
        <x:v>no</x:v>
      </x:c>
      <x:c r="K313" s="1"/>
      <x:c r="L313" s="1"/>
      <x:c r="M313" s="1"/>
      <x:c r="N313" s="1"/>
      <x:c r="O313" s="1"/>
    </x:row>
    <x:row r="314">
      <x:c r="A314" s="1" t="str">
        <x:v>S0313</x:v>
      </x:c>
      <x:c r="B314" s="1" t="str">
        <x:v>27</x:v>
      </x:c>
      <x:c r="C314" s="1" t="str">
        <x:v>basic</x:v>
      </x:c>
      <x:c r="D314" s="1" t="str">
        <x:v>9.99</x:v>
      </x:c>
      <x:c r="E314" s="1" t="str">
        <x:v>0</x:v>
      </x:c>
      <x:c r="F314" s="1" t="str">
        <x:v>20</x:v>
      </x:c>
      <x:c r="G314" s="1" t="str">
        <x:v>4</x:v>
      </x:c>
      <x:c r="H314" s="1" t="str">
        <x:v>1</x:v>
      </x:c>
      <x:c r="I314" s="1" t="str">
        <x:v>0</x:v>
      </x:c>
      <x:c r="J314" s="1" t="str">
        <x:v>no</x:v>
      </x:c>
      <x:c r="K314" s="1"/>
      <x:c r="L314" s="1"/>
      <x:c r="M314" s="1"/>
      <x:c r="N314" s="1"/>
      <x:c r="O314" s="1"/>
    </x:row>
    <x:row r="315">
      <x:c r="A315" s="1" t="str">
        <x:v>S0314</x:v>
      </x:c>
      <x:c r="B315" s="1" t="str">
        <x:v>41</x:v>
      </x:c>
      <x:c r="C315" s="1" t="str">
        <x:v>premium</x:v>
      </x:c>
      <x:c r="D315" s="1" t="str">
        <x:v>15.99</x:v>
      </x:c>
      <x:c r="E315" s="1" t="str">
        <x:v>0</x:v>
      </x:c>
      <x:c r="F315" s="1" t="str">
        <x:v>18</x:v>
      </x:c>
      <x:c r="G315" s="1" t="str">
        <x:v>0</x:v>
      </x:c>
      <x:c r="H315" s="1" t="str">
        <x:v>0</x:v>
      </x:c>
      <x:c r="I315" s="1" t="str">
        <x:v>0</x:v>
      </x:c>
      <x:c r="J315" s="1" t="str">
        <x:v>no</x:v>
      </x:c>
      <x:c r="K315" s="1"/>
      <x:c r="L315" s="1"/>
      <x:c r="M315" s="1"/>
      <x:c r="N315" s="1"/>
      <x:c r="O315" s="1"/>
    </x:row>
    <x:row r="316">
      <x:c r="A316" s="1" t="str">
        <x:v>S0315</x:v>
      </x:c>
      <x:c r="B316" s="1" t="str">
        <x:v>8</x:v>
      </x:c>
      <x:c r="C316" s="1" t="str">
        <x:v>basic</x:v>
      </x:c>
      <x:c r="D316" s="1" t="str">
        <x:v>9.99</x:v>
      </x:c>
      <x:c r="E316" s="1" t="str">
        <x:v>0</x:v>
      </x:c>
      <x:c r="F316" s="1" t="str">
        <x:v>0</x:v>
      </x:c>
      <x:c r="G316" s="1" t="str">
        <x:v>50</x:v>
      </x:c>
      <x:c r="H316" s="1" t="str">
        <x:v>0</x:v>
      </x:c>
      <x:c r="I316" s="1" t="str">
        <x:v>0</x:v>
      </x:c>
      <x:c r="J316" s="1" t="str">
        <x:v>yes</x:v>
      </x:c>
      <x:c r="K316" s="1"/>
      <x:c r="L316" s="1"/>
      <x:c r="M316" s="1"/>
      <x:c r="N316" s="1"/>
      <x:c r="O316" s="1"/>
    </x:row>
    <x:row r="317">
      <x:c r="A317" s="1" t="str">
        <x:v>S0316</x:v>
      </x:c>
      <x:c r="B317" s="1" t="str">
        <x:v>16</x:v>
      </x:c>
      <x:c r="C317" s="1" t="str">
        <x:v>basic</x:v>
      </x:c>
      <x:c r="D317" s="1" t="str">
        <x:v>9.99</x:v>
      </x:c>
      <x:c r="E317" s="1" t="str">
        <x:v>0</x:v>
      </x:c>
      <x:c r="F317" s="1" t="str">
        <x:v>10</x:v>
      </x:c>
      <x:c r="G317" s="1" t="str">
        <x:v>19</x:v>
      </x:c>
      <x:c r="H317" s="1" t="str">
        <x:v>0</x:v>
      </x:c>
      <x:c r="I317" s="1" t="str">
        <x:v>0</x:v>
      </x:c>
      <x:c r="J317" s="1" t="str">
        <x:v>no</x:v>
      </x:c>
      <x:c r="K317" s="1"/>
      <x:c r="L317" s="1"/>
      <x:c r="M317" s="1"/>
      <x:c r="N317" s="1"/>
      <x:c r="O317" s="1"/>
    </x:row>
    <x:row r="318">
      <x:c r="A318" s="1" t="str">
        <x:v>S0317</x:v>
      </x:c>
      <x:c r="B318" s="1" t="str">
        <x:v>28</x:v>
      </x:c>
      <x:c r="C318" s="1" t="str">
        <x:v>basic</x:v>
      </x:c>
      <x:c r="D318" s="1" t="str">
        <x:v>9.99</x:v>
      </x:c>
      <x:c r="E318" s="1" t="str">
        <x:v>2</x:v>
      </x:c>
      <x:c r="F318" s="1" t="str">
        <x:v>18</x:v>
      </x:c>
      <x:c r="G318" s="1" t="str">
        <x:v>3</x:v>
      </x:c>
      <x:c r="H318" s="1" t="str">
        <x:v>0</x:v>
      </x:c>
      <x:c r="I318" s="1" t="str">
        <x:v>1</x:v>
      </x:c>
      <x:c r="J318" s="1" t="str">
        <x:v>no</x:v>
      </x:c>
      <x:c r="K318" s="1"/>
      <x:c r="L318" s="1"/>
      <x:c r="M318" s="1"/>
      <x:c r="N318" s="1"/>
      <x:c r="O318" s="1"/>
    </x:row>
    <x:row r="319">
      <x:c r="A319" s="1" t="str">
        <x:v>S0318</x:v>
      </x:c>
      <x:c r="B319" s="1" t="str">
        <x:v>36</x:v>
      </x:c>
      <x:c r="C319" s="1" t="str">
        <x:v>premium</x:v>
      </x:c>
      <x:c r="D319" s="1" t="str">
        <x:v>15.99</x:v>
      </x:c>
      <x:c r="E319" s="1" t="str">
        <x:v>1</x:v>
      </x:c>
      <x:c r="F319" s="1" t="str">
        <x:v>0</x:v>
      </x:c>
      <x:c r="G319" s="1" t="str">
        <x:v>33</x:v>
      </x:c>
      <x:c r="H319" s="1" t="str">
        <x:v>1</x:v>
      </x:c>
      <x:c r="I319" s="1" t="str">
        <x:v>0</x:v>
      </x:c>
      <x:c r="J319" s="1" t="str">
        <x:v>no</x:v>
      </x:c>
      <x:c r="K319" s="1"/>
      <x:c r="L319" s="1"/>
      <x:c r="M319" s="1"/>
      <x:c r="N319" s="1"/>
      <x:c r="O319" s="1"/>
    </x:row>
    <x:row r="320">
      <x:c r="A320" s="1" t="str">
        <x:v>S0319</x:v>
      </x:c>
      <x:c r="B320" s="1" t="str">
        <x:v>18</x:v>
      </x:c>
      <x:c r="C320" s="1" t="str">
        <x:v>basic</x:v>
      </x:c>
      <x:c r="D320" s="1" t="str">
        <x:v>9.99</x:v>
      </x:c>
      <x:c r="E320" s="1" t="str">
        <x:v>2</x:v>
      </x:c>
      <x:c r="F320" s="1" t="str">
        <x:v>27</x:v>
      </x:c>
      <x:c r="G320" s="1" t="str">
        <x:v>5</x:v>
      </x:c>
      <x:c r="H320" s="1" t="str">
        <x:v>1</x:v>
      </x:c>
      <x:c r="I320" s="1" t="str">
        <x:v>0</x:v>
      </x:c>
      <x:c r="J320" s="1" t="str">
        <x:v>no</x:v>
      </x:c>
      <x:c r="K320" s="1"/>
      <x:c r="L320" s="1"/>
      <x:c r="M320" s="1"/>
      <x:c r="N320" s="1"/>
      <x:c r="O320" s="1"/>
    </x:row>
    <x:row r="321">
      <x:c r="A321" s="1" t="str">
        <x:v>S0320</x:v>
      </x:c>
      <x:c r="B321" s="1" t="str">
        <x:v>7</x:v>
      </x:c>
      <x:c r="C321" s="1" t="str">
        <x:v>premium</x:v>
      </x:c>
      <x:c r="D321" s="1" t="str">
        <x:v>15.99</x:v>
      </x:c>
      <x:c r="E321" s="1" t="str">
        <x:v>0</x:v>
      </x:c>
      <x:c r="F321" s="1" t="str">
        <x:v>32</x:v>
      </x:c>
      <x:c r="G321" s="1" t="str">
        <x:v>1</x:v>
      </x:c>
      <x:c r="H321" s="1" t="str">
        <x:v>0</x:v>
      </x:c>
      <x:c r="I321" s="1" t="str">
        <x:v>0</x:v>
      </x:c>
      <x:c r="J321" s="1" t="str">
        <x:v>no</x:v>
      </x:c>
      <x:c r="K321" s="1"/>
      <x:c r="L321" s="1"/>
      <x:c r="M321" s="1"/>
      <x:c r="N321" s="1"/>
      <x:c r="O321" s="1"/>
    </x:row>
    <x:row r="322">
      <x:c r="A322" s="1" t="str">
        <x:v>S0321</x:v>
      </x:c>
      <x:c r="B322" s="1" t="str">
        <x:v>9</x:v>
      </x:c>
      <x:c r="C322" s="1" t="str">
        <x:v>basic</x:v>
      </x:c>
      <x:c r="D322" s="1" t="str">
        <x:v>9.99</x:v>
      </x:c>
      <x:c r="E322" s="1" t="str">
        <x:v>3</x:v>
      </x:c>
      <x:c r="F322" s="1" t="str">
        <x:v>20</x:v>
      </x:c>
      <x:c r="G322" s="1" t="str">
        <x:v>4</x:v>
      </x:c>
      <x:c r="H322" s="1" t="str">
        <x:v>1</x:v>
      </x:c>
      <x:c r="I322" s="1" t="str">
        <x:v>0</x:v>
      </x:c>
      <x:c r="J322" s="1" t="str">
        <x:v>yes</x:v>
      </x:c>
      <x:c r="K322" s="1"/>
      <x:c r="L322" s="1"/>
      <x:c r="M322" s="1"/>
      <x:c r="N322" s="1"/>
      <x:c r="O322" s="1"/>
    </x:row>
    <x:row r="323">
      <x:c r="A323" s="1" t="str">
        <x:v>S0322</x:v>
      </x:c>
      <x:c r="B323" s="1" t="str">
        <x:v>41</x:v>
      </x:c>
      <x:c r="C323" s="1" t="str">
        <x:v>premium</x:v>
      </x:c>
      <x:c r="D323" s="1" t="str">
        <x:v>15.99</x:v>
      </x:c>
      <x:c r="E323" s="1" t="str">
        <x:v>0</x:v>
      </x:c>
      <x:c r="F323" s="1" t="str">
        <x:v>0</x:v>
      </x:c>
      <x:c r="G323" s="1" t="str">
        <x:v>58</x:v>
      </x:c>
      <x:c r="H323" s="1" t="str">
        <x:v>0</x:v>
      </x:c>
      <x:c r="I323" s="1" t="str">
        <x:v>0</x:v>
      </x:c>
      <x:c r="J323" s="1" t="str">
        <x:v>no</x:v>
      </x:c>
      <x:c r="K323" s="1"/>
      <x:c r="L323" s="1"/>
      <x:c r="M323" s="1"/>
      <x:c r="N323" s="1"/>
      <x:c r="O323" s="1"/>
    </x:row>
    <x:row r="324">
      <x:c r="A324" s="1" t="str">
        <x:v>S0323</x:v>
      </x:c>
      <x:c r="B324" s="1" t="str">
        <x:v>39</x:v>
      </x:c>
      <x:c r="C324" s="1" t="str">
        <x:v>premium</x:v>
      </x:c>
      <x:c r="D324" s="1" t="str">
        <x:v>15.99</x:v>
      </x:c>
      <x:c r="E324" s="1" t="str">
        <x:v>2</x:v>
      </x:c>
      <x:c r="F324" s="1" t="str">
        <x:v>15</x:v>
      </x:c>
      <x:c r="G324" s="1" t="str">
        <x:v>21</x:v>
      </x:c>
      <x:c r="H324" s="1" t="str">
        <x:v>0</x:v>
      </x:c>
      <x:c r="I324" s="1" t="str">
        <x:v>1</x:v>
      </x:c>
      <x:c r="J324" s="1" t="str">
        <x:v>no</x:v>
      </x:c>
      <x:c r="K324" s="1"/>
      <x:c r="L324" s="1"/>
      <x:c r="M324" s="1"/>
      <x:c r="N324" s="1"/>
      <x:c r="O324" s="1"/>
    </x:row>
    <x:row r="325">
      <x:c r="A325" s="1" t="str">
        <x:v>S0324</x:v>
      </x:c>
      <x:c r="B325" s="1" t="str">
        <x:v>38</x:v>
      </x:c>
      <x:c r="C325" s="1" t="str">
        <x:v>premium</x:v>
      </x:c>
      <x:c r="D325" s="1" t="str">
        <x:v>15.99</x:v>
      </x:c>
      <x:c r="E325" s="1" t="str">
        <x:v>0</x:v>
      </x:c>
      <x:c r="F325" s="1" t="str">
        <x:v>18</x:v>
      </x:c>
      <x:c r="G325" s="1" t="str">
        <x:v>4</x:v>
      </x:c>
      <x:c r="H325" s="1" t="str">
        <x:v>0</x:v>
      </x:c>
      <x:c r="I325" s="1" t="str">
        <x:v>0</x:v>
      </x:c>
      <x:c r="J325" s="1" t="str">
        <x:v>no</x:v>
      </x:c>
      <x:c r="K325" s="1"/>
      <x:c r="L325" s="1"/>
      <x:c r="M325" s="1"/>
      <x:c r="N325" s="1"/>
      <x:c r="O325" s="1"/>
    </x:row>
    <x:row r="326">
      <x:c r="A326" s="1" t="str">
        <x:v>S0325</x:v>
      </x:c>
      <x:c r="B326" s="1" t="str">
        <x:v>39</x:v>
      </x:c>
      <x:c r="C326" s="1" t="str">
        <x:v>basic</x:v>
      </x:c>
      <x:c r="D326" s="1" t="str">
        <x:v>9.99</x:v>
      </x:c>
      <x:c r="E326" s="1" t="str">
        <x:v>0</x:v>
      </x:c>
      <x:c r="F326" s="1" t="str">
        <x:v>26</x:v>
      </x:c>
      <x:c r="G326" s="1" t="str">
        <x:v>4</x:v>
      </x:c>
      <x:c r="H326" s="1" t="str">
        <x:v>0</x:v>
      </x:c>
      <x:c r="I326" s="1" t="str">
        <x:v>0</x:v>
      </x:c>
      <x:c r="J326" s="1" t="str">
        <x:v>no</x:v>
      </x:c>
      <x:c r="K326" s="1"/>
      <x:c r="L326" s="1"/>
      <x:c r="M326" s="1"/>
      <x:c r="N326" s="1"/>
      <x:c r="O326" s="1"/>
    </x:row>
    <x:row r="327">
      <x:c r="A327" s="1" t="str">
        <x:v>S0326</x:v>
      </x:c>
      <x:c r="B327" s="1" t="str">
        <x:v>25</x:v>
      </x:c>
      <x:c r="C327" s="1" t="str">
        <x:v>basic</x:v>
      </x:c>
      <x:c r="D327" s="1" t="str">
        <x:v>9.99</x:v>
      </x:c>
      <x:c r="E327" s="1" t="str">
        <x:v>0</x:v>
      </x:c>
      <x:c r="F327" s="1" t="str">
        <x:v>28</x:v>
      </x:c>
      <x:c r="G327" s="1" t="str">
        <x:v>6</x:v>
      </x:c>
      <x:c r="H327" s="1" t="str">
        <x:v>0</x:v>
      </x:c>
      <x:c r="I327" s="1" t="str">
        <x:v>0</x:v>
      </x:c>
      <x:c r="J327" s="1" t="str">
        <x:v>no</x:v>
      </x:c>
      <x:c r="K327" s="1"/>
      <x:c r="L327" s="1"/>
      <x:c r="M327" s="1"/>
      <x:c r="N327" s="1"/>
      <x:c r="O327" s="1"/>
    </x:row>
    <x:row r="328">
      <x:c r="A328" s="1" t="str">
        <x:v>S0327</x:v>
      </x:c>
      <x:c r="B328" s="1" t="str">
        <x:v>29</x:v>
      </x:c>
      <x:c r="C328" s="1" t="str">
        <x:v>basic</x:v>
      </x:c>
      <x:c r="D328" s="1" t="str">
        <x:v>9.99</x:v>
      </x:c>
      <x:c r="E328" s="1" t="str">
        <x:v>0</x:v>
      </x:c>
      <x:c r="F328" s="1" t="str">
        <x:v>0</x:v>
      </x:c>
      <x:c r="G328" s="1" t="str">
        <x:v>59</x:v>
      </x:c>
      <x:c r="H328" s="1" t="str">
        <x:v>0</x:v>
      </x:c>
      <x:c r="I328" s="1" t="str">
        <x:v>0</x:v>
      </x:c>
      <x:c r="J328" s="1" t="str">
        <x:v>no</x:v>
      </x:c>
      <x:c r="K328" s="1"/>
      <x:c r="L328" s="1"/>
      <x:c r="M328" s="1"/>
      <x:c r="N328" s="1"/>
      <x:c r="O328" s="1"/>
    </x:row>
    <x:row r="329">
      <x:c r="A329" s="1" t="str">
        <x:v>S0328</x:v>
      </x:c>
      <x:c r="B329" s="1" t="str">
        <x:v>9</x:v>
      </x:c>
      <x:c r="C329" s="1" t="str">
        <x:v>basic</x:v>
      </x:c>
      <x:c r="D329" s="1" t="str">
        <x:v>9.99</x:v>
      </x:c>
      <x:c r="E329" s="1" t="str">
        <x:v>0</x:v>
      </x:c>
      <x:c r="F329" s="1" t="str">
        <x:v>8</x:v>
      </x:c>
      <x:c r="G329" s="1" t="str">
        <x:v>14</x:v>
      </x:c>
      <x:c r="H329" s="1" t="str">
        <x:v>0</x:v>
      </x:c>
      <x:c r="I329" s="1" t="str">
        <x:v>0</x:v>
      </x:c>
      <x:c r="J329" s="1" t="str">
        <x:v>no</x:v>
      </x:c>
      <x:c r="K329" s="1"/>
      <x:c r="L329" s="1"/>
      <x:c r="M329" s="1"/>
      <x:c r="N329" s="1"/>
      <x:c r="O329" s="1"/>
    </x:row>
    <x:row r="330">
      <x:c r="A330" s="1" t="str">
        <x:v>S0329</x:v>
      </x:c>
      <x:c r="B330" s="1" t="str">
        <x:v>47</x:v>
      </x:c>
      <x:c r="C330" s="1" t="str">
        <x:v>premium</x:v>
      </x:c>
      <x:c r="D330" s="1" t="str">
        <x:v>15.99</x:v>
      </x:c>
      <x:c r="E330" s="1" t="str">
        <x:v>1</x:v>
      </x:c>
      <x:c r="F330" s="1" t="str">
        <x:v>0</x:v>
      </x:c>
      <x:c r="G330" s="1" t="str">
        <x:v>58</x:v>
      </x:c>
      <x:c r="H330" s="1" t="str">
        <x:v>0</x:v>
      </x:c>
      <x:c r="I330" s="1" t="str">
        <x:v>0</x:v>
      </x:c>
      <x:c r="J330" s="1" t="str">
        <x:v>no</x:v>
      </x:c>
      <x:c r="K330" s="1"/>
      <x:c r="L330" s="1"/>
      <x:c r="M330" s="1"/>
      <x:c r="N330" s="1"/>
      <x:c r="O330" s="1"/>
    </x:row>
    <x:row r="331">
      <x:c r="A331" s="1" t="str">
        <x:v>S0330</x:v>
      </x:c>
      <x:c r="B331" s="1" t="str">
        <x:v>10</x:v>
      </x:c>
      <x:c r="C331" s="1" t="str">
        <x:v>basic</x:v>
      </x:c>
      <x:c r="D331" s="1" t="str">
        <x:v>9.99</x:v>
      </x:c>
      <x:c r="E331" s="1" t="str">
        <x:v>2</x:v>
      </x:c>
      <x:c r="F331" s="1" t="str">
        <x:v>15</x:v>
      </x:c>
      <x:c r="G331" s="1" t="str">
        <x:v>1</x:v>
      </x:c>
      <x:c r="H331" s="1" t="str">
        <x:v>0</x:v>
      </x:c>
      <x:c r="I331" s="1" t="str">
        <x:v>0</x:v>
      </x:c>
      <x:c r="J331" s="1" t="str">
        <x:v>no</x:v>
      </x:c>
      <x:c r="K331" s="1"/>
      <x:c r="L331" s="1"/>
      <x:c r="M331" s="1"/>
      <x:c r="N331" s="1"/>
      <x:c r="O331" s="1"/>
    </x:row>
    <x:row r="332">
      <x:c r="A332" s="1" t="str">
        <x:v>S0331</x:v>
      </x:c>
      <x:c r="B332" s="1" t="str">
        <x:v>32</x:v>
      </x:c>
      <x:c r="C332" s="1" t="str">
        <x:v>premium</x:v>
      </x:c>
      <x:c r="D332" s="1" t="str">
        <x:v>15.99</x:v>
      </x:c>
      <x:c r="E332" s="1" t="str">
        <x:v>2</x:v>
      </x:c>
      <x:c r="F332" s="1" t="str">
        <x:v>16</x:v>
      </x:c>
      <x:c r="G332" s="1" t="str">
        <x:v>16</x:v>
      </x:c>
      <x:c r="H332" s="1" t="str">
        <x:v>0</x:v>
      </x:c>
      <x:c r="I332" s="1" t="str">
        <x:v>0</x:v>
      </x:c>
      <x:c r="J332" s="1" t="str">
        <x:v>no</x:v>
      </x:c>
      <x:c r="K332" s="1"/>
      <x:c r="L332" s="1"/>
      <x:c r="M332" s="1"/>
      <x:c r="N332" s="1"/>
      <x:c r="O332" s="1"/>
    </x:row>
    <x:row r="333">
      <x:c r="A333" s="1" t="str">
        <x:v>S0332</x:v>
      </x:c>
      <x:c r="B333" s="1" t="str">
        <x:v>23</x:v>
      </x:c>
      <x:c r="C333" s="1" t="str">
        <x:v>basic</x:v>
      </x:c>
      <x:c r="D333" s="1" t="str">
        <x:v>9.99</x:v>
      </x:c>
      <x:c r="E333" s="1" t="str">
        <x:v>0</x:v>
      </x:c>
      <x:c r="F333" s="1" t="str">
        <x:v>11</x:v>
      </x:c>
      <x:c r="G333" s="1" t="str">
        <x:v>5</x:v>
      </x:c>
      <x:c r="H333" s="1" t="str">
        <x:v>2</x:v>
      </x:c>
      <x:c r="I333" s="1" t="str">
        <x:v>0</x:v>
      </x:c>
      <x:c r="J333" s="1" t="str">
        <x:v>no</x:v>
      </x:c>
      <x:c r="K333" s="1"/>
      <x:c r="L333" s="1"/>
      <x:c r="M333" s="1"/>
      <x:c r="N333" s="1"/>
      <x:c r="O333" s="1"/>
    </x:row>
    <x:row r="334">
      <x:c r="A334" s="1" t="str">
        <x:v>S0333</x:v>
      </x:c>
      <x:c r="B334" s="1" t="str">
        <x:v>37</x:v>
      </x:c>
      <x:c r="C334" s="1" t="str">
        <x:v>basic</x:v>
      </x:c>
      <x:c r="D334" s="1" t="str">
        <x:v>9.99</x:v>
      </x:c>
      <x:c r="E334" s="1" t="str">
        <x:v>0</x:v>
      </x:c>
      <x:c r="F334" s="1" t="str">
        <x:v>20</x:v>
      </x:c>
      <x:c r="G334" s="1" t="str">
        <x:v>14</x:v>
      </x:c>
      <x:c r="H334" s="1" t="str">
        <x:v>0</x:v>
      </x:c>
      <x:c r="I334" s="1" t="str">
        <x:v>0</x:v>
      </x:c>
      <x:c r="J334" s="1" t="str">
        <x:v>no</x:v>
      </x:c>
      <x:c r="K334" s="1"/>
      <x:c r="L334" s="1"/>
      <x:c r="M334" s="1"/>
      <x:c r="N334" s="1"/>
      <x:c r="O334" s="1"/>
    </x:row>
    <x:row r="335">
      <x:c r="A335" s="1" t="str">
        <x:v>S0334</x:v>
      </x:c>
      <x:c r="B335" s="1" t="str">
        <x:v>31</x:v>
      </x:c>
      <x:c r="C335" s="1" t="str">
        <x:v>premium</x:v>
      </x:c>
      <x:c r="D335" s="1" t="str">
        <x:v>15.99</x:v>
      </x:c>
      <x:c r="E335" s="1" t="str">
        <x:v>4</x:v>
      </x:c>
      <x:c r="F335" s="1" t="str">
        <x:v>23</x:v>
      </x:c>
      <x:c r="G335" s="1" t="str">
        <x:v>6</x:v>
      </x:c>
      <x:c r="H335" s="1" t="str">
        <x:v>0</x:v>
      </x:c>
      <x:c r="I335" s="1" t="str">
        <x:v>1</x:v>
      </x:c>
      <x:c r="J335" s="1" t="str">
        <x:v>no</x:v>
      </x:c>
      <x:c r="K335" s="1"/>
      <x:c r="L335" s="1"/>
      <x:c r="M335" s="1"/>
      <x:c r="N335" s="1"/>
      <x:c r="O335" s="1"/>
    </x:row>
    <x:row r="336">
      <x:c r="A336" s="1" t="str">
        <x:v>S0335</x:v>
      </x:c>
      <x:c r="B336" s="1" t="str">
        <x:v>34</x:v>
      </x:c>
      <x:c r="C336" s="1" t="str">
        <x:v>basic</x:v>
      </x:c>
      <x:c r="D336" s="1" t="str">
        <x:v>9.99</x:v>
      </x:c>
      <x:c r="E336" s="1" t="str">
        <x:v>2</x:v>
      </x:c>
      <x:c r="F336" s="1" t="str">
        <x:v>15</x:v>
      </x:c>
      <x:c r="G336" s="1" t="str">
        <x:v>21</x:v>
      </x:c>
      <x:c r="H336" s="1" t="str">
        <x:v>0</x:v>
      </x:c>
      <x:c r="I336" s="1" t="str">
        <x:v>0</x:v>
      </x:c>
      <x:c r="J336" s="1" t="str">
        <x:v>no</x:v>
      </x:c>
      <x:c r="K336" s="1"/>
      <x:c r="L336" s="1"/>
      <x:c r="M336" s="1"/>
      <x:c r="N336" s="1"/>
      <x:c r="O336" s="1"/>
    </x:row>
    <x:row r="337">
      <x:c r="A337" s="1" t="str">
        <x:v>S0336</x:v>
      </x:c>
      <x:c r="B337" s="1" t="str">
        <x:v>30</x:v>
      </x:c>
      <x:c r="C337" s="1" t="str">
        <x:v>premium</x:v>
      </x:c>
      <x:c r="D337" s="1" t="str">
        <x:v>15.99</x:v>
      </x:c>
      <x:c r="E337" s="1" t="str">
        <x:v>2</x:v>
      </x:c>
      <x:c r="F337" s="1" t="str">
        <x:v>0</x:v>
      </x:c>
      <x:c r="G337" s="1" t="str">
        <x:v>44</x:v>
      </x:c>
      <x:c r="H337" s="1" t="str">
        <x:v>0</x:v>
      </x:c>
      <x:c r="I337" s="1" t="str">
        <x:v>0</x:v>
      </x:c>
      <x:c r="J337" s="1" t="str">
        <x:v>yes</x:v>
      </x:c>
      <x:c r="K337" s="1"/>
      <x:c r="L337" s="1"/>
      <x:c r="M337" s="1"/>
      <x:c r="N337" s="1"/>
      <x:c r="O337" s="1"/>
    </x:row>
    <x:row r="338">
      <x:c r="A338" s="1" t="str">
        <x:v>S0337</x:v>
      </x:c>
      <x:c r="B338" s="1" t="str">
        <x:v>40</x:v>
      </x:c>
      <x:c r="C338" s="1" t="str">
        <x:v>premium</x:v>
      </x:c>
      <x:c r="D338" s="1" t="str">
        <x:v>15.99</x:v>
      </x:c>
      <x:c r="E338" s="1" t="str">
        <x:v>2</x:v>
      </x:c>
      <x:c r="F338" s="1" t="str">
        <x:v>18</x:v>
      </x:c>
      <x:c r="G338" s="1" t="str">
        <x:v>20</x:v>
      </x:c>
      <x:c r="H338" s="1" t="str">
        <x:v>0</x:v>
      </x:c>
      <x:c r="I338" s="1" t="str">
        <x:v>0</x:v>
      </x:c>
      <x:c r="J338" s="1" t="str">
        <x:v>no</x:v>
      </x:c>
      <x:c r="K338" s="1"/>
      <x:c r="L338" s="1"/>
      <x:c r="M338" s="1"/>
      <x:c r="N338" s="1"/>
      <x:c r="O338" s="1"/>
    </x:row>
    <x:row r="339">
      <x:c r="A339" s="1" t="str">
        <x:v>S0338</x:v>
      </x:c>
      <x:c r="B339" s="1" t="str">
        <x:v>22</x:v>
      </x:c>
      <x:c r="C339" s="1" t="str">
        <x:v>basic</x:v>
      </x:c>
      <x:c r="D339" s="1" t="str">
        <x:v>9.99</x:v>
      </x:c>
      <x:c r="E339" s="1" t="str">
        <x:v>0</x:v>
      </x:c>
      <x:c r="F339" s="1" t="str">
        <x:v>15</x:v>
      </x:c>
      <x:c r="G339" s="1" t="str">
        <x:v>0</x:v>
      </x:c>
      <x:c r="H339" s="1" t="str">
        <x:v>0</x:v>
      </x:c>
      <x:c r="I339" s="1" t="str">
        <x:v>0</x:v>
      </x:c>
      <x:c r="J339" s="1" t="str">
        <x:v>no</x:v>
      </x:c>
      <x:c r="K339" s="1"/>
      <x:c r="L339" s="1"/>
      <x:c r="M339" s="1"/>
      <x:c r="N339" s="1"/>
      <x:c r="O339" s="1"/>
    </x:row>
    <x:row r="340">
      <x:c r="A340" s="1" t="str">
        <x:v>S0339</x:v>
      </x:c>
      <x:c r="B340" s="1" t="str">
        <x:v>1</x:v>
      </x:c>
      <x:c r="C340" s="1" t="str">
        <x:v>basic</x:v>
      </x:c>
      <x:c r="D340" s="1" t="str">
        <x:v>9.99</x:v>
      </x:c>
      <x:c r="E340" s="1" t="str">
        <x:v>3</x:v>
      </x:c>
      <x:c r="F340" s="1" t="str">
        <x:v>16</x:v>
      </x:c>
      <x:c r="G340" s="1" t="str">
        <x:v>19</x:v>
      </x:c>
      <x:c r="H340" s="1" t="str">
        <x:v>0</x:v>
      </x:c>
      <x:c r="I340" s="1" t="str">
        <x:v>0</x:v>
      </x:c>
      <x:c r="J340" s="1" t="str">
        <x:v>yes</x:v>
      </x:c>
      <x:c r="K340" s="1"/>
      <x:c r="L340" s="1"/>
      <x:c r="M340" s="1"/>
      <x:c r="N340" s="1"/>
      <x:c r="O340" s="1"/>
    </x:row>
    <x:row r="341">
      <x:c r="A341" s="1" t="str">
        <x:v>S0340</x:v>
      </x:c>
      <x:c r="B341" s="1" t="str">
        <x:v>38</x:v>
      </x:c>
      <x:c r="C341" s="1" t="str">
        <x:v>basic</x:v>
      </x:c>
      <x:c r="D341" s="1" t="str">
        <x:v>9.99</x:v>
      </x:c>
      <x:c r="E341" s="1" t="str">
        <x:v>1</x:v>
      </x:c>
      <x:c r="F341" s="1" t="str">
        <x:v>20</x:v>
      </x:c>
      <x:c r="G341" s="1" t="str">
        <x:v>2</x:v>
      </x:c>
      <x:c r="H341" s="1" t="str">
        <x:v>0</x:v>
      </x:c>
      <x:c r="I341" s="1" t="str">
        <x:v>1</x:v>
      </x:c>
      <x:c r="J341" s="1" t="str">
        <x:v>no</x:v>
      </x:c>
      <x:c r="K341" s="1"/>
      <x:c r="L341" s="1"/>
      <x:c r="M341" s="1"/>
      <x:c r="N341" s="1"/>
      <x:c r="O341" s="1"/>
    </x:row>
    <x:row r="342">
      <x:c r="A342" s="1" t="str">
        <x:v>S0341</x:v>
      </x:c>
      <x:c r="B342" s="1" t="str">
        <x:v>12</x:v>
      </x:c>
      <x:c r="C342" s="1" t="str">
        <x:v>basic</x:v>
      </x:c>
      <x:c r="D342" s="1" t="str">
        <x:v>9.99</x:v>
      </x:c>
      <x:c r="E342" s="1" t="str">
        <x:v>2</x:v>
      </x:c>
      <x:c r="F342" s="1" t="str">
        <x:v>30</x:v>
      </x:c>
      <x:c r="G342" s="1" t="str">
        <x:v>2</x:v>
      </x:c>
      <x:c r="H342" s="1" t="str">
        <x:v>0</x:v>
      </x:c>
      <x:c r="I342" s="1" t="str">
        <x:v>0</x:v>
      </x:c>
      <x:c r="J342" s="1" t="str">
        <x:v>no</x:v>
      </x:c>
      <x:c r="K342" s="1"/>
      <x:c r="L342" s="1"/>
      <x:c r="M342" s="1"/>
      <x:c r="N342" s="1"/>
      <x:c r="O342" s="1"/>
    </x:row>
    <x:row r="343">
      <x:c r="A343" s="1" t="str">
        <x:v>S0342</x:v>
      </x:c>
      <x:c r="B343" s="1" t="str">
        <x:v>36</x:v>
      </x:c>
      <x:c r="C343" s="1" t="str">
        <x:v>basic</x:v>
      </x:c>
      <x:c r="D343" s="1" t="str">
        <x:v>9.99</x:v>
      </x:c>
      <x:c r="E343" s="1" t="str">
        <x:v>1</x:v>
      </x:c>
      <x:c r="F343" s="1" t="str">
        <x:v>0</x:v>
      </x:c>
      <x:c r="G343" s="1" t="str">
        <x:v>38</x:v>
      </x:c>
      <x:c r="H343" s="1" t="str">
        <x:v>0</x:v>
      </x:c>
      <x:c r="I343" s="1" t="str">
        <x:v>0</x:v>
      </x:c>
      <x:c r="J343" s="1" t="str">
        <x:v>yes</x:v>
      </x:c>
      <x:c r="K343" s="1"/>
      <x:c r="L343" s="1"/>
      <x:c r="M343" s="1"/>
      <x:c r="N343" s="1"/>
      <x:c r="O343" s="1"/>
    </x:row>
    <x:row r="344">
      <x:c r="A344" s="1" t="str">
        <x:v>S0343</x:v>
      </x:c>
      <x:c r="B344" s="1" t="str">
        <x:v>30</x:v>
      </x:c>
      <x:c r="C344" s="1" t="str">
        <x:v>basic</x:v>
      </x:c>
      <x:c r="D344" s="1" t="str">
        <x:v>9.99</x:v>
      </x:c>
      <x:c r="E344" s="1" t="str">
        <x:v>1</x:v>
      </x:c>
      <x:c r="F344" s="1" t="str">
        <x:v>11</x:v>
      </x:c>
      <x:c r="G344" s="1" t="str">
        <x:v>5</x:v>
      </x:c>
      <x:c r="H344" s="1" t="str">
        <x:v>0</x:v>
      </x:c>
      <x:c r="I344" s="1" t="str">
        <x:v>1</x:v>
      </x:c>
      <x:c r="J344" s="1" t="str">
        <x:v>no</x:v>
      </x:c>
      <x:c r="K344" s="1"/>
      <x:c r="L344" s="1"/>
      <x:c r="M344" s="1"/>
      <x:c r="N344" s="1"/>
      <x:c r="O344" s="1"/>
    </x:row>
    <x:row r="345">
      <x:c r="A345" s="1" t="str">
        <x:v>S0344</x:v>
      </x:c>
      <x:c r="B345" s="1" t="str">
        <x:v>35</x:v>
      </x:c>
      <x:c r="C345" s="1" t="str">
        <x:v>premium</x:v>
      </x:c>
      <x:c r="D345" s="1" t="str">
        <x:v>15.99</x:v>
      </x:c>
      <x:c r="E345" s="1" t="str">
        <x:v>4</x:v>
      </x:c>
      <x:c r="F345" s="1" t="str">
        <x:v>16</x:v>
      </x:c>
      <x:c r="G345" s="1" t="str">
        <x:v>22</x:v>
      </x:c>
      <x:c r="H345" s="1" t="str">
        <x:v>0</x:v>
      </x:c>
      <x:c r="I345" s="1" t="str">
        <x:v>0</x:v>
      </x:c>
      <x:c r="J345" s="1" t="str">
        <x:v>yes</x:v>
      </x:c>
      <x:c r="K345" s="1"/>
      <x:c r="L345" s="1"/>
      <x:c r="M345" s="1"/>
      <x:c r="N345" s="1"/>
      <x:c r="O345" s="1"/>
    </x:row>
    <x:row r="346">
      <x:c r="A346" s="1" t="str">
        <x:v>S0345</x:v>
      </x:c>
      <x:c r="B346" s="1" t="str">
        <x:v>43</x:v>
      </x:c>
      <x:c r="C346" s="1" t="str">
        <x:v>basic</x:v>
      </x:c>
      <x:c r="D346" s="1" t="str">
        <x:v>9.99</x:v>
      </x:c>
      <x:c r="E346" s="1" t="str">
        <x:v>1</x:v>
      </x:c>
      <x:c r="F346" s="1" t="str">
        <x:v>23</x:v>
      </x:c>
      <x:c r="G346" s="1" t="str">
        <x:v>0</x:v>
      </x:c>
      <x:c r="H346" s="1" t="str">
        <x:v>0</x:v>
      </x:c>
      <x:c r="I346" s="1" t="str">
        <x:v>1</x:v>
      </x:c>
      <x:c r="J346" s="1" t="str">
        <x:v>no</x:v>
      </x:c>
      <x:c r="K346" s="1"/>
      <x:c r="L346" s="1"/>
      <x:c r="M346" s="1"/>
      <x:c r="N346" s="1"/>
      <x:c r="O346" s="1"/>
    </x:row>
    <x:row r="347">
      <x:c r="A347" s="1" t="str">
        <x:v>S0346</x:v>
      </x:c>
      <x:c r="B347" s="1" t="str">
        <x:v>19</x:v>
      </x:c>
      <x:c r="C347" s="1" t="str">
        <x:v>premium</x:v>
      </x:c>
      <x:c r="D347" s="1" t="str">
        <x:v>15.99</x:v>
      </x:c>
      <x:c r="E347" s="1" t="str">
        <x:v>0</x:v>
      </x:c>
      <x:c r="F347" s="1" t="str">
        <x:v>11</x:v>
      </x:c>
      <x:c r="G347" s="1" t="str">
        <x:v>7</x:v>
      </x:c>
      <x:c r="H347" s="1" t="str">
        <x:v>0</x:v>
      </x:c>
      <x:c r="I347" s="1" t="str">
        <x:v>1</x:v>
      </x:c>
      <x:c r="J347" s="1" t="str">
        <x:v>no</x:v>
      </x:c>
      <x:c r="K347" s="1"/>
      <x:c r="L347" s="1"/>
      <x:c r="M347" s="1"/>
      <x:c r="N347" s="1"/>
      <x:c r="O347" s="1"/>
    </x:row>
    <x:row r="348">
      <x:c r="A348" s="1" t="str">
        <x:v>S0347</x:v>
      </x:c>
      <x:c r="B348" s="1" t="str">
        <x:v>22</x:v>
      </x:c>
      <x:c r="C348" s="1" t="str">
        <x:v>premium</x:v>
      </x:c>
      <x:c r="D348" s="1" t="str">
        <x:v>15.99</x:v>
      </x:c>
      <x:c r="E348" s="1" t="str">
        <x:v>0</x:v>
      </x:c>
      <x:c r="F348" s="1" t="str">
        <x:v>18</x:v>
      </x:c>
      <x:c r="G348" s="1" t="str">
        <x:v>5</x:v>
      </x:c>
      <x:c r="H348" s="1" t="str">
        <x:v>0</x:v>
      </x:c>
      <x:c r="I348" s="1" t="str">
        <x:v>0</x:v>
      </x:c>
      <x:c r="J348" s="1" t="str">
        <x:v>no</x:v>
      </x:c>
      <x:c r="K348" s="1"/>
      <x:c r="L348" s="1"/>
      <x:c r="M348" s="1"/>
      <x:c r="N348" s="1"/>
      <x:c r="O348" s="1"/>
    </x:row>
    <x:row r="349">
      <x:c r="A349" s="1" t="str">
        <x:v>S0348</x:v>
      </x:c>
      <x:c r="B349" s="1" t="str">
        <x:v>18</x:v>
      </x:c>
      <x:c r="C349" s="1" t="str">
        <x:v>basic</x:v>
      </x:c>
      <x:c r="D349" s="1" t="str">
        <x:v>9.99</x:v>
      </x:c>
      <x:c r="E349" s="1" t="str">
        <x:v>1</x:v>
      </x:c>
      <x:c r="F349" s="1" t="str">
        <x:v>15</x:v>
      </x:c>
      <x:c r="G349" s="1" t="str">
        <x:v>11</x:v>
      </x:c>
      <x:c r="H349" s="1" t="str">
        <x:v>0</x:v>
      </x:c>
      <x:c r="I349" s="1" t="str">
        <x:v>0</x:v>
      </x:c>
      <x:c r="J349" s="1" t="str">
        <x:v>no</x:v>
      </x:c>
      <x:c r="K349" s="1"/>
      <x:c r="L349" s="1"/>
      <x:c r="M349" s="1"/>
      <x:c r="N349" s="1"/>
      <x:c r="O349" s="1"/>
    </x:row>
    <x:row r="350">
      <x:c r="A350" s="1" t="str">
        <x:v>S0349</x:v>
      </x:c>
      <x:c r="B350" s="1" t="str">
        <x:v>9</x:v>
      </x:c>
      <x:c r="C350" s="1" t="str">
        <x:v>premium</x:v>
      </x:c>
      <x:c r="D350" s="1" t="str">
        <x:v>15.99</x:v>
      </x:c>
      <x:c r="E350" s="1" t="str">
        <x:v>1</x:v>
      </x:c>
      <x:c r="F350" s="1" t="str">
        <x:v>14</x:v>
      </x:c>
      <x:c r="G350" s="1" t="str">
        <x:v>4</x:v>
      </x:c>
      <x:c r="H350" s="1" t="str">
        <x:v>0</x:v>
      </x:c>
      <x:c r="I350" s="1" t="str">
        <x:v>0</x:v>
      </x:c>
      <x:c r="J350" s="1" t="str">
        <x:v>no</x:v>
      </x:c>
      <x:c r="K350" s="1"/>
      <x:c r="L350" s="1"/>
      <x:c r="M350" s="1"/>
      <x:c r="N350" s="1"/>
      <x:c r="O350" s="1"/>
    </x:row>
    <x:row r="351">
      <x:c r="A351" s="1" t="str">
        <x:v>S0350</x:v>
      </x:c>
      <x:c r="B351" s="1" t="str">
        <x:v>1</x:v>
      </x:c>
      <x:c r="C351" s="1" t="str">
        <x:v>basic</x:v>
      </x:c>
      <x:c r="D351" s="1" t="str">
        <x:v>9.99</x:v>
      </x:c>
      <x:c r="E351" s="1" t="str">
        <x:v>4</x:v>
      </x:c>
      <x:c r="F351" s="1" t="str">
        <x:v>19</x:v>
      </x:c>
      <x:c r="G351" s="1" t="str">
        <x:v>5</x:v>
      </x:c>
      <x:c r="H351" s="1" t="str">
        <x:v>0</x:v>
      </x:c>
      <x:c r="I351" s="1" t="str">
        <x:v>0</x:v>
      </x:c>
      <x:c r="J351" s="1" t="str">
        <x:v>yes</x:v>
      </x:c>
      <x:c r="K351" s="1"/>
      <x:c r="L351" s="1"/>
      <x:c r="M351" s="1"/>
      <x:c r="N351" s="1"/>
      <x:c r="O351" s="1"/>
    </x:row>
    <x:row r="352">
      <x:c r="A352" s="1" t="str">
        <x:v>S0351</x:v>
      </x:c>
      <x:c r="B352" s="1" t="str">
        <x:v>43</x:v>
      </x:c>
      <x:c r="C352" s="1" t="str">
        <x:v>premium</x:v>
      </x:c>
      <x:c r="D352" s="1" t="str">
        <x:v>15.99</x:v>
      </x:c>
      <x:c r="E352" s="1" t="str">
        <x:v>2</x:v>
      </x:c>
      <x:c r="F352" s="1" t="str">
        <x:v>9</x:v>
      </x:c>
      <x:c r="G352" s="1" t="str">
        <x:v>7</x:v>
      </x:c>
      <x:c r="H352" s="1" t="str">
        <x:v>0</x:v>
      </x:c>
      <x:c r="I352" s="1" t="str">
        <x:v>0</x:v>
      </x:c>
      <x:c r="J352" s="1" t="str">
        <x:v>no</x:v>
      </x:c>
      <x:c r="K352" s="1"/>
      <x:c r="L352" s="1"/>
      <x:c r="M352" s="1"/>
      <x:c r="N352" s="1"/>
      <x:c r="O352" s="1"/>
    </x:row>
    <x:row r="353">
      <x:c r="A353" s="1" t="str">
        <x:v>S0352</x:v>
      </x:c>
      <x:c r="B353" s="1" t="str">
        <x:v>19</x:v>
      </x:c>
      <x:c r="C353" s="1" t="str">
        <x:v>premium</x:v>
      </x:c>
      <x:c r="D353" s="1" t="str">
        <x:v>15.99</x:v>
      </x:c>
      <x:c r="E353" s="1" t="str">
        <x:v>4</x:v>
      </x:c>
      <x:c r="F353" s="1" t="str">
        <x:v>11</x:v>
      </x:c>
      <x:c r="G353" s="1" t="str">
        <x:v>6</x:v>
      </x:c>
      <x:c r="H353" s="1" t="str">
        <x:v>0</x:v>
      </x:c>
      <x:c r="I353" s="1" t="str">
        <x:v>0</x:v>
      </x:c>
      <x:c r="J353" s="1" t="str">
        <x:v>no</x:v>
      </x:c>
      <x:c r="K353" s="1"/>
      <x:c r="L353" s="1"/>
      <x:c r="M353" s="1"/>
      <x:c r="N353" s="1"/>
      <x:c r="O353" s="1"/>
    </x:row>
    <x:row r="354">
      <x:c r="A354" s="1" t="str">
        <x:v>S0353</x:v>
      </x:c>
      <x:c r="B354" s="1" t="str">
        <x:v>19</x:v>
      </x:c>
      <x:c r="C354" s="1" t="str">
        <x:v>basic</x:v>
      </x:c>
      <x:c r="D354" s="1" t="str">
        <x:v>9.99</x:v>
      </x:c>
      <x:c r="E354" s="1" t="str">
        <x:v>0</x:v>
      </x:c>
      <x:c r="F354" s="1" t="str">
        <x:v>6</x:v>
      </x:c>
      <x:c r="G354" s="1" t="str">
        <x:v>7</x:v>
      </x:c>
      <x:c r="H354" s="1" t="str">
        <x:v>0</x:v>
      </x:c>
      <x:c r="I354" s="1" t="str">
        <x:v>0</x:v>
      </x:c>
      <x:c r="J354" s="1" t="str">
        <x:v>no</x:v>
      </x:c>
      <x:c r="K354" s="1"/>
      <x:c r="L354" s="1"/>
      <x:c r="M354" s="1"/>
      <x:c r="N354" s="1"/>
      <x:c r="O354" s="1"/>
    </x:row>
    <x:row r="355">
      <x:c r="A355" s="1" t="str">
        <x:v>S0354</x:v>
      </x:c>
      <x:c r="B355" s="1" t="str">
        <x:v>17</x:v>
      </x:c>
      <x:c r="C355" s="1" t="str">
        <x:v>basic</x:v>
      </x:c>
      <x:c r="D355" s="1" t="str">
        <x:v>9.99</x:v>
      </x:c>
      <x:c r="E355" s="1" t="str">
        <x:v>0</x:v>
      </x:c>
      <x:c r="F355" s="1" t="str">
        <x:v>15</x:v>
      </x:c>
      <x:c r="G355" s="1" t="str">
        <x:v>3</x:v>
      </x:c>
      <x:c r="H355" s="1" t="str">
        <x:v>0</x:v>
      </x:c>
      <x:c r="I355" s="1" t="str">
        <x:v>1</x:v>
      </x:c>
      <x:c r="J355" s="1" t="str">
        <x:v>no</x:v>
      </x:c>
      <x:c r="K355" s="1"/>
      <x:c r="L355" s="1"/>
      <x:c r="M355" s="1"/>
      <x:c r="N355" s="1"/>
      <x:c r="O355" s="1"/>
    </x:row>
    <x:row r="356">
      <x:c r="A356" s="1" t="str">
        <x:v>S0355</x:v>
      </x:c>
      <x:c r="B356" s="1" t="str">
        <x:v>13</x:v>
      </x:c>
      <x:c r="C356" s="1" t="str">
        <x:v>premium</x:v>
      </x:c>
      <x:c r="D356" s="1" t="str">
        <x:v>15.99</x:v>
      </x:c>
      <x:c r="E356" s="1" t="str">
        <x:v>0</x:v>
      </x:c>
      <x:c r="F356" s="1" t="str">
        <x:v>0</x:v>
      </x:c>
      <x:c r="G356" s="1" t="str">
        <x:v>50</x:v>
      </x:c>
      <x:c r="H356" s="1" t="str">
        <x:v>0</x:v>
      </x:c>
      <x:c r="I356" s="1" t="str">
        <x:v>0</x:v>
      </x:c>
      <x:c r="J356" s="1" t="str">
        <x:v>no</x:v>
      </x:c>
      <x:c r="K356" s="1"/>
      <x:c r="L356" s="1"/>
      <x:c r="M356" s="1"/>
      <x:c r="N356" s="1"/>
      <x:c r="O356" s="1"/>
    </x:row>
    <x:row r="357">
      <x:c r="A357" s="1" t="str">
        <x:v>S0356</x:v>
      </x:c>
      <x:c r="B357" s="1" t="str">
        <x:v>40</x:v>
      </x:c>
      <x:c r="C357" s="1" t="str">
        <x:v>premium</x:v>
      </x:c>
      <x:c r="D357" s="1" t="str">
        <x:v>15.99</x:v>
      </x:c>
      <x:c r="E357" s="1" t="str">
        <x:v>1</x:v>
      </x:c>
      <x:c r="F357" s="1" t="str">
        <x:v>0</x:v>
      </x:c>
      <x:c r="G357" s="1" t="str">
        <x:v>33</x:v>
      </x:c>
      <x:c r="H357" s="1" t="str">
        <x:v>0</x:v>
      </x:c>
      <x:c r="I357" s="1" t="str">
        <x:v>1</x:v>
      </x:c>
      <x:c r="J357" s="1" t="str">
        <x:v>no</x:v>
      </x:c>
      <x:c r="K357" s="1"/>
      <x:c r="L357" s="1"/>
      <x:c r="M357" s="1"/>
      <x:c r="N357" s="1"/>
      <x:c r="O357" s="1"/>
    </x:row>
    <x:row r="358">
      <x:c r="A358" s="1" t="str">
        <x:v>S0357</x:v>
      </x:c>
      <x:c r="B358" s="1" t="str">
        <x:v>3</x:v>
      </x:c>
      <x:c r="C358" s="1" t="str">
        <x:v>premium</x:v>
      </x:c>
      <x:c r="D358" s="1" t="str">
        <x:v>15.99</x:v>
      </x:c>
      <x:c r="E358" s="1" t="str">
        <x:v>1</x:v>
      </x:c>
      <x:c r="F358" s="1" t="str">
        <x:v>7</x:v>
      </x:c>
      <x:c r="G358" s="1" t="str">
        <x:v>19</x:v>
      </x:c>
      <x:c r="H358" s="1" t="str">
        <x:v>0</x:v>
      </x:c>
      <x:c r="I358" s="1" t="str">
        <x:v>0</x:v>
      </x:c>
      <x:c r="J358" s="1" t="str">
        <x:v>yes</x:v>
      </x:c>
      <x:c r="K358" s="1"/>
      <x:c r="L358" s="1"/>
      <x:c r="M358" s="1"/>
      <x:c r="N358" s="1"/>
      <x:c r="O358" s="1"/>
    </x:row>
    <x:row r="359">
      <x:c r="A359" s="1" t="str">
        <x:v>S0358</x:v>
      </x:c>
      <x:c r="B359" s="1" t="str">
        <x:v>48</x:v>
      </x:c>
      <x:c r="C359" s="1" t="str">
        <x:v>premium</x:v>
      </x:c>
      <x:c r="D359" s="1" t="str">
        <x:v>15.99</x:v>
      </x:c>
      <x:c r="E359" s="1" t="str">
        <x:v>0</x:v>
      </x:c>
      <x:c r="F359" s="1" t="str">
        <x:v>17</x:v>
      </x:c>
      <x:c r="G359" s="1" t="str">
        <x:v>1</x:v>
      </x:c>
      <x:c r="H359" s="1" t="str">
        <x:v>0</x:v>
      </x:c>
      <x:c r="I359" s="1" t="str">
        <x:v>1</x:v>
      </x:c>
      <x:c r="J359" s="1" t="str">
        <x:v>no</x:v>
      </x:c>
      <x:c r="K359" s="1"/>
      <x:c r="L359" s="1"/>
      <x:c r="M359" s="1"/>
      <x:c r="N359" s="1"/>
      <x:c r="O359" s="1"/>
    </x:row>
    <x:row r="360">
      <x:c r="A360" s="1" t="str">
        <x:v>S0359</x:v>
      </x:c>
      <x:c r="B360" s="1" t="str">
        <x:v>24</x:v>
      </x:c>
      <x:c r="C360" s="1" t="str">
        <x:v>basic</x:v>
      </x:c>
      <x:c r="D360" s="1" t="str">
        <x:v>9.99</x:v>
      </x:c>
      <x:c r="E360" s="1" t="str">
        <x:v>0</x:v>
      </x:c>
      <x:c r="F360" s="1" t="str">
        <x:v>17</x:v>
      </x:c>
      <x:c r="G360" s="1" t="str">
        <x:v>10</x:v>
      </x:c>
      <x:c r="H360" s="1" t="str">
        <x:v>0</x:v>
      </x:c>
      <x:c r="I360" s="1" t="str">
        <x:v>1</x:v>
      </x:c>
      <x:c r="J360" s="1" t="str">
        <x:v>no</x:v>
      </x:c>
      <x:c r="K360" s="1"/>
      <x:c r="L360" s="1"/>
      <x:c r="M360" s="1"/>
      <x:c r="N360" s="1"/>
      <x:c r="O360" s="1"/>
    </x:row>
    <x:row r="361">
      <x:c r="A361" s="1" t="str">
        <x:v>S0360</x:v>
      </x:c>
      <x:c r="B361" s="1" t="str">
        <x:v>18</x:v>
      </x:c>
      <x:c r="C361" s="1" t="str">
        <x:v>basic</x:v>
      </x:c>
      <x:c r="D361" s="1" t="str">
        <x:v>9.99</x:v>
      </x:c>
      <x:c r="E361" s="1" t="str">
        <x:v>3</x:v>
      </x:c>
      <x:c r="F361" s="1" t="str">
        <x:v>17</x:v>
      </x:c>
      <x:c r="G361" s="1" t="str">
        <x:v>7</x:v>
      </x:c>
      <x:c r="H361" s="1" t="str">
        <x:v>0</x:v>
      </x:c>
      <x:c r="I361" s="1" t="str">
        <x:v>0</x:v>
      </x:c>
      <x:c r="J361" s="1" t="str">
        <x:v>no</x:v>
      </x:c>
      <x:c r="K361" s="1"/>
      <x:c r="L361" s="1"/>
      <x:c r="M361" s="1"/>
      <x:c r="N361" s="1"/>
      <x:c r="O361" s="1"/>
    </x:row>
    <x:row r="362">
      <x:c r="A362" s="1" t="str">
        <x:v>S0361</x:v>
      </x:c>
      <x:c r="B362" s="1" t="str">
        <x:v>46</x:v>
      </x:c>
      <x:c r="C362" s="1" t="str">
        <x:v>premium</x:v>
      </x:c>
      <x:c r="D362" s="1" t="str">
        <x:v>15.99</x:v>
      </x:c>
      <x:c r="E362" s="1" t="str">
        <x:v>0</x:v>
      </x:c>
      <x:c r="F362" s="1" t="str">
        <x:v>32</x:v>
      </x:c>
      <x:c r="G362" s="1" t="str">
        <x:v>6</x:v>
      </x:c>
      <x:c r="H362" s="1" t="str">
        <x:v>1</x:v>
      </x:c>
      <x:c r="I362" s="1" t="str">
        <x:v>1</x:v>
      </x:c>
      <x:c r="J362" s="1" t="str">
        <x:v>no</x:v>
      </x:c>
      <x:c r="K362" s="1"/>
      <x:c r="L362" s="1"/>
      <x:c r="M362" s="1"/>
      <x:c r="N362" s="1"/>
      <x:c r="O362" s="1"/>
    </x:row>
    <x:row r="363">
      <x:c r="A363" s="1" t="str">
        <x:v>S0362</x:v>
      </x:c>
      <x:c r="B363" s="1" t="str">
        <x:v>26</x:v>
      </x:c>
      <x:c r="C363" s="1" t="str">
        <x:v>basic</x:v>
      </x:c>
      <x:c r="D363" s="1" t="str">
        <x:v>9.99</x:v>
      </x:c>
      <x:c r="E363" s="1" t="str">
        <x:v>4</x:v>
      </x:c>
      <x:c r="F363" s="1" t="str">
        <x:v>18</x:v>
      </x:c>
      <x:c r="G363" s="1" t="str">
        <x:v>0</x:v>
      </x:c>
      <x:c r="H363" s="1" t="str">
        <x:v>0</x:v>
      </x:c>
      <x:c r="I363" s="1" t="str">
        <x:v>1</x:v>
      </x:c>
      <x:c r="J363" s="1" t="str">
        <x:v>yes</x:v>
      </x:c>
      <x:c r="K363" s="1"/>
      <x:c r="L363" s="1"/>
      <x:c r="M363" s="1"/>
      <x:c r="N363" s="1"/>
      <x:c r="O363" s="1"/>
    </x:row>
    <x:row r="364">
      <x:c r="A364" s="1" t="str">
        <x:v>S0363</x:v>
      </x:c>
      <x:c r="B364" s="1" t="str">
        <x:v>29</x:v>
      </x:c>
      <x:c r="C364" s="1" t="str">
        <x:v>premium</x:v>
      </x:c>
      <x:c r="D364" s="1" t="str">
        <x:v>15.99</x:v>
      </x:c>
      <x:c r="E364" s="1" t="str">
        <x:v>0</x:v>
      </x:c>
      <x:c r="F364" s="1" t="str">
        <x:v>27</x:v>
      </x:c>
      <x:c r="G364" s="1" t="str">
        <x:v>16</x:v>
      </x:c>
      <x:c r="H364" s="1" t="str">
        <x:v>2</x:v>
      </x:c>
      <x:c r="I364" s="1" t="str">
        <x:v>0</x:v>
      </x:c>
      <x:c r="J364" s="1" t="str">
        <x:v>no</x:v>
      </x:c>
      <x:c r="K364" s="1"/>
      <x:c r="L364" s="1"/>
      <x:c r="M364" s="1"/>
      <x:c r="N364" s="1"/>
      <x:c r="O364" s="1"/>
    </x:row>
    <x:row r="365">
      <x:c r="A365" s="1" t="str">
        <x:v>S0364</x:v>
      </x:c>
      <x:c r="B365" s="1" t="str">
        <x:v>27</x:v>
      </x:c>
      <x:c r="C365" s="1" t="str">
        <x:v>basic</x:v>
      </x:c>
      <x:c r="D365" s="1" t="str">
        <x:v>9.99</x:v>
      </x:c>
      <x:c r="E365" s="1" t="str">
        <x:v>0</x:v>
      </x:c>
      <x:c r="F365" s="1" t="str">
        <x:v>20</x:v>
      </x:c>
      <x:c r="G365" s="1" t="str">
        <x:v>2</x:v>
      </x:c>
      <x:c r="H365" s="1" t="str">
        <x:v>2</x:v>
      </x:c>
      <x:c r="I365" s="1" t="str">
        <x:v>0</x:v>
      </x:c>
      <x:c r="J365" s="1" t="str">
        <x:v>no</x:v>
      </x:c>
      <x:c r="K365" s="1"/>
      <x:c r="L365" s="1"/>
      <x:c r="M365" s="1"/>
      <x:c r="N365" s="1"/>
      <x:c r="O365" s="1"/>
    </x:row>
    <x:row r="366">
      <x:c r="A366" s="1" t="str">
        <x:v>S0365</x:v>
      </x:c>
      <x:c r="B366" s="1" t="str">
        <x:v>3</x:v>
      </x:c>
      <x:c r="C366" s="1" t="str">
        <x:v>premium</x:v>
      </x:c>
      <x:c r="D366" s="1" t="str">
        <x:v>15.99</x:v>
      </x:c>
      <x:c r="E366" s="1" t="str">
        <x:v>1</x:v>
      </x:c>
      <x:c r="F366" s="1" t="str">
        <x:v>12</x:v>
      </x:c>
      <x:c r="G366" s="1" t="str">
        <x:v>29</x:v>
      </x:c>
      <x:c r="H366" s="1" t="str">
        <x:v>0</x:v>
      </x:c>
      <x:c r="I366" s="1" t="str">
        <x:v>0</x:v>
      </x:c>
      <x:c r="J366" s="1" t="str">
        <x:v>yes</x:v>
      </x:c>
      <x:c r="K366" s="1"/>
      <x:c r="L366" s="1"/>
      <x:c r="M366" s="1"/>
      <x:c r="N366" s="1"/>
      <x:c r="O366" s="1"/>
    </x:row>
    <x:row r="367">
      <x:c r="A367" s="1" t="str">
        <x:v>S0366</x:v>
      </x:c>
      <x:c r="B367" s="1" t="str">
        <x:v>38</x:v>
      </x:c>
      <x:c r="C367" s="1" t="str">
        <x:v>premium</x:v>
      </x:c>
      <x:c r="D367" s="1" t="str">
        <x:v>15.99</x:v>
      </x:c>
      <x:c r="E367" s="1" t="str">
        <x:v>2</x:v>
      </x:c>
      <x:c r="F367" s="1" t="str">
        <x:v>29</x:v>
      </x:c>
      <x:c r="G367" s="1" t="str">
        <x:v>1</x:v>
      </x:c>
      <x:c r="H367" s="1" t="str">
        <x:v>0</x:v>
      </x:c>
      <x:c r="I367" s="1" t="str">
        <x:v>0</x:v>
      </x:c>
      <x:c r="J367" s="1" t="str">
        <x:v>no</x:v>
      </x:c>
      <x:c r="K367" s="1"/>
      <x:c r="L367" s="1"/>
      <x:c r="M367" s="1"/>
      <x:c r="N367" s="1"/>
      <x:c r="O367" s="1"/>
    </x:row>
    <x:row r="368">
      <x:c r="A368" s="1" t="str">
        <x:v>S0367</x:v>
      </x:c>
      <x:c r="B368" s="1" t="str">
        <x:v>13</x:v>
      </x:c>
      <x:c r="C368" s="1" t="str">
        <x:v>basic</x:v>
      </x:c>
      <x:c r="D368" s="1" t="str">
        <x:v>9.99</x:v>
      </x:c>
      <x:c r="E368" s="1" t="str">
        <x:v>1</x:v>
      </x:c>
      <x:c r="F368" s="1" t="str">
        <x:v>13</x:v>
      </x:c>
      <x:c r="G368" s="1" t="str">
        <x:v>3</x:v>
      </x:c>
      <x:c r="H368" s="1" t="str">
        <x:v>0</x:v>
      </x:c>
      <x:c r="I368" s="1" t="str">
        <x:v>0</x:v>
      </x:c>
      <x:c r="J368" s="1" t="str">
        <x:v>no</x:v>
      </x:c>
      <x:c r="K368" s="1"/>
      <x:c r="L368" s="1"/>
      <x:c r="M368" s="1"/>
      <x:c r="N368" s="1"/>
      <x:c r="O368" s="1"/>
    </x:row>
    <x:row r="369">
      <x:c r="A369" s="1" t="str">
        <x:v>S0368</x:v>
      </x:c>
      <x:c r="B369" s="1" t="str">
        <x:v>11</x:v>
      </x:c>
      <x:c r="C369" s="1" t="str">
        <x:v>basic</x:v>
      </x:c>
      <x:c r="D369" s="1" t="str">
        <x:v>9.99</x:v>
      </x:c>
      <x:c r="E369" s="1" t="str">
        <x:v>0</x:v>
      </x:c>
      <x:c r="F369" s="1" t="str">
        <x:v>17</x:v>
      </x:c>
      <x:c r="G369" s="1" t="str">
        <x:v>4</x:v>
      </x:c>
      <x:c r="H369" s="1" t="str">
        <x:v>1</x:v>
      </x:c>
      <x:c r="I369" s="1" t="str">
        <x:v>0</x:v>
      </x:c>
      <x:c r="J369" s="1" t="str">
        <x:v>yes</x:v>
      </x:c>
      <x:c r="K369" s="1"/>
      <x:c r="L369" s="1"/>
      <x:c r="M369" s="1"/>
      <x:c r="N369" s="1"/>
      <x:c r="O369" s="1"/>
    </x:row>
    <x:row r="370">
      <x:c r="A370" s="1" t="str">
        <x:v>S0369</x:v>
      </x:c>
      <x:c r="B370" s="1" t="str">
        <x:v>9</x:v>
      </x:c>
      <x:c r="C370" s="1" t="str">
        <x:v>basic</x:v>
      </x:c>
      <x:c r="D370" s="1" t="str">
        <x:v>9.99</x:v>
      </x:c>
      <x:c r="E370" s="1" t="str">
        <x:v>0</x:v>
      </x:c>
      <x:c r="F370" s="1" t="str">
        <x:v>14</x:v>
      </x:c>
      <x:c r="G370" s="1" t="str">
        <x:v>28</x:v>
      </x:c>
      <x:c r="H370" s="1" t="str">
        <x:v>0</x:v>
      </x:c>
      <x:c r="I370" s="1" t="str">
        <x:v>0</x:v>
      </x:c>
      <x:c r="J370" s="1" t="str">
        <x:v>no</x:v>
      </x:c>
      <x:c r="K370" s="1"/>
      <x:c r="L370" s="1"/>
      <x:c r="M370" s="1"/>
      <x:c r="N370" s="1"/>
      <x:c r="O370" s="1"/>
    </x:row>
    <x:row r="371">
      <x:c r="A371" s="1" t="str">
        <x:v>S0370</x:v>
      </x:c>
      <x:c r="B371" s="1" t="str">
        <x:v>42</x:v>
      </x:c>
      <x:c r="C371" s="1" t="str">
        <x:v>basic</x:v>
      </x:c>
      <x:c r="D371" s="1" t="str">
        <x:v>9.99</x:v>
      </x:c>
      <x:c r="E371" s="1" t="str">
        <x:v>1</x:v>
      </x:c>
      <x:c r="F371" s="1" t="str">
        <x:v>26</x:v>
      </x:c>
      <x:c r="G371" s="1" t="str">
        <x:v>0</x:v>
      </x:c>
      <x:c r="H371" s="1" t="str">
        <x:v>1</x:v>
      </x:c>
      <x:c r="I371" s="1" t="str">
        <x:v>0</x:v>
      </x:c>
      <x:c r="J371" s="1" t="str">
        <x:v>no</x:v>
      </x:c>
      <x:c r="K371" s="1"/>
      <x:c r="L371" s="1"/>
      <x:c r="M371" s="1"/>
      <x:c r="N371" s="1"/>
      <x:c r="O371" s="1"/>
    </x:row>
    <x:row r="372">
      <x:c r="A372" s="1" t="str">
        <x:v>S0371</x:v>
      </x:c>
      <x:c r="B372" s="1" t="str">
        <x:v>41</x:v>
      </x:c>
      <x:c r="C372" s="1" t="str">
        <x:v>basic</x:v>
      </x:c>
      <x:c r="D372" s="1" t="str">
        <x:v>9.99</x:v>
      </x:c>
      <x:c r="E372" s="1" t="str">
        <x:v>0</x:v>
      </x:c>
      <x:c r="F372" s="1" t="str">
        <x:v>19</x:v>
      </x:c>
      <x:c r="G372" s="1" t="str">
        <x:v>1</x:v>
      </x:c>
      <x:c r="H372" s="1" t="str">
        <x:v>0</x:v>
      </x:c>
      <x:c r="I372" s="1" t="str">
        <x:v>0</x:v>
      </x:c>
      <x:c r="J372" s="1" t="str">
        <x:v>no</x:v>
      </x:c>
      <x:c r="K372" s="1"/>
      <x:c r="L372" s="1"/>
      <x:c r="M372" s="1"/>
      <x:c r="N372" s="1"/>
      <x:c r="O372" s="1"/>
    </x:row>
    <x:row r="373">
      <x:c r="A373" s="1" t="str">
        <x:v>S0372</x:v>
      </x:c>
      <x:c r="B373" s="1" t="str">
        <x:v>26</x:v>
      </x:c>
      <x:c r="C373" s="1" t="str">
        <x:v>premium</x:v>
      </x:c>
      <x:c r="D373" s="1" t="str">
        <x:v>15.99</x:v>
      </x:c>
      <x:c r="E373" s="1" t="str">
        <x:v>0</x:v>
      </x:c>
      <x:c r="F373" s="1" t="str">
        <x:v>20</x:v>
      </x:c>
      <x:c r="G373" s="1" t="str">
        <x:v>6</x:v>
      </x:c>
      <x:c r="H373" s="1" t="str">
        <x:v>0</x:v>
      </x:c>
      <x:c r="I373" s="1" t="str">
        <x:v>0</x:v>
      </x:c>
      <x:c r="J373" s="1" t="str">
        <x:v>no</x:v>
      </x:c>
      <x:c r="K373" s="1"/>
      <x:c r="L373" s="1"/>
      <x:c r="M373" s="1"/>
      <x:c r="N373" s="1"/>
      <x:c r="O373" s="1"/>
    </x:row>
    <x:row r="374">
      <x:c r="A374" s="1" t="str">
        <x:v>S0373</x:v>
      </x:c>
      <x:c r="B374" s="1" t="str">
        <x:v>26</x:v>
      </x:c>
      <x:c r="C374" s="1" t="str">
        <x:v>basic</x:v>
      </x:c>
      <x:c r="D374" s="1" t="str">
        <x:v>9.99</x:v>
      </x:c>
      <x:c r="E374" s="1" t="str">
        <x:v>0</x:v>
      </x:c>
      <x:c r="F374" s="1" t="str">
        <x:v>14</x:v>
      </x:c>
      <x:c r="G374" s="1" t="str">
        <x:v>30</x:v>
      </x:c>
      <x:c r="H374" s="1" t="str">
        <x:v>0</x:v>
      </x:c>
      <x:c r="I374" s="1" t="str">
        <x:v>1</x:v>
      </x:c>
      <x:c r="J374" s="1" t="str">
        <x:v>yes</x:v>
      </x:c>
      <x:c r="K374" s="1"/>
      <x:c r="L374" s="1"/>
      <x:c r="M374" s="1"/>
      <x:c r="N374" s="1"/>
      <x:c r="O374" s="1"/>
    </x:row>
    <x:row r="375">
      <x:c r="A375" s="1" t="str">
        <x:v>S0374</x:v>
      </x:c>
      <x:c r="B375" s="1" t="str">
        <x:v>48</x:v>
      </x:c>
      <x:c r="C375" s="1" t="str">
        <x:v>basic</x:v>
      </x:c>
      <x:c r="D375" s="1" t="str">
        <x:v>9.99</x:v>
      </x:c>
      <x:c r="E375" s="1" t="str">
        <x:v>1</x:v>
      </x:c>
      <x:c r="F375" s="1" t="str">
        <x:v>21</x:v>
      </x:c>
      <x:c r="G375" s="1" t="str">
        <x:v>4</x:v>
      </x:c>
      <x:c r="H375" s="1" t="str">
        <x:v>0</x:v>
      </x:c>
      <x:c r="I375" s="1" t="str">
        <x:v>0</x:v>
      </x:c>
      <x:c r="J375" s="1" t="str">
        <x:v>no</x:v>
      </x:c>
      <x:c r="K375" s="1"/>
      <x:c r="L375" s="1"/>
      <x:c r="M375" s="1"/>
      <x:c r="N375" s="1"/>
      <x:c r="O375" s="1"/>
    </x:row>
    <x:row r="376">
      <x:c r="A376" s="1" t="str">
        <x:v>S0375</x:v>
      </x:c>
      <x:c r="B376" s="1" t="str">
        <x:v>41</x:v>
      </x:c>
      <x:c r="C376" s="1" t="str">
        <x:v>basic</x:v>
      </x:c>
      <x:c r="D376" s="1" t="str">
        <x:v>9.99</x:v>
      </x:c>
      <x:c r="E376" s="1" t="str">
        <x:v>1</x:v>
      </x:c>
      <x:c r="F376" s="1" t="str">
        <x:v>21</x:v>
      </x:c>
      <x:c r="G376" s="1" t="str">
        <x:v>0</x:v>
      </x:c>
      <x:c r="H376" s="1" t="str">
        <x:v>0</x:v>
      </x:c>
      <x:c r="I376" s="1" t="str">
        <x:v>1</x:v>
      </x:c>
      <x:c r="J376" s="1" t="str">
        <x:v>no</x:v>
      </x:c>
      <x:c r="K376" s="1"/>
      <x:c r="L376" s="1"/>
      <x:c r="M376" s="1"/>
      <x:c r="N376" s="1"/>
      <x:c r="O376" s="1"/>
    </x:row>
    <x:row r="377">
      <x:c r="A377" s="1" t="str">
        <x:v>S0376</x:v>
      </x:c>
      <x:c r="B377" s="1" t="str">
        <x:v>36</x:v>
      </x:c>
      <x:c r="C377" s="1" t="str">
        <x:v>basic</x:v>
      </x:c>
      <x:c r="D377" s="1" t="str">
        <x:v>9.99</x:v>
      </x:c>
      <x:c r="E377" s="1" t="str">
        <x:v>1</x:v>
      </x:c>
      <x:c r="F377" s="1" t="str">
        <x:v>15</x:v>
      </x:c>
      <x:c r="G377" s="1" t="str">
        <x:v>6</x:v>
      </x:c>
      <x:c r="H377" s="1" t="str">
        <x:v>1</x:v>
      </x:c>
      <x:c r="I377" s="1" t="str">
        <x:v>0</x:v>
      </x:c>
      <x:c r="J377" s="1" t="str">
        <x:v>no</x:v>
      </x:c>
      <x:c r="K377" s="1"/>
      <x:c r="L377" s="1"/>
      <x:c r="M377" s="1"/>
      <x:c r="N377" s="1"/>
      <x:c r="O377" s="1"/>
    </x:row>
    <x:row r="378">
      <x:c r="A378" s="1" t="str">
        <x:v>S0377</x:v>
      </x:c>
      <x:c r="B378" s="1" t="str">
        <x:v>5</x:v>
      </x:c>
      <x:c r="C378" s="1" t="str">
        <x:v>premium</x:v>
      </x:c>
      <x:c r="D378" s="1" t="str">
        <x:v>15.99</x:v>
      </x:c>
      <x:c r="E378" s="1" t="str">
        <x:v>0</x:v>
      </x:c>
      <x:c r="F378" s="1" t="str">
        <x:v>3</x:v>
      </x:c>
      <x:c r="G378" s="1" t="str">
        <x:v>26</x:v>
      </x:c>
      <x:c r="H378" s="1" t="str">
        <x:v>0</x:v>
      </x:c>
      <x:c r="I378" s="1" t="str">
        <x:v>0</x:v>
      </x:c>
      <x:c r="J378" s="1" t="str">
        <x:v>no</x:v>
      </x:c>
      <x:c r="K378" s="1"/>
      <x:c r="L378" s="1"/>
      <x:c r="M378" s="1"/>
      <x:c r="N378" s="1"/>
      <x:c r="O378" s="1"/>
    </x:row>
    <x:row r="379">
      <x:c r="A379" s="1" t="str">
        <x:v>S0378</x:v>
      </x:c>
      <x:c r="B379" s="1" t="str">
        <x:v>47</x:v>
      </x:c>
      <x:c r="C379" s="1" t="str">
        <x:v>basic</x:v>
      </x:c>
      <x:c r="D379" s="1" t="str">
        <x:v>9.99</x:v>
      </x:c>
      <x:c r="E379" s="1" t="str">
        <x:v>0</x:v>
      </x:c>
      <x:c r="F379" s="1" t="str">
        <x:v>13</x:v>
      </x:c>
      <x:c r="G379" s="1" t="str">
        <x:v>18</x:v>
      </x:c>
      <x:c r="H379" s="1" t="str">
        <x:v>1</x:v>
      </x:c>
      <x:c r="I379" s="1" t="str">
        <x:v>0</x:v>
      </x:c>
      <x:c r="J379" s="1" t="str">
        <x:v>no</x:v>
      </x:c>
      <x:c r="K379" s="1"/>
      <x:c r="L379" s="1"/>
      <x:c r="M379" s="1"/>
      <x:c r="N379" s="1"/>
      <x:c r="O379" s="1"/>
    </x:row>
    <x:row r="380">
      <x:c r="A380" s="1" t="str">
        <x:v>S0379</x:v>
      </x:c>
      <x:c r="B380" s="1" t="str">
        <x:v>31</x:v>
      </x:c>
      <x:c r="C380" s="1" t="str">
        <x:v>premium</x:v>
      </x:c>
      <x:c r="D380" s="1" t="str">
        <x:v>15.99</x:v>
      </x:c>
      <x:c r="E380" s="1" t="str">
        <x:v>1</x:v>
      </x:c>
      <x:c r="F380" s="1" t="str">
        <x:v>21</x:v>
      </x:c>
      <x:c r="G380" s="1" t="str">
        <x:v>11</x:v>
      </x:c>
      <x:c r="H380" s="1" t="str">
        <x:v>0</x:v>
      </x:c>
      <x:c r="I380" s="1" t="str">
        <x:v>0</x:v>
      </x:c>
      <x:c r="J380" s="1" t="str">
        <x:v>no</x:v>
      </x:c>
      <x:c r="K380" s="1"/>
      <x:c r="L380" s="1"/>
      <x:c r="M380" s="1"/>
      <x:c r="N380" s="1"/>
      <x:c r="O380" s="1"/>
    </x:row>
    <x:row r="381">
      <x:c r="A381" s="1" t="str">
        <x:v>S0380</x:v>
      </x:c>
      <x:c r="B381" s="1" t="str">
        <x:v>17</x:v>
      </x:c>
      <x:c r="C381" s="1" t="str">
        <x:v>premium</x:v>
      </x:c>
      <x:c r="D381" s="1" t="str">
        <x:v>15.99</x:v>
      </x:c>
      <x:c r="E381" s="1" t="str">
        <x:v>1</x:v>
      </x:c>
      <x:c r="F381" s="1" t="str">
        <x:v>20</x:v>
      </x:c>
      <x:c r="G381" s="1" t="str">
        <x:v>10</x:v>
      </x:c>
      <x:c r="H381" s="1" t="str">
        <x:v>0</x:v>
      </x:c>
      <x:c r="I381" s="1" t="str">
        <x:v>0</x:v>
      </x:c>
      <x:c r="J381" s="1" t="str">
        <x:v>no</x:v>
      </x:c>
      <x:c r="K381" s="1"/>
      <x:c r="L381" s="1"/>
      <x:c r="M381" s="1"/>
      <x:c r="N381" s="1"/>
      <x:c r="O381" s="1"/>
    </x:row>
    <x:row r="382">
      <x:c r="A382" s="1" t="str">
        <x:v>S0381</x:v>
      </x:c>
      <x:c r="B382" s="1" t="str">
        <x:v>42</x:v>
      </x:c>
      <x:c r="C382" s="1" t="str">
        <x:v>premium</x:v>
      </x:c>
      <x:c r="D382" s="1" t="str">
        <x:v>15.99</x:v>
      </x:c>
      <x:c r="E382" s="1" t="str">
        <x:v>3</x:v>
      </x:c>
      <x:c r="F382" s="1" t="str">
        <x:v>19</x:v>
      </x:c>
      <x:c r="G382" s="1" t="str">
        <x:v>7</x:v>
      </x:c>
      <x:c r="H382" s="1" t="str">
        <x:v>0</x:v>
      </x:c>
      <x:c r="I382" s="1" t="str">
        <x:v>1</x:v>
      </x:c>
      <x:c r="J382" s="1" t="str">
        <x:v>no</x:v>
      </x:c>
      <x:c r="K382" s="1"/>
      <x:c r="L382" s="1"/>
      <x:c r="M382" s="1"/>
      <x:c r="N382" s="1"/>
      <x:c r="O382" s="1"/>
    </x:row>
    <x:row r="383">
      <x:c r="A383" s="1" t="str">
        <x:v>S0382</x:v>
      </x:c>
      <x:c r="B383" s="1" t="str">
        <x:v>2</x:v>
      </x:c>
      <x:c r="C383" s="1" t="str">
        <x:v>basic</x:v>
      </x:c>
      <x:c r="D383" s="1" t="str">
        <x:v>9.99</x:v>
      </x:c>
      <x:c r="E383" s="1" t="str">
        <x:v>3</x:v>
      </x:c>
      <x:c r="F383" s="1" t="str">
        <x:v>21</x:v>
      </x:c>
      <x:c r="G383" s="1" t="str">
        <x:v>0</x:v>
      </x:c>
      <x:c r="H383" s="1" t="str">
        <x:v>0</x:v>
      </x:c>
      <x:c r="I383" s="1" t="str">
        <x:v>1</x:v>
      </x:c>
      <x:c r="J383" s="1" t="str">
        <x:v>no</x:v>
      </x:c>
      <x:c r="K383" s="1"/>
      <x:c r="L383" s="1"/>
      <x:c r="M383" s="1"/>
      <x:c r="N383" s="1"/>
      <x:c r="O383" s="1"/>
    </x:row>
    <x:row r="384">
      <x:c r="A384" s="1" t="str">
        <x:v>S0383</x:v>
      </x:c>
      <x:c r="B384" s="1" t="str">
        <x:v>27</x:v>
      </x:c>
      <x:c r="C384" s="1" t="str">
        <x:v>basic</x:v>
      </x:c>
      <x:c r="D384" s="1" t="str">
        <x:v>9.99</x:v>
      </x:c>
      <x:c r="E384" s="1" t="str">
        <x:v>4</x:v>
      </x:c>
      <x:c r="F384" s="1" t="str">
        <x:v>26</x:v>
      </x:c>
      <x:c r="G384" s="1" t="str">
        <x:v>7</x:v>
      </x:c>
      <x:c r="H384" s="1" t="str">
        <x:v>1</x:v>
      </x:c>
      <x:c r="I384" s="1" t="str">
        <x:v>1</x:v>
      </x:c>
      <x:c r="J384" s="1" t="str">
        <x:v>no</x:v>
      </x:c>
      <x:c r="K384" s="1"/>
      <x:c r="L384" s="1"/>
      <x:c r="M384" s="1"/>
      <x:c r="N384" s="1"/>
      <x:c r="O384" s="1"/>
    </x:row>
    <x:row r="385">
      <x:c r="A385" s="1" t="str">
        <x:v>S0384</x:v>
      </x:c>
      <x:c r="B385" s="1" t="str">
        <x:v>13</x:v>
      </x:c>
      <x:c r="C385" s="1" t="str">
        <x:v>premium</x:v>
      </x:c>
      <x:c r="D385" s="1" t="str">
        <x:v>15.99</x:v>
      </x:c>
      <x:c r="E385" s="1" t="str">
        <x:v>2</x:v>
      </x:c>
      <x:c r="F385" s="1" t="str">
        <x:v>23</x:v>
      </x:c>
      <x:c r="G385" s="1" t="str">
        <x:v>5</x:v>
      </x:c>
      <x:c r="H385" s="1" t="str">
        <x:v>1</x:v>
      </x:c>
      <x:c r="I385" s="1" t="str">
        <x:v>0</x:v>
      </x:c>
      <x:c r="J385" s="1" t="str">
        <x:v>no</x:v>
      </x:c>
      <x:c r="K385" s="1"/>
      <x:c r="L385" s="1"/>
      <x:c r="M385" s="1"/>
      <x:c r="N385" s="1"/>
      <x:c r="O385" s="1"/>
    </x:row>
    <x:row r="386">
      <x:c r="A386" s="1" t="str">
        <x:v>S0385</x:v>
      </x:c>
      <x:c r="B386" s="1" t="str">
        <x:v>43</x:v>
      </x:c>
      <x:c r="C386" s="1" t="str">
        <x:v>basic</x:v>
      </x:c>
      <x:c r="D386" s="1" t="str">
        <x:v>9.99</x:v>
      </x:c>
      <x:c r="E386" s="1" t="str">
        <x:v>0</x:v>
      </x:c>
      <x:c r="F386" s="1" t="str">
        <x:v>32</x:v>
      </x:c>
      <x:c r="G386" s="1" t="str">
        <x:v>15</x:v>
      </x:c>
      <x:c r="H386" s="1" t="str">
        <x:v>0</x:v>
      </x:c>
      <x:c r="I386" s="1" t="str">
        <x:v>1</x:v>
      </x:c>
      <x:c r="J386" s="1" t="str">
        <x:v>no</x:v>
      </x:c>
      <x:c r="K386" s="1"/>
      <x:c r="L386" s="1"/>
      <x:c r="M386" s="1"/>
      <x:c r="N386" s="1"/>
      <x:c r="O386" s="1"/>
    </x:row>
    <x:row r="387">
      <x:c r="A387" s="1" t="str">
        <x:v>S0386</x:v>
      </x:c>
      <x:c r="B387" s="1" t="str">
        <x:v>37</x:v>
      </x:c>
      <x:c r="C387" s="1" t="str">
        <x:v>basic</x:v>
      </x:c>
      <x:c r="D387" s="1" t="str">
        <x:v>9.99</x:v>
      </x:c>
      <x:c r="E387" s="1" t="str">
        <x:v>3</x:v>
      </x:c>
      <x:c r="F387" s="1" t="str">
        <x:v>17</x:v>
      </x:c>
      <x:c r="G387" s="1" t="str">
        <x:v>5</x:v>
      </x:c>
      <x:c r="H387" s="1" t="str">
        <x:v>0</x:v>
      </x:c>
      <x:c r="I387" s="1" t="str">
        <x:v>0</x:v>
      </x:c>
      <x:c r="J387" s="1" t="str">
        <x:v>no</x:v>
      </x:c>
      <x:c r="K387" s="1"/>
      <x:c r="L387" s="1"/>
      <x:c r="M387" s="1"/>
      <x:c r="N387" s="1"/>
      <x:c r="O387" s="1"/>
    </x:row>
    <x:row r="388">
      <x:c r="A388" s="1" t="str">
        <x:v>S0387</x:v>
      </x:c>
      <x:c r="B388" s="1" t="str">
        <x:v>24</x:v>
      </x:c>
      <x:c r="C388" s="1" t="str">
        <x:v>basic</x:v>
      </x:c>
      <x:c r="D388" s="1" t="str">
        <x:v>9.99</x:v>
      </x:c>
      <x:c r="E388" s="1" t="str">
        <x:v>0</x:v>
      </x:c>
      <x:c r="F388" s="1" t="str">
        <x:v>0</x:v>
      </x:c>
      <x:c r="G388" s="1" t="str">
        <x:v>49</x:v>
      </x:c>
      <x:c r="H388" s="1" t="str">
        <x:v>0</x:v>
      </x:c>
      <x:c r="I388" s="1" t="str">
        <x:v>0</x:v>
      </x:c>
      <x:c r="J388" s="1" t="str">
        <x:v>yes</x:v>
      </x:c>
      <x:c r="K388" s="1"/>
      <x:c r="L388" s="1"/>
      <x:c r="M388" s="1"/>
      <x:c r="N388" s="1"/>
      <x:c r="O388" s="1"/>
    </x:row>
    <x:row r="389">
      <x:c r="A389" s="1" t="str">
        <x:v>S0388</x:v>
      </x:c>
      <x:c r="B389" s="1" t="str">
        <x:v>2</x:v>
      </x:c>
      <x:c r="C389" s="1" t="str">
        <x:v>premium</x:v>
      </x:c>
      <x:c r="D389" s="1" t="str">
        <x:v>15.99</x:v>
      </x:c>
      <x:c r="E389" s="1" t="str">
        <x:v>0</x:v>
      </x:c>
      <x:c r="F389" s="1" t="str">
        <x:v>29</x:v>
      </x:c>
      <x:c r="G389" s="1" t="str">
        <x:v>7</x:v>
      </x:c>
      <x:c r="H389" s="1" t="str">
        <x:v>1</x:v>
      </x:c>
      <x:c r="I389" s="1" t="str">
        <x:v>0</x:v>
      </x:c>
      <x:c r="J389" s="1" t="str">
        <x:v>no</x:v>
      </x:c>
      <x:c r="K389" s="1"/>
      <x:c r="L389" s="1"/>
      <x:c r="M389" s="1"/>
      <x:c r="N389" s="1"/>
      <x:c r="O389" s="1"/>
    </x:row>
    <x:row r="390">
      <x:c r="A390" s="1" t="str">
        <x:v>S0389</x:v>
      </x:c>
      <x:c r="B390" s="1" t="str">
        <x:v>17</x:v>
      </x:c>
      <x:c r="C390" s="1" t="str">
        <x:v>basic</x:v>
      </x:c>
      <x:c r="D390" s="1" t="str">
        <x:v>9.99</x:v>
      </x:c>
      <x:c r="E390" s="1" t="str">
        <x:v>0</x:v>
      </x:c>
      <x:c r="F390" s="1" t="str">
        <x:v>25</x:v>
      </x:c>
      <x:c r="G390" s="1" t="str">
        <x:v>5</x:v>
      </x:c>
      <x:c r="H390" s="1" t="str">
        <x:v>0</x:v>
      </x:c>
      <x:c r="I390" s="1" t="str">
        <x:v>0</x:v>
      </x:c>
      <x:c r="J390" s="1" t="str">
        <x:v>yes</x:v>
      </x:c>
      <x:c r="K390" s="1"/>
      <x:c r="L390" s="1"/>
      <x:c r="M390" s="1"/>
      <x:c r="N390" s="1"/>
      <x:c r="O390" s="1"/>
    </x:row>
    <x:row r="391">
      <x:c r="A391" s="1" t="str">
        <x:v>S0390</x:v>
      </x:c>
      <x:c r="B391" s="1" t="str">
        <x:v>13</x:v>
      </x:c>
      <x:c r="C391" s="1" t="str">
        <x:v>basic</x:v>
      </x:c>
      <x:c r="D391" s="1" t="str">
        <x:v>9.99</x:v>
      </x:c>
      <x:c r="E391" s="1" t="str">
        <x:v>1</x:v>
      </x:c>
      <x:c r="F391" s="1" t="str">
        <x:v>25</x:v>
      </x:c>
      <x:c r="G391" s="1" t="str">
        <x:v>9</x:v>
      </x:c>
      <x:c r="H391" s="1" t="str">
        <x:v>0</x:v>
      </x:c>
      <x:c r="I391" s="1" t="str">
        <x:v>1</x:v>
      </x:c>
      <x:c r="J391" s="1" t="str">
        <x:v>yes</x:v>
      </x:c>
      <x:c r="K391" s="1"/>
      <x:c r="L391" s="1"/>
      <x:c r="M391" s="1"/>
      <x:c r="N391" s="1"/>
      <x:c r="O391" s="1"/>
    </x:row>
    <x:row r="392">
      <x:c r="A392" s="1" t="str">
        <x:v>S0391</x:v>
      </x:c>
      <x:c r="B392" s="1" t="str">
        <x:v>6</x:v>
      </x:c>
      <x:c r="C392" s="1" t="str">
        <x:v>basic</x:v>
      </x:c>
      <x:c r="D392" s="1" t="str">
        <x:v>9.99</x:v>
      </x:c>
      <x:c r="E392" s="1" t="str">
        <x:v>0</x:v>
      </x:c>
      <x:c r="F392" s="1" t="str">
        <x:v>0</x:v>
      </x:c>
      <x:c r="G392" s="1" t="str">
        <x:v>53</x:v>
      </x:c>
      <x:c r="H392" s="1" t="str">
        <x:v>0</x:v>
      </x:c>
      <x:c r="I392" s="1" t="str">
        <x:v>1</x:v>
      </x:c>
      <x:c r="J392" s="1" t="str">
        <x:v>yes</x:v>
      </x:c>
      <x:c r="K392" s="1"/>
      <x:c r="L392" s="1"/>
      <x:c r="M392" s="1"/>
      <x:c r="N392" s="1"/>
      <x:c r="O392" s="1"/>
    </x:row>
    <x:row r="393">
      <x:c r="A393" s="1" t="str">
        <x:v>S0392</x:v>
      </x:c>
      <x:c r="B393" s="1" t="str">
        <x:v>25</x:v>
      </x:c>
      <x:c r="C393" s="1" t="str">
        <x:v>premium</x:v>
      </x:c>
      <x:c r="D393" s="1" t="str">
        <x:v>15.99</x:v>
      </x:c>
      <x:c r="E393" s="1" t="str">
        <x:v>0</x:v>
      </x:c>
      <x:c r="F393" s="1" t="str">
        <x:v>21</x:v>
      </x:c>
      <x:c r="G393" s="1" t="str">
        <x:v>5</x:v>
      </x:c>
      <x:c r="H393" s="1" t="str">
        <x:v>0</x:v>
      </x:c>
      <x:c r="I393" s="1" t="str">
        <x:v>1</x:v>
      </x:c>
      <x:c r="J393" s="1" t="str">
        <x:v>no</x:v>
      </x:c>
      <x:c r="K393" s="1"/>
      <x:c r="L393" s="1"/>
      <x:c r="M393" s="1"/>
      <x:c r="N393" s="1"/>
      <x:c r="O393" s="1"/>
    </x:row>
    <x:row r="394">
      <x:c r="A394" s="1" t="str">
        <x:v>S0393</x:v>
      </x:c>
      <x:c r="B394" s="1" t="str">
        <x:v>8</x:v>
      </x:c>
      <x:c r="C394" s="1" t="str">
        <x:v>premium</x:v>
      </x:c>
      <x:c r="D394" s="1" t="str">
        <x:v>15.99</x:v>
      </x:c>
      <x:c r="E394" s="1" t="str">
        <x:v>2</x:v>
      </x:c>
      <x:c r="F394" s="1" t="str">
        <x:v>0</x:v>
      </x:c>
      <x:c r="G394" s="1" t="str">
        <x:v>32</x:v>
      </x:c>
      <x:c r="H394" s="1" t="str">
        <x:v>0</x:v>
      </x:c>
      <x:c r="I394" s="1" t="str">
        <x:v>0</x:v>
      </x:c>
      <x:c r="J394" s="1" t="str">
        <x:v>yes</x:v>
      </x:c>
      <x:c r="K394" s="1"/>
      <x:c r="L394" s="1"/>
      <x:c r="M394" s="1"/>
      <x:c r="N394" s="1"/>
      <x:c r="O394" s="1"/>
    </x:row>
    <x:row r="395">
      <x:c r="A395" s="1" t="str">
        <x:v>S0394</x:v>
      </x:c>
      <x:c r="B395" s="1" t="str">
        <x:v>28</x:v>
      </x:c>
      <x:c r="C395" s="1" t="str">
        <x:v>basic</x:v>
      </x:c>
      <x:c r="D395" s="1" t="str">
        <x:v>9.99</x:v>
      </x:c>
      <x:c r="E395" s="1" t="str">
        <x:v>0</x:v>
      </x:c>
      <x:c r="F395" s="1" t="str">
        <x:v>8</x:v>
      </x:c>
      <x:c r="G395" s="1" t="str">
        <x:v>24</x:v>
      </x:c>
      <x:c r="H395" s="1" t="str">
        <x:v>0</x:v>
      </x:c>
      <x:c r="I395" s="1" t="str">
        <x:v>0</x:v>
      </x:c>
      <x:c r="J395" s="1" t="str">
        <x:v>no</x:v>
      </x:c>
      <x:c r="K395" s="1"/>
      <x:c r="L395" s="1"/>
      <x:c r="M395" s="1"/>
      <x:c r="N395" s="1"/>
      <x:c r="O395" s="1"/>
    </x:row>
    <x:row r="396">
      <x:c r="A396" s="1" t="str">
        <x:v>S0395</x:v>
      </x:c>
      <x:c r="B396" s="1" t="str">
        <x:v>46</x:v>
      </x:c>
      <x:c r="C396" s="1" t="str">
        <x:v>basic</x:v>
      </x:c>
      <x:c r="D396" s="1" t="str">
        <x:v>9.99</x:v>
      </x:c>
      <x:c r="E396" s="1" t="str">
        <x:v>0</x:v>
      </x:c>
      <x:c r="F396" s="1" t="str">
        <x:v>1</x:v>
      </x:c>
      <x:c r="G396" s="1" t="str">
        <x:v>13</x:v>
      </x:c>
      <x:c r="H396" s="1" t="str">
        <x:v>0</x:v>
      </x:c>
      <x:c r="I396" s="1" t="str">
        <x:v>0</x:v>
      </x:c>
      <x:c r="J396" s="1" t="str">
        <x:v>no</x:v>
      </x:c>
      <x:c r="K396" s="1"/>
      <x:c r="L396" s="1"/>
      <x:c r="M396" s="1"/>
      <x:c r="N396" s="1"/>
      <x:c r="O396" s="1"/>
    </x:row>
    <x:row r="397">
      <x:c r="A397" s="1" t="str">
        <x:v>S0396</x:v>
      </x:c>
      <x:c r="B397" s="1" t="str">
        <x:v>7</x:v>
      </x:c>
      <x:c r="C397" s="1" t="str">
        <x:v>basic</x:v>
      </x:c>
      <x:c r="D397" s="1" t="str">
        <x:v>9.99</x:v>
      </x:c>
      <x:c r="E397" s="1" t="str">
        <x:v>0</x:v>
      </x:c>
      <x:c r="F397" s="1" t="str">
        <x:v>27</x:v>
      </x:c>
      <x:c r="G397" s="1" t="str">
        <x:v>8</x:v>
      </x:c>
      <x:c r="H397" s="1" t="str">
        <x:v>0</x:v>
      </x:c>
      <x:c r="I397" s="1" t="str">
        <x:v>0</x:v>
      </x:c>
      <x:c r="J397" s="1" t="str">
        <x:v>no</x:v>
      </x:c>
      <x:c r="K397" s="1"/>
      <x:c r="L397" s="1"/>
      <x:c r="M397" s="1"/>
      <x:c r="N397" s="1"/>
      <x:c r="O397" s="1"/>
    </x:row>
    <x:row r="398">
      <x:c r="A398" s="1" t="str">
        <x:v>S0397</x:v>
      </x:c>
      <x:c r="B398" s="1" t="str">
        <x:v>3</x:v>
      </x:c>
      <x:c r="C398" s="1" t="str">
        <x:v>basic</x:v>
      </x:c>
      <x:c r="D398" s="1" t="str">
        <x:v>9.99</x:v>
      </x:c>
      <x:c r="E398" s="1" t="str">
        <x:v>1</x:v>
      </x:c>
      <x:c r="F398" s="1" t="str">
        <x:v>26</x:v>
      </x:c>
      <x:c r="G398" s="1" t="str">
        <x:v>1</x:v>
      </x:c>
      <x:c r="H398" s="1" t="str">
        <x:v>1</x:v>
      </x:c>
      <x:c r="I398" s="1" t="str">
        <x:v>0</x:v>
      </x:c>
      <x:c r="J398" s="1" t="str">
        <x:v>no</x:v>
      </x:c>
      <x:c r="K398" s="1"/>
      <x:c r="L398" s="1"/>
      <x:c r="M398" s="1"/>
      <x:c r="N398" s="1"/>
      <x:c r="O398" s="1"/>
    </x:row>
    <x:row r="399">
      <x:c r="A399" s="1" t="str">
        <x:v>S0398</x:v>
      </x:c>
      <x:c r="B399" s="1" t="str">
        <x:v>22</x:v>
      </x:c>
      <x:c r="C399" s="1" t="str">
        <x:v>basic</x:v>
      </x:c>
      <x:c r="D399" s="1" t="str">
        <x:v>9.99</x:v>
      </x:c>
      <x:c r="E399" s="1" t="str">
        <x:v>0</x:v>
      </x:c>
      <x:c r="F399" s="1" t="str">
        <x:v>17</x:v>
      </x:c>
      <x:c r="G399" s="1" t="str">
        <x:v>11</x:v>
      </x:c>
      <x:c r="H399" s="1" t="str">
        <x:v>0</x:v>
      </x:c>
      <x:c r="I399" s="1" t="str">
        <x:v>0</x:v>
      </x:c>
      <x:c r="J399" s="1" t="str">
        <x:v>no</x:v>
      </x:c>
      <x:c r="K399" s="1"/>
      <x:c r="L399" s="1"/>
      <x:c r="M399" s="1"/>
      <x:c r="N399" s="1"/>
      <x:c r="O399" s="1"/>
    </x:row>
    <x:row r="400">
      <x:c r="A400" s="1" t="str">
        <x:v>S0399</x:v>
      </x:c>
      <x:c r="B400" s="1" t="str">
        <x:v>6</x:v>
      </x:c>
      <x:c r="C400" s="1" t="str">
        <x:v>premium</x:v>
      </x:c>
      <x:c r="D400" s="1" t="str">
        <x:v>15.99</x:v>
      </x:c>
      <x:c r="E400" s="1" t="str">
        <x:v>4</x:v>
      </x:c>
      <x:c r="F400" s="1" t="str">
        <x:v>9</x:v>
      </x:c>
      <x:c r="G400" s="1" t="str">
        <x:v>19</x:v>
      </x:c>
      <x:c r="H400" s="1" t="str">
        <x:v>1</x:v>
      </x:c>
      <x:c r="I400" s="1" t="str">
        <x:v>0</x:v>
      </x:c>
      <x:c r="J400" s="1" t="str">
        <x:v>yes</x:v>
      </x:c>
      <x:c r="K400" s="1"/>
      <x:c r="L400" s="1"/>
      <x:c r="M400" s="1"/>
      <x:c r="N400" s="1"/>
      <x:c r="O400" s="1"/>
    </x:row>
    <x:row r="401">
      <x:c r="A401" s="1" t="str">
        <x:v>S0400</x:v>
      </x:c>
      <x:c r="B401" s="1" t="str">
        <x:v>14</x:v>
      </x:c>
      <x:c r="C401" s="1" t="str">
        <x:v>basic</x:v>
      </x:c>
      <x:c r="D401" s="1" t="str">
        <x:v>9.99</x:v>
      </x:c>
      <x:c r="E401" s="1" t="str">
        <x:v>1</x:v>
      </x:c>
      <x:c r="F401" s="1" t="str">
        <x:v>22</x:v>
      </x:c>
      <x:c r="G401" s="1" t="str">
        <x:v>0</x:v>
      </x:c>
      <x:c r="H401" s="1" t="str">
        <x:v>0</x:v>
      </x:c>
      <x:c r="I401" s="1" t="str">
        <x:v>1</x:v>
      </x:c>
      <x:c r="J401" s="1" t="str">
        <x:v>no</x:v>
      </x:c>
      <x:c r="K401" s="1"/>
      <x:c r="L401" s="1"/>
      <x:c r="M401" s="1"/>
      <x:c r="N401" s="1"/>
      <x:c r="O401" s="1"/>
    </x:row>
    <x:row r="402">
      <x:c r="A402" s="1" t="str">
        <x:v>S0401</x:v>
      </x:c>
      <x:c r="B402" s="1" t="str">
        <x:v>37</x:v>
      </x:c>
      <x:c r="C402" s="1" t="str">
        <x:v>basic</x:v>
      </x:c>
      <x:c r="D402" s="1" t="str">
        <x:v>9.99</x:v>
      </x:c>
      <x:c r="E402" s="1" t="str">
        <x:v>2</x:v>
      </x:c>
      <x:c r="F402" s="1" t="str">
        <x:v>8</x:v>
      </x:c>
      <x:c r="G402" s="1" t="str">
        <x:v>12</x:v>
      </x:c>
      <x:c r="H402" s="1" t="str">
        <x:v>0</x:v>
      </x:c>
      <x:c r="I402" s="1" t="str">
        <x:v>0</x:v>
      </x:c>
      <x:c r="J402" s="1" t="str">
        <x:v>no</x:v>
      </x:c>
      <x:c r="K402" s="1"/>
      <x:c r="L402" s="1"/>
      <x:c r="M402" s="1"/>
      <x:c r="N402" s="1"/>
      <x:c r="O402" s="1"/>
    </x:row>
    <x:row r="403">
      <x:c r="A403" s="1" t="str">
        <x:v>S0402</x:v>
      </x:c>
      <x:c r="B403" s="1" t="str">
        <x:v>6</x:v>
      </x:c>
      <x:c r="C403" s="1" t="str">
        <x:v>premium</x:v>
      </x:c>
      <x:c r="D403" s="1" t="str">
        <x:v>15.99</x:v>
      </x:c>
      <x:c r="E403" s="1" t="str">
        <x:v>0</x:v>
      </x:c>
      <x:c r="F403" s="1" t="str">
        <x:v>19</x:v>
      </x:c>
      <x:c r="G403" s="1" t="str">
        <x:v>20</x:v>
      </x:c>
      <x:c r="H403" s="1" t="str">
        <x:v>1</x:v>
      </x:c>
      <x:c r="I403" s="1" t="str">
        <x:v>0</x:v>
      </x:c>
      <x:c r="J403" s="1" t="str">
        <x:v>no</x:v>
      </x:c>
      <x:c r="K403" s="1"/>
      <x:c r="L403" s="1"/>
      <x:c r="M403" s="1"/>
      <x:c r="N403" s="1"/>
      <x:c r="O403" s="1"/>
    </x:row>
    <x:row r="404">
      <x:c r="A404" s="1" t="str">
        <x:v>S0403</x:v>
      </x:c>
      <x:c r="B404" s="1" t="str">
        <x:v>38</x:v>
      </x:c>
      <x:c r="C404" s="1" t="str">
        <x:v>basic</x:v>
      </x:c>
      <x:c r="D404" s="1" t="str">
        <x:v>9.99</x:v>
      </x:c>
      <x:c r="E404" s="1" t="str">
        <x:v>0</x:v>
      </x:c>
      <x:c r="F404" s="1" t="str">
        <x:v>22</x:v>
      </x:c>
      <x:c r="G404" s="1" t="str">
        <x:v>2</x:v>
      </x:c>
      <x:c r="H404" s="1" t="str">
        <x:v>0</x:v>
      </x:c>
      <x:c r="I404" s="1" t="str">
        <x:v>0</x:v>
      </x:c>
      <x:c r="J404" s="1" t="str">
        <x:v>no</x:v>
      </x:c>
      <x:c r="K404" s="1"/>
      <x:c r="L404" s="1"/>
      <x:c r="M404" s="1"/>
      <x:c r="N404" s="1"/>
      <x:c r="O404" s="1"/>
    </x:row>
    <x:row r="405">
      <x:c r="A405" s="1" t="str">
        <x:v>S0404</x:v>
      </x:c>
      <x:c r="B405" s="1" t="str">
        <x:v>46</x:v>
      </x:c>
      <x:c r="C405" s="1" t="str">
        <x:v>premium</x:v>
      </x:c>
      <x:c r="D405" s="1" t="str">
        <x:v>15.99</x:v>
      </x:c>
      <x:c r="E405" s="1" t="str">
        <x:v>0</x:v>
      </x:c>
      <x:c r="F405" s="1" t="str">
        <x:v>16</x:v>
      </x:c>
      <x:c r="G405" s="1" t="str">
        <x:v>12</x:v>
      </x:c>
      <x:c r="H405" s="1" t="str">
        <x:v>1</x:v>
      </x:c>
      <x:c r="I405" s="1" t="str">
        <x:v>0</x:v>
      </x:c>
      <x:c r="J405" s="1" t="str">
        <x:v>no</x:v>
      </x:c>
      <x:c r="K405" s="1"/>
      <x:c r="L405" s="1"/>
      <x:c r="M405" s="1"/>
      <x:c r="N405" s="1"/>
      <x:c r="O405" s="1"/>
    </x:row>
    <x:row r="406">
      <x:c r="A406" s="1" t="str">
        <x:v>S0405</x:v>
      </x:c>
      <x:c r="B406" s="1" t="str">
        <x:v>32</x:v>
      </x:c>
      <x:c r="C406" s="1" t="str">
        <x:v>basic</x:v>
      </x:c>
      <x:c r="D406" s="1" t="str">
        <x:v>9.99</x:v>
      </x:c>
      <x:c r="E406" s="1" t="str">
        <x:v>1</x:v>
      </x:c>
      <x:c r="F406" s="1" t="str">
        <x:v>28</x:v>
      </x:c>
      <x:c r="G406" s="1" t="str">
        <x:v>8</x:v>
      </x:c>
      <x:c r="H406" s="1" t="str">
        <x:v>0</x:v>
      </x:c>
      <x:c r="I406" s="1" t="str">
        <x:v>0</x:v>
      </x:c>
      <x:c r="J406" s="1" t="str">
        <x:v>no</x:v>
      </x:c>
      <x:c r="K406" s="1"/>
      <x:c r="L406" s="1"/>
      <x:c r="M406" s="1"/>
      <x:c r="N406" s="1"/>
      <x:c r="O406" s="1"/>
    </x:row>
    <x:row r="407">
      <x:c r="A407" s="1" t="str">
        <x:v>S0406</x:v>
      </x:c>
      <x:c r="B407" s="1" t="str">
        <x:v>6</x:v>
      </x:c>
      <x:c r="C407" s="1" t="str">
        <x:v>premium</x:v>
      </x:c>
      <x:c r="D407" s="1" t="str">
        <x:v>15.99</x:v>
      </x:c>
      <x:c r="E407" s="1" t="str">
        <x:v>0</x:v>
      </x:c>
      <x:c r="F407" s="1" t="str">
        <x:v>23</x:v>
      </x:c>
      <x:c r="G407" s="1" t="str">
        <x:v>1</x:v>
      </x:c>
      <x:c r="H407" s="1" t="str">
        <x:v>0</x:v>
      </x:c>
      <x:c r="I407" s="1" t="str">
        <x:v>0</x:v>
      </x:c>
      <x:c r="J407" s="1" t="str">
        <x:v>yes</x:v>
      </x:c>
      <x:c r="K407" s="1"/>
      <x:c r="L407" s="1"/>
      <x:c r="M407" s="1"/>
      <x:c r="N407" s="1"/>
      <x:c r="O407" s="1"/>
    </x:row>
    <x:row r="408">
      <x:c r="A408" s="1" t="str">
        <x:v>S0407</x:v>
      </x:c>
      <x:c r="B408" s="1" t="str">
        <x:v>39</x:v>
      </x:c>
      <x:c r="C408" s="1" t="str">
        <x:v>basic</x:v>
      </x:c>
      <x:c r="D408" s="1" t="str">
        <x:v>9.99</x:v>
      </x:c>
      <x:c r="E408" s="1" t="str">
        <x:v>0</x:v>
      </x:c>
      <x:c r="F408" s="1" t="str">
        <x:v>27</x:v>
      </x:c>
      <x:c r="G408" s="1" t="str">
        <x:v>4</x:v>
      </x:c>
      <x:c r="H408" s="1" t="str">
        <x:v>1</x:v>
      </x:c>
      <x:c r="I408" s="1" t="str">
        <x:v>1</x:v>
      </x:c>
      <x:c r="J408" s="1" t="str">
        <x:v>no</x:v>
      </x:c>
      <x:c r="K408" s="1"/>
      <x:c r="L408" s="1"/>
      <x:c r="M408" s="1"/>
      <x:c r="N408" s="1"/>
      <x:c r="O408" s="1"/>
    </x:row>
    <x:row r="409">
      <x:c r="A409" s="1" t="str">
        <x:v>S0408</x:v>
      </x:c>
      <x:c r="B409" s="1" t="str">
        <x:v>2</x:v>
      </x:c>
      <x:c r="C409" s="1" t="str">
        <x:v>basic</x:v>
      </x:c>
      <x:c r="D409" s="1" t="str">
        <x:v>9.99</x:v>
      </x:c>
      <x:c r="E409" s="1" t="str">
        <x:v>0</x:v>
      </x:c>
      <x:c r="F409" s="1" t="str">
        <x:v>37</x:v>
      </x:c>
      <x:c r="G409" s="1" t="str">
        <x:v>4</x:v>
      </x:c>
      <x:c r="H409" s="1" t="str">
        <x:v>0</x:v>
      </x:c>
      <x:c r="I409" s="1" t="str">
        <x:v>0</x:v>
      </x:c>
      <x:c r="J409" s="1" t="str">
        <x:v>no</x:v>
      </x:c>
      <x:c r="K409" s="1"/>
      <x:c r="L409" s="1"/>
      <x:c r="M409" s="1"/>
      <x:c r="N409" s="1"/>
      <x:c r="O409" s="1"/>
    </x:row>
    <x:row r="410">
      <x:c r="A410" s="1" t="str">
        <x:v>S0409</x:v>
      </x:c>
      <x:c r="B410" s="1" t="str">
        <x:v>2</x:v>
      </x:c>
      <x:c r="C410" s="1" t="str">
        <x:v>basic</x:v>
      </x:c>
      <x:c r="D410" s="1" t="str">
        <x:v>9.99</x:v>
      </x:c>
      <x:c r="E410" s="1" t="str">
        <x:v>0</x:v>
      </x:c>
      <x:c r="F410" s="1" t="str">
        <x:v>0</x:v>
      </x:c>
      <x:c r="G410" s="1" t="str">
        <x:v>48</x:v>
      </x:c>
      <x:c r="H410" s="1" t="str">
        <x:v>0</x:v>
      </x:c>
      <x:c r="I410" s="1" t="str">
        <x:v>0</x:v>
      </x:c>
      <x:c r="J410" s="1" t="str">
        <x:v>no</x:v>
      </x:c>
      <x:c r="K410" s="1"/>
      <x:c r="L410" s="1"/>
      <x:c r="M410" s="1"/>
      <x:c r="N410" s="1"/>
      <x:c r="O410" s="1"/>
    </x:row>
    <x:row r="411">
      <x:c r="A411" s="1" t="str">
        <x:v>S0410</x:v>
      </x:c>
      <x:c r="B411" s="1" t="str">
        <x:v>5</x:v>
      </x:c>
      <x:c r="C411" s="1" t="str">
        <x:v>premium</x:v>
      </x:c>
      <x:c r="D411" s="1" t="str">
        <x:v>15.99</x:v>
      </x:c>
      <x:c r="E411" s="1" t="str">
        <x:v>0</x:v>
      </x:c>
      <x:c r="F411" s="1" t="str">
        <x:v>21</x:v>
      </x:c>
      <x:c r="G411" s="1" t="str">
        <x:v>7</x:v>
      </x:c>
      <x:c r="H411" s="1" t="str">
        <x:v>0</x:v>
      </x:c>
      <x:c r="I411" s="1" t="str">
        <x:v>0</x:v>
      </x:c>
      <x:c r="J411" s="1" t="str">
        <x:v>no</x:v>
      </x:c>
      <x:c r="K411" s="1"/>
      <x:c r="L411" s="1"/>
      <x:c r="M411" s="1"/>
      <x:c r="N411" s="1"/>
      <x:c r="O411" s="1"/>
    </x:row>
    <x:row r="412">
      <x:c r="A412" s="1" t="str">
        <x:v>S0411</x:v>
      </x:c>
      <x:c r="B412" s="1" t="str">
        <x:v>38</x:v>
      </x:c>
      <x:c r="C412" s="1" t="str">
        <x:v>basic</x:v>
      </x:c>
      <x:c r="D412" s="1" t="str">
        <x:v>9.99</x:v>
      </x:c>
      <x:c r="E412" s="1" t="str">
        <x:v>2</x:v>
      </x:c>
      <x:c r="F412" s="1" t="str">
        <x:v>0</x:v>
      </x:c>
      <x:c r="G412" s="1" t="str">
        <x:v>31</x:v>
      </x:c>
      <x:c r="H412" s="1" t="str">
        <x:v>0</x:v>
      </x:c>
      <x:c r="I412" s="1" t="str">
        <x:v>0</x:v>
      </x:c>
      <x:c r="J412" s="1" t="str">
        <x:v>yes</x:v>
      </x:c>
      <x:c r="K412" s="1"/>
      <x:c r="L412" s="1"/>
      <x:c r="M412" s="1"/>
      <x:c r="N412" s="1"/>
      <x:c r="O412" s="1"/>
    </x:row>
    <x:row r="413">
      <x:c r="A413" s="1" t="str">
        <x:v>S0412</x:v>
      </x:c>
      <x:c r="B413" s="1" t="str">
        <x:v>35</x:v>
      </x:c>
      <x:c r="C413" s="1" t="str">
        <x:v>basic</x:v>
      </x:c>
      <x:c r="D413" s="1" t="str">
        <x:v>9.99</x:v>
      </x:c>
      <x:c r="E413" s="1" t="str">
        <x:v>0</x:v>
      </x:c>
      <x:c r="F413" s="1" t="str">
        <x:v>0</x:v>
      </x:c>
      <x:c r="G413" s="1" t="str">
        <x:v>54</x:v>
      </x:c>
      <x:c r="H413" s="1" t="str">
        <x:v>0</x:v>
      </x:c>
      <x:c r="I413" s="1" t="str">
        <x:v>1</x:v>
      </x:c>
      <x:c r="J413" s="1" t="str">
        <x:v>yes</x:v>
      </x:c>
      <x:c r="K413" s="1"/>
      <x:c r="L413" s="1"/>
      <x:c r="M413" s="1"/>
      <x:c r="N413" s="1"/>
      <x:c r="O413" s="1"/>
    </x:row>
    <x:row r="414">
      <x:c r="A414" s="1" t="str">
        <x:v>S0413</x:v>
      </x:c>
      <x:c r="B414" s="1" t="str">
        <x:v>41</x:v>
      </x:c>
      <x:c r="C414" s="1" t="str">
        <x:v>premium</x:v>
      </x:c>
      <x:c r="D414" s="1" t="str">
        <x:v>15.99</x:v>
      </x:c>
      <x:c r="E414" s="1" t="str">
        <x:v>0</x:v>
      </x:c>
      <x:c r="F414" s="1" t="str">
        <x:v>0</x:v>
      </x:c>
      <x:c r="G414" s="1" t="str">
        <x:v>53</x:v>
      </x:c>
      <x:c r="H414" s="1" t="str">
        <x:v>0</x:v>
      </x:c>
      <x:c r="I414" s="1" t="str">
        <x:v>0</x:v>
      </x:c>
      <x:c r="J414" s="1" t="str">
        <x:v>no</x:v>
      </x:c>
      <x:c r="K414" s="1"/>
      <x:c r="L414" s="1"/>
      <x:c r="M414" s="1"/>
      <x:c r="N414" s="1"/>
      <x:c r="O414" s="1"/>
    </x:row>
    <x:row r="415">
      <x:c r="A415" s="1" t="str">
        <x:v>S0414</x:v>
      </x:c>
      <x:c r="B415" s="1" t="str">
        <x:v>35</x:v>
      </x:c>
      <x:c r="C415" s="1" t="str">
        <x:v>basic</x:v>
      </x:c>
      <x:c r="D415" s="1" t="str">
        <x:v>9.99</x:v>
      </x:c>
      <x:c r="E415" s="1" t="str">
        <x:v>0</x:v>
      </x:c>
      <x:c r="F415" s="1" t="str">
        <x:v>9</x:v>
      </x:c>
      <x:c r="G415" s="1" t="str">
        <x:v>0</x:v>
      </x:c>
      <x:c r="H415" s="1" t="str">
        <x:v>0</x:v>
      </x:c>
      <x:c r="I415" s="1" t="str">
        <x:v>0</x:v>
      </x:c>
      <x:c r="J415" s="1" t="str">
        <x:v>no</x:v>
      </x:c>
      <x:c r="K415" s="1"/>
      <x:c r="L415" s="1"/>
      <x:c r="M415" s="1"/>
      <x:c r="N415" s="1"/>
      <x:c r="O415" s="1"/>
    </x:row>
    <x:row r="416">
      <x:c r="A416" s="1" t="str">
        <x:v>S0415</x:v>
      </x:c>
      <x:c r="B416" s="1" t="str">
        <x:v>27</x:v>
      </x:c>
      <x:c r="C416" s="1" t="str">
        <x:v>basic</x:v>
      </x:c>
      <x:c r="D416" s="1" t="str">
        <x:v>9.99</x:v>
      </x:c>
      <x:c r="E416" s="1" t="str">
        <x:v>2</x:v>
      </x:c>
      <x:c r="F416" s="1" t="str">
        <x:v>0</x:v>
      </x:c>
      <x:c r="G416" s="1" t="str">
        <x:v>37</x:v>
      </x:c>
      <x:c r="H416" s="1" t="str">
        <x:v>0</x:v>
      </x:c>
      <x:c r="I416" s="1" t="str">
        <x:v>0</x:v>
      </x:c>
      <x:c r="J416" s="1" t="str">
        <x:v>yes</x:v>
      </x:c>
      <x:c r="K416" s="1"/>
      <x:c r="L416" s="1"/>
      <x:c r="M416" s="1"/>
      <x:c r="N416" s="1"/>
      <x:c r="O416" s="1"/>
    </x:row>
    <x:row r="417">
      <x:c r="A417" s="1" t="str">
        <x:v>S0416</x:v>
      </x:c>
      <x:c r="B417" s="1" t="str">
        <x:v>6</x:v>
      </x:c>
      <x:c r="C417" s="1" t="str">
        <x:v>premium</x:v>
      </x:c>
      <x:c r="D417" s="1" t="str">
        <x:v>15.99</x:v>
      </x:c>
      <x:c r="E417" s="1" t="str">
        <x:v>1</x:v>
      </x:c>
      <x:c r="F417" s="1" t="str">
        <x:v>13</x:v>
      </x:c>
      <x:c r="G417" s="1" t="str">
        <x:v>4</x:v>
      </x:c>
      <x:c r="H417" s="1" t="str">
        <x:v>0</x:v>
      </x:c>
      <x:c r="I417" s="1" t="str">
        <x:v>0</x:v>
      </x:c>
      <x:c r="J417" s="1" t="str">
        <x:v>no</x:v>
      </x:c>
      <x:c r="K417" s="1"/>
      <x:c r="L417" s="1"/>
      <x:c r="M417" s="1"/>
      <x:c r="N417" s="1"/>
      <x:c r="O417" s="1"/>
    </x:row>
    <x:row r="418">
      <x:c r="A418" s="1" t="str">
        <x:v>S0417</x:v>
      </x:c>
      <x:c r="B418" s="1" t="str">
        <x:v>17</x:v>
      </x:c>
      <x:c r="C418" s="1" t="str">
        <x:v>premium</x:v>
      </x:c>
      <x:c r="D418" s="1" t="str">
        <x:v>15.99</x:v>
      </x:c>
      <x:c r="E418" s="1" t="str">
        <x:v>0</x:v>
      </x:c>
      <x:c r="F418" s="1" t="str">
        <x:v>16</x:v>
      </x:c>
      <x:c r="G418" s="1" t="str">
        <x:v>1</x:v>
      </x:c>
      <x:c r="H418" s="1" t="str">
        <x:v>0</x:v>
      </x:c>
      <x:c r="I418" s="1" t="str">
        <x:v>1</x:v>
      </x:c>
      <x:c r="J418" s="1" t="str">
        <x:v>no</x:v>
      </x:c>
      <x:c r="K418" s="1"/>
      <x:c r="L418" s="1"/>
      <x:c r="M418" s="1"/>
      <x:c r="N418" s="1"/>
      <x:c r="O418" s="1"/>
    </x:row>
    <x:row r="419">
      <x:c r="A419" s="1" t="str">
        <x:v>S0418</x:v>
      </x:c>
      <x:c r="B419" s="1" t="str">
        <x:v>17</x:v>
      </x:c>
      <x:c r="C419" s="1" t="str">
        <x:v>premium</x:v>
      </x:c>
      <x:c r="D419" s="1" t="str">
        <x:v>15.99</x:v>
      </x:c>
      <x:c r="E419" s="1" t="str">
        <x:v>0</x:v>
      </x:c>
      <x:c r="F419" s="1" t="str">
        <x:v>40</x:v>
      </x:c>
      <x:c r="G419" s="1" t="str">
        <x:v>1</x:v>
      </x:c>
      <x:c r="H419" s="1" t="str">
        <x:v>0</x:v>
      </x:c>
      <x:c r="I419" s="1" t="str">
        <x:v>0</x:v>
      </x:c>
      <x:c r="J419" s="1" t="str">
        <x:v>no</x:v>
      </x:c>
      <x:c r="K419" s="1"/>
      <x:c r="L419" s="1"/>
      <x:c r="M419" s="1"/>
      <x:c r="N419" s="1"/>
      <x:c r="O419" s="1"/>
    </x:row>
    <x:row r="420">
      <x:c r="A420" s="1" t="str">
        <x:v>S0419</x:v>
      </x:c>
      <x:c r="B420" s="1" t="str">
        <x:v>41</x:v>
      </x:c>
      <x:c r="C420" s="1" t="str">
        <x:v>basic</x:v>
      </x:c>
      <x:c r="D420" s="1" t="str">
        <x:v>9.99</x:v>
      </x:c>
      <x:c r="E420" s="1" t="str">
        <x:v>2</x:v>
      </x:c>
      <x:c r="F420" s="1" t="str">
        <x:v>27</x:v>
      </x:c>
      <x:c r="G420" s="1" t="str">
        <x:v>4</x:v>
      </x:c>
      <x:c r="H420" s="1" t="str">
        <x:v>0</x:v>
      </x:c>
      <x:c r="I420" s="1" t="str">
        <x:v>0</x:v>
      </x:c>
      <x:c r="J420" s="1" t="str">
        <x:v>no</x:v>
      </x:c>
      <x:c r="K420" s="1"/>
      <x:c r="L420" s="1"/>
      <x:c r="M420" s="1"/>
      <x:c r="N420" s="1"/>
      <x:c r="O420" s="1"/>
    </x:row>
    <x:row r="421">
      <x:c r="A421" s="1" t="str">
        <x:v>S0420</x:v>
      </x:c>
      <x:c r="B421" s="1" t="str">
        <x:v>17</x:v>
      </x:c>
      <x:c r="C421" s="1" t="str">
        <x:v>basic</x:v>
      </x:c>
      <x:c r="D421" s="1" t="str">
        <x:v>9.99</x:v>
      </x:c>
      <x:c r="E421" s="1" t="str">
        <x:v>2</x:v>
      </x:c>
      <x:c r="F421" s="1" t="str">
        <x:v>13</x:v>
      </x:c>
      <x:c r="G421" s="1" t="str">
        <x:v>0</x:v>
      </x:c>
      <x:c r="H421" s="1" t="str">
        <x:v>0</x:v>
      </x:c>
      <x:c r="I421" s="1" t="str">
        <x:v>1</x:v>
      </x:c>
      <x:c r="J421" s="1" t="str">
        <x:v>no</x:v>
      </x:c>
      <x:c r="K421" s="1"/>
      <x:c r="L421" s="1"/>
      <x:c r="M421" s="1"/>
      <x:c r="N421" s="1"/>
      <x:c r="O421" s="1"/>
    </x:row>
    <x:row r="422">
      <x:c r="A422" s="1" t="str">
        <x:v>S0421</x:v>
      </x:c>
      <x:c r="B422" s="1" t="str">
        <x:v>17</x:v>
      </x:c>
      <x:c r="C422" s="1" t="str">
        <x:v>basic</x:v>
      </x:c>
      <x:c r="D422" s="1" t="str">
        <x:v>9.99</x:v>
      </x:c>
      <x:c r="E422" s="1" t="str">
        <x:v>0</x:v>
      </x:c>
      <x:c r="F422" s="1" t="str">
        <x:v>0</x:v>
      </x:c>
      <x:c r="G422" s="1" t="str">
        <x:v>49</x:v>
      </x:c>
      <x:c r="H422" s="1" t="str">
        <x:v>1</x:v>
      </x:c>
      <x:c r="I422" s="1" t="str">
        <x:v>0</x:v>
      </x:c>
      <x:c r="J422" s="1" t="str">
        <x:v>yes</x:v>
      </x:c>
      <x:c r="K422" s="1"/>
      <x:c r="L422" s="1"/>
      <x:c r="M422" s="1"/>
      <x:c r="N422" s="1"/>
      <x:c r="O422" s="1"/>
    </x:row>
    <x:row r="423">
      <x:c r="A423" s="1" t="str">
        <x:v>S0422</x:v>
      </x:c>
      <x:c r="B423" s="1" t="str">
        <x:v>1</x:v>
      </x:c>
      <x:c r="C423" s="1" t="str">
        <x:v>basic</x:v>
      </x:c>
      <x:c r="D423" s="1" t="str">
        <x:v>9.99</x:v>
      </x:c>
      <x:c r="E423" s="1" t="str">
        <x:v>2</x:v>
      </x:c>
      <x:c r="F423" s="1" t="str">
        <x:v>26</x:v>
      </x:c>
      <x:c r="G423" s="1" t="str">
        <x:v>2</x:v>
      </x:c>
      <x:c r="H423" s="1" t="str">
        <x:v>0</x:v>
      </x:c>
      <x:c r="I423" s="1" t="str">
        <x:v>0</x:v>
      </x:c>
      <x:c r="J423" s="1" t="str">
        <x:v>yes</x:v>
      </x:c>
      <x:c r="K423" s="1"/>
      <x:c r="L423" s="1"/>
      <x:c r="M423" s="1"/>
      <x:c r="N423" s="1"/>
      <x:c r="O423" s="1"/>
    </x:row>
    <x:row r="424">
      <x:c r="A424" s="1" t="str">
        <x:v>S0423</x:v>
      </x:c>
      <x:c r="B424" s="1" t="str">
        <x:v>22</x:v>
      </x:c>
      <x:c r="C424" s="1" t="str">
        <x:v>basic</x:v>
      </x:c>
      <x:c r="D424" s="1" t="str">
        <x:v>9.99</x:v>
      </x:c>
      <x:c r="E424" s="1" t="str">
        <x:v>4</x:v>
      </x:c>
      <x:c r="F424" s="1" t="str">
        <x:v>0</x:v>
      </x:c>
      <x:c r="G424" s="1" t="str">
        <x:v>35</x:v>
      </x:c>
      <x:c r="H424" s="1" t="str">
        <x:v>1</x:v>
      </x:c>
      <x:c r="I424" s="1" t="str">
        <x:v>0</x:v>
      </x:c>
      <x:c r="J424" s="1" t="str">
        <x:v>yes</x:v>
      </x:c>
      <x:c r="K424" s="1"/>
      <x:c r="L424" s="1"/>
      <x:c r="M424" s="1"/>
      <x:c r="N424" s="1"/>
      <x:c r="O424" s="1"/>
    </x:row>
    <x:row r="425">
      <x:c r="A425" s="1" t="str">
        <x:v>S0424</x:v>
      </x:c>
      <x:c r="B425" s="1" t="str">
        <x:v>31</x:v>
      </x:c>
      <x:c r="C425" s="1" t="str">
        <x:v>basic</x:v>
      </x:c>
      <x:c r="D425" s="1" t="str">
        <x:v>9.99</x:v>
      </x:c>
      <x:c r="E425" s="1" t="str">
        <x:v>1</x:v>
      </x:c>
      <x:c r="F425" s="1" t="str">
        <x:v>25</x:v>
      </x:c>
      <x:c r="G425" s="1" t="str">
        <x:v>5</x:v>
      </x:c>
      <x:c r="H425" s="1" t="str">
        <x:v>0</x:v>
      </x:c>
      <x:c r="I425" s="1" t="str">
        <x:v>0</x:v>
      </x:c>
      <x:c r="J425" s="1" t="str">
        <x:v>no</x:v>
      </x:c>
      <x:c r="K425" s="1"/>
      <x:c r="L425" s="1"/>
      <x:c r="M425" s="1"/>
      <x:c r="N425" s="1"/>
      <x:c r="O425" s="1"/>
    </x:row>
    <x:row r="426">
      <x:c r="A426" s="1" t="str">
        <x:v>S0425</x:v>
      </x:c>
      <x:c r="B426" s="1" t="str">
        <x:v>28</x:v>
      </x:c>
      <x:c r="C426" s="1" t="str">
        <x:v>premium</x:v>
      </x:c>
      <x:c r="D426" s="1" t="str">
        <x:v>15.99</x:v>
      </x:c>
      <x:c r="E426" s="1" t="str">
        <x:v>0</x:v>
      </x:c>
      <x:c r="F426" s="1" t="str">
        <x:v>30</x:v>
      </x:c>
      <x:c r="G426" s="1" t="str">
        <x:v>5</x:v>
      </x:c>
      <x:c r="H426" s="1" t="str">
        <x:v>0</x:v>
      </x:c>
      <x:c r="I426" s="1" t="str">
        <x:v>1</x:v>
      </x:c>
      <x:c r="J426" s="1" t="str">
        <x:v>no</x:v>
      </x:c>
      <x:c r="K426" s="1"/>
      <x:c r="L426" s="1"/>
      <x:c r="M426" s="1"/>
      <x:c r="N426" s="1"/>
      <x:c r="O426" s="1"/>
    </x:row>
    <x:row r="427">
      <x:c r="A427" s="1" t="str">
        <x:v>S0426</x:v>
      </x:c>
      <x:c r="B427" s="1" t="str">
        <x:v>5</x:v>
      </x:c>
      <x:c r="C427" s="1" t="str">
        <x:v>basic</x:v>
      </x:c>
      <x:c r="D427" s="1" t="str">
        <x:v>9.99</x:v>
      </x:c>
      <x:c r="E427" s="1" t="str">
        <x:v>0</x:v>
      </x:c>
      <x:c r="F427" s="1" t="str">
        <x:v>7</x:v>
      </x:c>
      <x:c r="G427" s="1" t="str">
        <x:v>5</x:v>
      </x:c>
      <x:c r="H427" s="1" t="str">
        <x:v>0</x:v>
      </x:c>
      <x:c r="I427" s="1" t="str">
        <x:v>0</x:v>
      </x:c>
      <x:c r="J427" s="1" t="str">
        <x:v>no</x:v>
      </x:c>
      <x:c r="K427" s="1"/>
      <x:c r="L427" s="1"/>
      <x:c r="M427" s="1"/>
      <x:c r="N427" s="1"/>
      <x:c r="O427" s="1"/>
    </x:row>
    <x:row r="428">
      <x:c r="A428" s="1" t="str">
        <x:v>S0427</x:v>
      </x:c>
      <x:c r="B428" s="1" t="str">
        <x:v>35</x:v>
      </x:c>
      <x:c r="C428" s="1" t="str">
        <x:v>basic</x:v>
      </x:c>
      <x:c r="D428" s="1" t="str">
        <x:v>9.99</x:v>
      </x:c>
      <x:c r="E428" s="1" t="str">
        <x:v>3</x:v>
      </x:c>
      <x:c r="F428" s="1" t="str">
        <x:v>18</x:v>
      </x:c>
      <x:c r="G428" s="1" t="str">
        <x:v>3</x:v>
      </x:c>
      <x:c r="H428" s="1" t="str">
        <x:v>0</x:v>
      </x:c>
      <x:c r="I428" s="1" t="str">
        <x:v>0</x:v>
      </x:c>
      <x:c r="J428" s="1" t="str">
        <x:v>no</x:v>
      </x:c>
      <x:c r="K428" s="1"/>
      <x:c r="L428" s="1"/>
      <x:c r="M428" s="1"/>
      <x:c r="N428" s="1"/>
      <x:c r="O428" s="1"/>
    </x:row>
    <x:row r="429">
      <x:c r="A429" s="1" t="str">
        <x:v>S0428</x:v>
      </x:c>
      <x:c r="B429" s="1" t="str">
        <x:v>2</x:v>
      </x:c>
      <x:c r="C429" s="1" t="str">
        <x:v>premium</x:v>
      </x:c>
      <x:c r="D429" s="1" t="str">
        <x:v>15.99</x:v>
      </x:c>
      <x:c r="E429" s="1" t="str">
        <x:v>0</x:v>
      </x:c>
      <x:c r="F429" s="1" t="str">
        <x:v>26</x:v>
      </x:c>
      <x:c r="G429" s="1" t="str">
        <x:v>2</x:v>
      </x:c>
      <x:c r="H429" s="1" t="str">
        <x:v>0</x:v>
      </x:c>
      <x:c r="I429" s="1" t="str">
        <x:v>0</x:v>
      </x:c>
      <x:c r="J429" s="1" t="str">
        <x:v>no</x:v>
      </x:c>
      <x:c r="K429" s="1"/>
      <x:c r="L429" s="1"/>
      <x:c r="M429" s="1"/>
      <x:c r="N429" s="1"/>
      <x:c r="O429" s="1"/>
    </x:row>
    <x:row r="430">
      <x:c r="A430" s="1" t="str">
        <x:v>S0429</x:v>
      </x:c>
      <x:c r="B430" s="1" t="str">
        <x:v>42</x:v>
      </x:c>
      <x:c r="C430" s="1" t="str">
        <x:v>premium</x:v>
      </x:c>
      <x:c r="D430" s="1" t="str">
        <x:v>15.99</x:v>
      </x:c>
      <x:c r="E430" s="1" t="str">
        <x:v>0</x:v>
      </x:c>
      <x:c r="F430" s="1" t="str">
        <x:v>1</x:v>
      </x:c>
      <x:c r="G430" s="1" t="str">
        <x:v>22</x:v>
      </x:c>
      <x:c r="H430" s="1" t="str">
        <x:v>0</x:v>
      </x:c>
      <x:c r="I430" s="1" t="str">
        <x:v>0</x:v>
      </x:c>
      <x:c r="J430" s="1" t="str">
        <x:v>no</x:v>
      </x:c>
      <x:c r="K430" s="1"/>
      <x:c r="L430" s="1"/>
      <x:c r="M430" s="1"/>
      <x:c r="N430" s="1"/>
      <x:c r="O430" s="1"/>
    </x:row>
    <x:row r="431">
      <x:c r="A431" s="1" t="str">
        <x:v>S0430</x:v>
      </x:c>
      <x:c r="B431" s="1" t="str">
        <x:v>1</x:v>
      </x:c>
      <x:c r="C431" s="1" t="str">
        <x:v>premium</x:v>
      </x:c>
      <x:c r="D431" s="1" t="str">
        <x:v>15.99</x:v>
      </x:c>
      <x:c r="E431" s="1" t="str">
        <x:v>2</x:v>
      </x:c>
      <x:c r="F431" s="1" t="str">
        <x:v>19</x:v>
      </x:c>
      <x:c r="G431" s="1" t="str">
        <x:v>0</x:v>
      </x:c>
      <x:c r="H431" s="1" t="str">
        <x:v>0</x:v>
      </x:c>
      <x:c r="I431" s="1" t="str">
        <x:v>0</x:v>
      </x:c>
      <x:c r="J431" s="1" t="str">
        <x:v>no</x:v>
      </x:c>
      <x:c r="K431" s="1"/>
      <x:c r="L431" s="1"/>
      <x:c r="M431" s="1"/>
      <x:c r="N431" s="1"/>
      <x:c r="O431" s="1"/>
    </x:row>
    <x:row r="432">
      <x:c r="A432" s="1" t="str">
        <x:v>S0431</x:v>
      </x:c>
      <x:c r="B432" s="1" t="str">
        <x:v>25</x:v>
      </x:c>
      <x:c r="C432" s="1" t="str">
        <x:v>basic</x:v>
      </x:c>
      <x:c r="D432" s="1" t="str">
        <x:v>9.99</x:v>
      </x:c>
      <x:c r="E432" s="1" t="str">
        <x:v>0</x:v>
      </x:c>
      <x:c r="F432" s="1" t="str">
        <x:v>0</x:v>
      </x:c>
      <x:c r="G432" s="1" t="str">
        <x:v>56</x:v>
      </x:c>
      <x:c r="H432" s="1" t="str">
        <x:v>0</x:v>
      </x:c>
      <x:c r="I432" s="1" t="str">
        <x:v>0</x:v>
      </x:c>
      <x:c r="J432" s="1" t="str">
        <x:v>no</x:v>
      </x:c>
      <x:c r="K432" s="1"/>
      <x:c r="L432" s="1"/>
      <x:c r="M432" s="1"/>
      <x:c r="N432" s="1"/>
      <x:c r="O432" s="1"/>
    </x:row>
    <x:row r="433">
      <x:c r="A433" s="1" t="str">
        <x:v>S0432</x:v>
      </x:c>
      <x:c r="B433" s="1" t="str">
        <x:v>47</x:v>
      </x:c>
      <x:c r="C433" s="1" t="str">
        <x:v>premium</x:v>
      </x:c>
      <x:c r="D433" s="1" t="str">
        <x:v>15.99</x:v>
      </x:c>
      <x:c r="E433" s="1" t="str">
        <x:v>1</x:v>
      </x:c>
      <x:c r="F433" s="1" t="str">
        <x:v>19</x:v>
      </x:c>
      <x:c r="G433" s="1" t="str">
        <x:v>6</x:v>
      </x:c>
      <x:c r="H433" s="1" t="str">
        <x:v>0</x:v>
      </x:c>
      <x:c r="I433" s="1" t="str">
        <x:v>1</x:v>
      </x:c>
      <x:c r="J433" s="1" t="str">
        <x:v>no</x:v>
      </x:c>
      <x:c r="K433" s="1"/>
      <x:c r="L433" s="1"/>
      <x:c r="M433" s="1"/>
      <x:c r="N433" s="1"/>
      <x:c r="O433" s="1"/>
    </x:row>
    <x:row r="434">
      <x:c r="A434" s="1" t="str">
        <x:v>S0433</x:v>
      </x:c>
      <x:c r="B434" s="1" t="str">
        <x:v>11</x:v>
      </x:c>
      <x:c r="C434" s="1" t="str">
        <x:v>premium</x:v>
      </x:c>
      <x:c r="D434" s="1" t="str">
        <x:v>15.99</x:v>
      </x:c>
      <x:c r="E434" s="1" t="str">
        <x:v>0</x:v>
      </x:c>
      <x:c r="F434" s="1" t="str">
        <x:v>23</x:v>
      </x:c>
      <x:c r="G434" s="1" t="str">
        <x:v>5</x:v>
      </x:c>
      <x:c r="H434" s="1" t="str">
        <x:v>0</x:v>
      </x:c>
      <x:c r="I434" s="1" t="str">
        <x:v>1</x:v>
      </x:c>
      <x:c r="J434" s="1" t="str">
        <x:v>no</x:v>
      </x:c>
      <x:c r="K434" s="1"/>
      <x:c r="L434" s="1"/>
      <x:c r="M434" s="1"/>
      <x:c r="N434" s="1"/>
      <x:c r="O434" s="1"/>
    </x:row>
    <x:row r="435">
      <x:c r="A435" s="1" t="str">
        <x:v>S0434</x:v>
      </x:c>
      <x:c r="B435" s="1" t="str">
        <x:v>6</x:v>
      </x:c>
      <x:c r="C435" s="1" t="str">
        <x:v>basic</x:v>
      </x:c>
      <x:c r="D435" s="1" t="str">
        <x:v>9.99</x:v>
      </x:c>
      <x:c r="E435" s="1" t="str">
        <x:v>1</x:v>
      </x:c>
      <x:c r="F435" s="1" t="str">
        <x:v>20</x:v>
      </x:c>
      <x:c r="G435" s="1" t="str">
        <x:v>4</x:v>
      </x:c>
      <x:c r="H435" s="1" t="str">
        <x:v>0</x:v>
      </x:c>
      <x:c r="I435" s="1" t="str">
        <x:v>0</x:v>
      </x:c>
      <x:c r="J435" s="1" t="str">
        <x:v>no</x:v>
      </x:c>
      <x:c r="K435" s="1"/>
      <x:c r="L435" s="1"/>
      <x:c r="M435" s="1"/>
      <x:c r="N435" s="1"/>
      <x:c r="O435" s="1"/>
    </x:row>
    <x:row r="436">
      <x:c r="A436" s="1" t="str">
        <x:v>S0435</x:v>
      </x:c>
      <x:c r="B436" s="1" t="str">
        <x:v>24</x:v>
      </x:c>
      <x:c r="C436" s="1" t="str">
        <x:v>basic</x:v>
      </x:c>
      <x:c r="D436" s="1" t="str">
        <x:v>9.99</x:v>
      </x:c>
      <x:c r="E436" s="1" t="str">
        <x:v>0</x:v>
      </x:c>
      <x:c r="F436" s="1" t="str">
        <x:v>5</x:v>
      </x:c>
      <x:c r="G436" s="1" t="str">
        <x:v>19</x:v>
      </x:c>
      <x:c r="H436" s="1" t="str">
        <x:v>0</x:v>
      </x:c>
      <x:c r="I436" s="1" t="str">
        <x:v>1</x:v>
      </x:c>
      <x:c r="J436" s="1" t="str">
        <x:v>no</x:v>
      </x:c>
      <x:c r="K436" s="1"/>
      <x:c r="L436" s="1"/>
      <x:c r="M436" s="1"/>
      <x:c r="N436" s="1"/>
      <x:c r="O436" s="1"/>
    </x:row>
    <x:row r="437">
      <x:c r="A437" s="1" t="str">
        <x:v>S0436</x:v>
      </x:c>
      <x:c r="B437" s="1" t="str">
        <x:v>28</x:v>
      </x:c>
      <x:c r="C437" s="1" t="str">
        <x:v>premium</x:v>
      </x:c>
      <x:c r="D437" s="1" t="str">
        <x:v>15.99</x:v>
      </x:c>
      <x:c r="E437" s="1" t="str">
        <x:v>2</x:v>
      </x:c>
      <x:c r="F437" s="1" t="str">
        <x:v>18</x:v>
      </x:c>
      <x:c r="G437" s="1" t="str">
        <x:v>7</x:v>
      </x:c>
      <x:c r="H437" s="1" t="str">
        <x:v>0</x:v>
      </x:c>
      <x:c r="I437" s="1" t="str">
        <x:v>0</x:v>
      </x:c>
      <x:c r="J437" s="1" t="str">
        <x:v>no</x:v>
      </x:c>
      <x:c r="K437" s="1"/>
      <x:c r="L437" s="1"/>
      <x:c r="M437" s="1"/>
      <x:c r="N437" s="1"/>
      <x:c r="O437" s="1"/>
    </x:row>
    <x:row r="438">
      <x:c r="A438" s="1" t="str">
        <x:v>S0437</x:v>
      </x:c>
      <x:c r="B438" s="1" t="str">
        <x:v>16</x:v>
      </x:c>
      <x:c r="C438" s="1" t="str">
        <x:v>premium</x:v>
      </x:c>
      <x:c r="D438" s="1" t="str">
        <x:v>15.99</x:v>
      </x:c>
      <x:c r="E438" s="1" t="str">
        <x:v>0</x:v>
      </x:c>
      <x:c r="F438" s="1" t="str">
        <x:v>11</x:v>
      </x:c>
      <x:c r="G438" s="1" t="str">
        <x:v>2</x:v>
      </x:c>
      <x:c r="H438" s="1" t="str">
        <x:v>1</x:v>
      </x:c>
      <x:c r="I438" s="1" t="str">
        <x:v>1</x:v>
      </x:c>
      <x:c r="J438" s="1" t="str">
        <x:v>no</x:v>
      </x:c>
      <x:c r="K438" s="1"/>
      <x:c r="L438" s="1"/>
      <x:c r="M438" s="1"/>
      <x:c r="N438" s="1"/>
      <x:c r="O438" s="1"/>
    </x:row>
    <x:row r="439">
      <x:c r="A439" s="1" t="str">
        <x:v>S0438</x:v>
      </x:c>
      <x:c r="B439" s="1" t="str">
        <x:v>12</x:v>
      </x:c>
      <x:c r="C439" s="1" t="str">
        <x:v>basic</x:v>
      </x:c>
      <x:c r="D439" s="1" t="str">
        <x:v>9.99</x:v>
      </x:c>
      <x:c r="E439" s="1" t="str">
        <x:v>0</x:v>
      </x:c>
      <x:c r="F439" s="1" t="str">
        <x:v>7</x:v>
      </x:c>
      <x:c r="G439" s="1" t="str">
        <x:v>17</x:v>
      </x:c>
      <x:c r="H439" s="1" t="str">
        <x:v>0</x:v>
      </x:c>
      <x:c r="I439" s="1" t="str">
        <x:v>0</x:v>
      </x:c>
      <x:c r="J439" s="1" t="str">
        <x:v>no</x:v>
      </x:c>
      <x:c r="K439" s="1"/>
      <x:c r="L439" s="1"/>
      <x:c r="M439" s="1"/>
      <x:c r="N439" s="1"/>
      <x:c r="O439" s="1"/>
    </x:row>
    <x:row r="440">
      <x:c r="A440" s="1" t="str">
        <x:v>S0439</x:v>
      </x:c>
      <x:c r="B440" s="1" t="str">
        <x:v>40</x:v>
      </x:c>
      <x:c r="C440" s="1" t="str">
        <x:v>premium</x:v>
      </x:c>
      <x:c r="D440" s="1" t="str">
        <x:v>15.99</x:v>
      </x:c>
      <x:c r="E440" s="1" t="str">
        <x:v>3</x:v>
      </x:c>
      <x:c r="F440" s="1" t="str">
        <x:v>0</x:v>
      </x:c>
      <x:c r="G440" s="1" t="str">
        <x:v>50</x:v>
      </x:c>
      <x:c r="H440" s="1" t="str">
        <x:v>0</x:v>
      </x:c>
      <x:c r="I440" s="1" t="str">
        <x:v>0</x:v>
      </x:c>
      <x:c r="J440" s="1" t="str">
        <x:v>no</x:v>
      </x:c>
      <x:c r="K440" s="1"/>
      <x:c r="L440" s="1"/>
      <x:c r="M440" s="1"/>
      <x:c r="N440" s="1"/>
      <x:c r="O440" s="1"/>
    </x:row>
    <x:row r="441">
      <x:c r="A441" s="1" t="str">
        <x:v>S0440</x:v>
      </x:c>
      <x:c r="B441" s="1" t="str">
        <x:v>8</x:v>
      </x:c>
      <x:c r="C441" s="1" t="str">
        <x:v>basic</x:v>
      </x:c>
      <x:c r="D441" s="1" t="str">
        <x:v>9.99</x:v>
      </x:c>
      <x:c r="E441" s="1" t="str">
        <x:v>1</x:v>
      </x:c>
      <x:c r="F441" s="1" t="str">
        <x:v>15</x:v>
      </x:c>
      <x:c r="G441" s="1" t="str">
        <x:v>18</x:v>
      </x:c>
      <x:c r="H441" s="1" t="str">
        <x:v>0</x:v>
      </x:c>
      <x:c r="I441" s="1" t="str">
        <x:v>1</x:v>
      </x:c>
      <x:c r="J441" s="1" t="str">
        <x:v>yes</x:v>
      </x:c>
      <x:c r="K441" s="1"/>
      <x:c r="L441" s="1"/>
      <x:c r="M441" s="1"/>
      <x:c r="N441" s="1"/>
      <x:c r="O441" s="1"/>
    </x:row>
    <x:row r="442">
      <x:c r="A442" s="1" t="str">
        <x:v>S0441</x:v>
      </x:c>
      <x:c r="B442" s="1" t="str">
        <x:v>23</x:v>
      </x:c>
      <x:c r="C442" s="1" t="str">
        <x:v>premium</x:v>
      </x:c>
      <x:c r="D442" s="1" t="str">
        <x:v>15.99</x:v>
      </x:c>
      <x:c r="E442" s="1" t="str">
        <x:v>0</x:v>
      </x:c>
      <x:c r="F442" s="1" t="str">
        <x:v>30</x:v>
      </x:c>
      <x:c r="G442" s="1" t="str">
        <x:v>2</x:v>
      </x:c>
      <x:c r="H442" s="1" t="str">
        <x:v>0</x:v>
      </x:c>
      <x:c r="I442" s="1" t="str">
        <x:v>0</x:v>
      </x:c>
      <x:c r="J442" s="1" t="str">
        <x:v>no</x:v>
      </x:c>
      <x:c r="K442" s="1"/>
      <x:c r="L442" s="1"/>
      <x:c r="M442" s="1"/>
      <x:c r="N442" s="1"/>
      <x:c r="O442" s="1"/>
    </x:row>
    <x:row r="443">
      <x:c r="A443" s="1" t="str">
        <x:v>S0442</x:v>
      </x:c>
      <x:c r="B443" s="1" t="str">
        <x:v>14</x:v>
      </x:c>
      <x:c r="C443" s="1" t="str">
        <x:v>basic</x:v>
      </x:c>
      <x:c r="D443" s="1" t="str">
        <x:v>9.99</x:v>
      </x:c>
      <x:c r="E443" s="1" t="str">
        <x:v>0</x:v>
      </x:c>
      <x:c r="F443" s="1" t="str">
        <x:v>0</x:v>
      </x:c>
      <x:c r="G443" s="1" t="str">
        <x:v>34</x:v>
      </x:c>
      <x:c r="H443" s="1" t="str">
        <x:v>0</x:v>
      </x:c>
      <x:c r="I443" s="1" t="str">
        <x:v>0</x:v>
      </x:c>
      <x:c r="J443" s="1" t="str">
        <x:v>no</x:v>
      </x:c>
      <x:c r="K443" s="1"/>
      <x:c r="L443" s="1"/>
      <x:c r="M443" s="1"/>
      <x:c r="N443" s="1"/>
      <x:c r="O443" s="1"/>
    </x:row>
    <x:row r="444">
      <x:c r="A444" s="1" t="str">
        <x:v>S0443</x:v>
      </x:c>
      <x:c r="B444" s="1" t="str">
        <x:v>40</x:v>
      </x:c>
      <x:c r="C444" s="1" t="str">
        <x:v>premium</x:v>
      </x:c>
      <x:c r="D444" s="1" t="str">
        <x:v>15.99</x:v>
      </x:c>
      <x:c r="E444" s="1" t="str">
        <x:v>0</x:v>
      </x:c>
      <x:c r="F444" s="1" t="str">
        <x:v>6</x:v>
      </x:c>
      <x:c r="G444" s="1" t="str">
        <x:v>21</x:v>
      </x:c>
      <x:c r="H444" s="1" t="str">
        <x:v>2</x:v>
      </x:c>
      <x:c r="I444" s="1" t="str">
        <x:v>1</x:v>
      </x:c>
      <x:c r="J444" s="1" t="str">
        <x:v>no</x:v>
      </x:c>
      <x:c r="K444" s="1"/>
      <x:c r="L444" s="1"/>
      <x:c r="M444" s="1"/>
      <x:c r="N444" s="1"/>
      <x:c r="O444" s="1"/>
    </x:row>
    <x:row r="445">
      <x:c r="A445" s="1" t="str">
        <x:v>S0444</x:v>
      </x:c>
      <x:c r="B445" s="1" t="str">
        <x:v>33</x:v>
      </x:c>
      <x:c r="C445" s="1" t="str">
        <x:v>basic</x:v>
      </x:c>
      <x:c r="D445" s="1" t="str">
        <x:v>9.99</x:v>
      </x:c>
      <x:c r="E445" s="1" t="str">
        <x:v>0</x:v>
      </x:c>
      <x:c r="F445" s="1" t="str">
        <x:v>0</x:v>
      </x:c>
      <x:c r="G445" s="1" t="str">
        <x:v>36</x:v>
      </x:c>
      <x:c r="H445" s="1" t="str">
        <x:v>0</x:v>
      </x:c>
      <x:c r="I445" s="1" t="str">
        <x:v>0</x:v>
      </x:c>
      <x:c r="J445" s="1" t="str">
        <x:v>no</x:v>
      </x:c>
      <x:c r="K445" s="1"/>
      <x:c r="L445" s="1"/>
      <x:c r="M445" s="1"/>
      <x:c r="N445" s="1"/>
      <x:c r="O445" s="1"/>
    </x:row>
    <x:row r="446">
      <x:c r="A446" s="1" t="str">
        <x:v>S0445</x:v>
      </x:c>
      <x:c r="B446" s="1" t="str">
        <x:v>29</x:v>
      </x:c>
      <x:c r="C446" s="1" t="str">
        <x:v>basic</x:v>
      </x:c>
      <x:c r="D446" s="1" t="str">
        <x:v>9.99</x:v>
      </x:c>
      <x:c r="E446" s="1" t="str">
        <x:v>0</x:v>
      </x:c>
      <x:c r="F446" s="1" t="str">
        <x:v>25</x:v>
      </x:c>
      <x:c r="G446" s="1" t="str">
        <x:v>5</x:v>
      </x:c>
      <x:c r="H446" s="1" t="str">
        <x:v>1</x:v>
      </x:c>
      <x:c r="I446" s="1" t="str">
        <x:v>1</x:v>
      </x:c>
      <x:c r="J446" s="1" t="str">
        <x:v>no</x:v>
      </x:c>
      <x:c r="K446" s="1"/>
      <x:c r="L446" s="1"/>
      <x:c r="M446" s="1"/>
      <x:c r="N446" s="1"/>
      <x:c r="O446" s="1"/>
    </x:row>
    <x:row r="447">
      <x:c r="A447" s="1" t="str">
        <x:v>S0446</x:v>
      </x:c>
      <x:c r="B447" s="1" t="str">
        <x:v>45</x:v>
      </x:c>
      <x:c r="C447" s="1" t="str">
        <x:v>premium</x:v>
      </x:c>
      <x:c r="D447" s="1" t="str">
        <x:v>15.99</x:v>
      </x:c>
      <x:c r="E447" s="1" t="str">
        <x:v>0</x:v>
      </x:c>
      <x:c r="F447" s="1" t="str">
        <x:v>0</x:v>
      </x:c>
      <x:c r="G447" s="1" t="str">
        <x:v>47</x:v>
      </x:c>
      <x:c r="H447" s="1" t="str">
        <x:v>0</x:v>
      </x:c>
      <x:c r="I447" s="1" t="str">
        <x:v>0</x:v>
      </x:c>
      <x:c r="J447" s="1" t="str">
        <x:v>no</x:v>
      </x:c>
      <x:c r="K447" s="1"/>
      <x:c r="L447" s="1"/>
      <x:c r="M447" s="1"/>
      <x:c r="N447" s="1"/>
      <x:c r="O447" s="1"/>
    </x:row>
    <x:row r="448">
      <x:c r="A448" s="1" t="str">
        <x:v>S0447</x:v>
      </x:c>
      <x:c r="B448" s="1" t="str">
        <x:v>46</x:v>
      </x:c>
      <x:c r="C448" s="1" t="str">
        <x:v>premium</x:v>
      </x:c>
      <x:c r="D448" s="1" t="str">
        <x:v>15.99</x:v>
      </x:c>
      <x:c r="E448" s="1" t="str">
        <x:v>0</x:v>
      </x:c>
      <x:c r="F448" s="1" t="str">
        <x:v>0</x:v>
      </x:c>
      <x:c r="G448" s="1" t="str">
        <x:v>38</x:v>
      </x:c>
      <x:c r="H448" s="1" t="str">
        <x:v>0</x:v>
      </x:c>
      <x:c r="I448" s="1" t="str">
        <x:v>1</x:v>
      </x:c>
      <x:c r="J448" s="1" t="str">
        <x:v>no</x:v>
      </x:c>
      <x:c r="K448" s="1"/>
      <x:c r="L448" s="1"/>
      <x:c r="M448" s="1"/>
      <x:c r="N448" s="1"/>
      <x:c r="O448" s="1"/>
    </x:row>
    <x:row r="449">
      <x:c r="A449" s="1" t="str">
        <x:v>S0448</x:v>
      </x:c>
      <x:c r="B449" s="1" t="str">
        <x:v>35</x:v>
      </x:c>
      <x:c r="C449" s="1" t="str">
        <x:v>premium</x:v>
      </x:c>
      <x:c r="D449" s="1" t="str">
        <x:v>15.99</x:v>
      </x:c>
      <x:c r="E449" s="1" t="str">
        <x:v>0</x:v>
      </x:c>
      <x:c r="F449" s="1" t="str">
        <x:v>20</x:v>
      </x:c>
      <x:c r="G449" s="1" t="str">
        <x:v>8</x:v>
      </x:c>
      <x:c r="H449" s="1" t="str">
        <x:v>0</x:v>
      </x:c>
      <x:c r="I449" s="1" t="str">
        <x:v>0</x:v>
      </x:c>
      <x:c r="J449" s="1" t="str">
        <x:v>no</x:v>
      </x:c>
      <x:c r="K449" s="1"/>
      <x:c r="L449" s="1"/>
      <x:c r="M449" s="1"/>
      <x:c r="N449" s="1"/>
      <x:c r="O449" s="1"/>
    </x:row>
    <x:row r="450">
      <x:c r="A450" s="1" t="str">
        <x:v>S0449</x:v>
      </x:c>
      <x:c r="B450" s="1" t="str">
        <x:v>17</x:v>
      </x:c>
      <x:c r="C450" s="1" t="str">
        <x:v>basic</x:v>
      </x:c>
      <x:c r="D450" s="1" t="str">
        <x:v>9.99</x:v>
      </x:c>
      <x:c r="E450" s="1" t="str">
        <x:v>0</x:v>
      </x:c>
      <x:c r="F450" s="1" t="str">
        <x:v>0</x:v>
      </x:c>
      <x:c r="G450" s="1" t="str">
        <x:v>52</x:v>
      </x:c>
      <x:c r="H450" s="1" t="str">
        <x:v>0</x:v>
      </x:c>
      <x:c r="I450" s="1" t="str">
        <x:v>0</x:v>
      </x:c>
      <x:c r="J450" s="1" t="str">
        <x:v>yes</x:v>
      </x:c>
      <x:c r="K450" s="1"/>
      <x:c r="L450" s="1"/>
      <x:c r="M450" s="1"/>
      <x:c r="N450" s="1"/>
      <x:c r="O450" s="1"/>
    </x:row>
    <x:row r="451">
      <x:c r="A451" s="1" t="str">
        <x:v>S0450</x:v>
      </x:c>
      <x:c r="B451" s="1" t="str">
        <x:v>43</x:v>
      </x:c>
      <x:c r="C451" s="1" t="str">
        <x:v>basic</x:v>
      </x:c>
      <x:c r="D451" s="1" t="str">
        <x:v>9.99</x:v>
      </x:c>
      <x:c r="E451" s="1" t="str">
        <x:v>3</x:v>
      </x:c>
      <x:c r="F451" s="1" t="str">
        <x:v>17</x:v>
      </x:c>
      <x:c r="G451" s="1" t="str">
        <x:v>9</x:v>
      </x:c>
      <x:c r="H451" s="1" t="str">
        <x:v>0</x:v>
      </x:c>
      <x:c r="I451" s="1" t="str">
        <x:v>0</x:v>
      </x:c>
      <x:c r="J451" s="1" t="str">
        <x:v>no</x:v>
      </x:c>
      <x:c r="K451" s="1"/>
      <x:c r="L451" s="1"/>
      <x:c r="M451" s="1"/>
      <x:c r="N451" s="1"/>
      <x:c r="O451" s="1"/>
    </x:row>
    <x:row r="452">
      <x:c r="A452" s="1" t="str">
        <x:v>S0451</x:v>
      </x:c>
      <x:c r="B452" s="1" t="str">
        <x:v>5</x:v>
      </x:c>
      <x:c r="C452" s="1" t="str">
        <x:v>premium</x:v>
      </x:c>
      <x:c r="D452" s="1" t="str">
        <x:v>15.99</x:v>
      </x:c>
      <x:c r="E452" s="1" t="str">
        <x:v>4</x:v>
      </x:c>
      <x:c r="F452" s="1" t="str">
        <x:v>15</x:v>
      </x:c>
      <x:c r="G452" s="1" t="str">
        <x:v>20</x:v>
      </x:c>
      <x:c r="H452" s="1" t="str">
        <x:v>2</x:v>
      </x:c>
      <x:c r="I452" s="1" t="str">
        <x:v>0</x:v>
      </x:c>
      <x:c r="J452" s="1" t="str">
        <x:v>yes</x:v>
      </x:c>
      <x:c r="K452" s="1"/>
      <x:c r="L452" s="1"/>
      <x:c r="M452" s="1"/>
      <x:c r="N452" s="1"/>
      <x:c r="O452" s="1"/>
    </x:row>
    <x:row r="453">
      <x:c r="A453" s="1" t="str">
        <x:v>S0452</x:v>
      </x:c>
      <x:c r="B453" s="1" t="str">
        <x:v>6</x:v>
      </x:c>
      <x:c r="C453" s="1" t="str">
        <x:v>premium</x:v>
      </x:c>
      <x:c r="D453" s="1" t="str">
        <x:v>15.99</x:v>
      </x:c>
      <x:c r="E453" s="1" t="str">
        <x:v>0</x:v>
      </x:c>
      <x:c r="F453" s="1" t="str">
        <x:v>6</x:v>
      </x:c>
      <x:c r="G453" s="1" t="str">
        <x:v>26</x:v>
      </x:c>
      <x:c r="H453" s="1" t="str">
        <x:v>1</x:v>
      </x:c>
      <x:c r="I453" s="1" t="str">
        <x:v>1</x:v>
      </x:c>
      <x:c r="J453" s="1" t="str">
        <x:v>yes</x:v>
      </x:c>
      <x:c r="K453" s="1"/>
      <x:c r="L453" s="1"/>
      <x:c r="M453" s="1"/>
      <x:c r="N453" s="1"/>
      <x:c r="O453" s="1"/>
    </x:row>
    <x:row r="454">
      <x:c r="A454" s="1" t="str">
        <x:v>S0453</x:v>
      </x:c>
      <x:c r="B454" s="1" t="str">
        <x:v>19</x:v>
      </x:c>
      <x:c r="C454" s="1" t="str">
        <x:v>basic</x:v>
      </x:c>
      <x:c r="D454" s="1" t="str">
        <x:v>9.99</x:v>
      </x:c>
      <x:c r="E454" s="1" t="str">
        <x:v>1</x:v>
      </x:c>
      <x:c r="F454" s="1" t="str">
        <x:v>24</x:v>
      </x:c>
      <x:c r="G454" s="1" t="str">
        <x:v>10</x:v>
      </x:c>
      <x:c r="H454" s="1" t="str">
        <x:v>0</x:v>
      </x:c>
      <x:c r="I454" s="1" t="str">
        <x:v>0</x:v>
      </x:c>
      <x:c r="J454" s="1" t="str">
        <x:v>no</x:v>
      </x:c>
      <x:c r="K454" s="1"/>
      <x:c r="L454" s="1"/>
      <x:c r="M454" s="1"/>
      <x:c r="N454" s="1"/>
      <x:c r="O454" s="1"/>
    </x:row>
    <x:row r="455">
      <x:c r="A455" s="1" t="str">
        <x:v>S0454</x:v>
      </x:c>
      <x:c r="B455" s="1" t="str">
        <x:v>40</x:v>
      </x:c>
      <x:c r="C455" s="1" t="str">
        <x:v>basic</x:v>
      </x:c>
      <x:c r="D455" s="1" t="str">
        <x:v>9.99</x:v>
      </x:c>
      <x:c r="E455" s="1" t="str">
        <x:v>0</x:v>
      </x:c>
      <x:c r="F455" s="1" t="str">
        <x:v>16</x:v>
      </x:c>
      <x:c r="G455" s="1" t="str">
        <x:v>16</x:v>
      </x:c>
      <x:c r="H455" s="1" t="str">
        <x:v>0</x:v>
      </x:c>
      <x:c r="I455" s="1" t="str">
        <x:v>0</x:v>
      </x:c>
      <x:c r="J455" s="1" t="str">
        <x:v>no</x:v>
      </x:c>
      <x:c r="K455" s="1"/>
      <x:c r="L455" s="1"/>
      <x:c r="M455" s="1"/>
      <x:c r="N455" s="1"/>
      <x:c r="O455" s="1"/>
    </x:row>
    <x:row r="456">
      <x:c r="A456" s="1" t="str">
        <x:v>S0455</x:v>
      </x:c>
      <x:c r="B456" s="1" t="str">
        <x:v>26</x:v>
      </x:c>
      <x:c r="C456" s="1" t="str">
        <x:v>basic</x:v>
      </x:c>
      <x:c r="D456" s="1" t="str">
        <x:v>9.99</x:v>
      </x:c>
      <x:c r="E456" s="1" t="str">
        <x:v>2</x:v>
      </x:c>
      <x:c r="F456" s="1" t="str">
        <x:v>29</x:v>
      </x:c>
      <x:c r="G456" s="1" t="str">
        <x:v>5</x:v>
      </x:c>
      <x:c r="H456" s="1" t="str">
        <x:v>0</x:v>
      </x:c>
      <x:c r="I456" s="1" t="str">
        <x:v>1</x:v>
      </x:c>
      <x:c r="J456" s="1" t="str">
        <x:v>no</x:v>
      </x:c>
      <x:c r="K456" s="1"/>
      <x:c r="L456" s="1"/>
      <x:c r="M456" s="1"/>
      <x:c r="N456" s="1"/>
      <x:c r="O456" s="1"/>
    </x:row>
    <x:row r="457">
      <x:c r="A457" s="1" t="str">
        <x:v>S0456</x:v>
      </x:c>
      <x:c r="B457" s="1" t="str">
        <x:v>4</x:v>
      </x:c>
      <x:c r="C457" s="1" t="str">
        <x:v>basic</x:v>
      </x:c>
      <x:c r="D457" s="1" t="str">
        <x:v>9.99</x:v>
      </x:c>
      <x:c r="E457" s="1" t="str">
        <x:v>0</x:v>
      </x:c>
      <x:c r="F457" s="1" t="str">
        <x:v>11</x:v>
      </x:c>
      <x:c r="G457" s="1" t="str">
        <x:v>30</x:v>
      </x:c>
      <x:c r="H457" s="1" t="str">
        <x:v>0</x:v>
      </x:c>
      <x:c r="I457" s="1" t="str">
        <x:v>0</x:v>
      </x:c>
      <x:c r="J457" s="1" t="str">
        <x:v>no</x:v>
      </x:c>
      <x:c r="K457" s="1"/>
      <x:c r="L457" s="1"/>
      <x:c r="M457" s="1"/>
      <x:c r="N457" s="1"/>
      <x:c r="O457" s="1"/>
    </x:row>
    <x:row r="458">
      <x:c r="A458" s="1" t="str">
        <x:v>S0457</x:v>
      </x:c>
      <x:c r="B458" s="1" t="str">
        <x:v>1</x:v>
      </x:c>
      <x:c r="C458" s="1" t="str">
        <x:v>basic</x:v>
      </x:c>
      <x:c r="D458" s="1" t="str">
        <x:v>9.99</x:v>
      </x:c>
      <x:c r="E458" s="1" t="str">
        <x:v>0</x:v>
      </x:c>
      <x:c r="F458" s="1" t="str">
        <x:v>7</x:v>
      </x:c>
      <x:c r="G458" s="1" t="str">
        <x:v>29</x:v>
      </x:c>
      <x:c r="H458" s="1" t="str">
        <x:v>1</x:v>
      </x:c>
      <x:c r="I458" s="1" t="str">
        <x:v>1</x:v>
      </x:c>
      <x:c r="J458" s="1" t="str">
        <x:v>yes</x:v>
      </x:c>
      <x:c r="K458" s="1"/>
      <x:c r="L458" s="1"/>
      <x:c r="M458" s="1"/>
      <x:c r="N458" s="1"/>
      <x:c r="O458" s="1"/>
    </x:row>
    <x:row r="459">
      <x:c r="A459" s="1" t="str">
        <x:v>S0458</x:v>
      </x:c>
      <x:c r="B459" s="1" t="str">
        <x:v>35</x:v>
      </x:c>
      <x:c r="C459" s="1" t="str">
        <x:v>basic</x:v>
      </x:c>
      <x:c r="D459" s="1" t="str">
        <x:v>9.99</x:v>
      </x:c>
      <x:c r="E459" s="1" t="str">
        <x:v>1</x:v>
      </x:c>
      <x:c r="F459" s="1" t="str">
        <x:v>22</x:v>
      </x:c>
      <x:c r="G459" s="1" t="str">
        <x:v>4</x:v>
      </x:c>
      <x:c r="H459" s="1" t="str">
        <x:v>0</x:v>
      </x:c>
      <x:c r="I459" s="1" t="str">
        <x:v>0</x:v>
      </x:c>
      <x:c r="J459" s="1" t="str">
        <x:v>no</x:v>
      </x:c>
      <x:c r="K459" s="1"/>
      <x:c r="L459" s="1"/>
      <x:c r="M459" s="1"/>
      <x:c r="N459" s="1"/>
      <x:c r="O459" s="1"/>
    </x:row>
    <x:row r="460">
      <x:c r="A460" s="1" t="str">
        <x:v>S0459</x:v>
      </x:c>
      <x:c r="B460" s="1" t="str">
        <x:v>5</x:v>
      </x:c>
      <x:c r="C460" s="1" t="str">
        <x:v>basic</x:v>
      </x:c>
      <x:c r="D460" s="1" t="str">
        <x:v>9.99</x:v>
      </x:c>
      <x:c r="E460" s="1" t="str">
        <x:v>0</x:v>
      </x:c>
      <x:c r="F460" s="1" t="str">
        <x:v>9</x:v>
      </x:c>
      <x:c r="G460" s="1" t="str">
        <x:v>18</x:v>
      </x:c>
      <x:c r="H460" s="1" t="str">
        <x:v>0</x:v>
      </x:c>
      <x:c r="I460" s="1" t="str">
        <x:v>0</x:v>
      </x:c>
      <x:c r="J460" s="1" t="str">
        <x:v>yes</x:v>
      </x:c>
      <x:c r="K460" s="1"/>
      <x:c r="L460" s="1"/>
      <x:c r="M460" s="1"/>
      <x:c r="N460" s="1"/>
      <x:c r="O460" s="1"/>
    </x:row>
    <x:row r="461">
      <x:c r="A461" s="1" t="str">
        <x:v>S0460</x:v>
      </x:c>
      <x:c r="B461" s="1" t="str">
        <x:v>18</x:v>
      </x:c>
      <x:c r="C461" s="1" t="str">
        <x:v>premium</x:v>
      </x:c>
      <x:c r="D461" s="1" t="str">
        <x:v>15.99</x:v>
      </x:c>
      <x:c r="E461" s="1" t="str">
        <x:v>0</x:v>
      </x:c>
      <x:c r="F461" s="1" t="str">
        <x:v>0</x:v>
      </x:c>
      <x:c r="G461" s="1" t="str">
        <x:v>53</x:v>
      </x:c>
      <x:c r="H461" s="1" t="str">
        <x:v>0</x:v>
      </x:c>
      <x:c r="I461" s="1" t="str">
        <x:v>0</x:v>
      </x:c>
      <x:c r="J461" s="1" t="str">
        <x:v>yes</x:v>
      </x:c>
      <x:c r="K461" s="1"/>
      <x:c r="L461" s="1"/>
      <x:c r="M461" s="1"/>
      <x:c r="N461" s="1"/>
      <x:c r="O461" s="1"/>
    </x:row>
    <x:row r="462">
      <x:c r="A462" s="1" t="str">
        <x:v>S0461</x:v>
      </x:c>
      <x:c r="B462" s="1" t="str">
        <x:v>2</x:v>
      </x:c>
      <x:c r="C462" s="1" t="str">
        <x:v>basic</x:v>
      </x:c>
      <x:c r="D462" s="1" t="str">
        <x:v>9.99</x:v>
      </x:c>
      <x:c r="E462" s="1" t="str">
        <x:v>0</x:v>
      </x:c>
      <x:c r="F462" s="1" t="str">
        <x:v>26</x:v>
      </x:c>
      <x:c r="G462" s="1" t="str">
        <x:v>4</x:v>
      </x:c>
      <x:c r="H462" s="1" t="str">
        <x:v>0</x:v>
      </x:c>
      <x:c r="I462" s="1" t="str">
        <x:v>0</x:v>
      </x:c>
      <x:c r="J462" s="1" t="str">
        <x:v>no</x:v>
      </x:c>
      <x:c r="K462" s="1"/>
      <x:c r="L462" s="1"/>
      <x:c r="M462" s="1"/>
      <x:c r="N462" s="1"/>
      <x:c r="O462" s="1"/>
    </x:row>
    <x:row r="463">
      <x:c r="A463" s="1" t="str">
        <x:v>S0462</x:v>
      </x:c>
      <x:c r="B463" s="1" t="str">
        <x:v>40</x:v>
      </x:c>
      <x:c r="C463" s="1" t="str">
        <x:v>premium</x:v>
      </x:c>
      <x:c r="D463" s="1" t="str">
        <x:v>15.99</x:v>
      </x:c>
      <x:c r="E463" s="1" t="str">
        <x:v>1</x:v>
      </x:c>
      <x:c r="F463" s="1" t="str">
        <x:v>5</x:v>
      </x:c>
      <x:c r="G463" s="1" t="str">
        <x:v>28</x:v>
      </x:c>
      <x:c r="H463" s="1" t="str">
        <x:v>1</x:v>
      </x:c>
      <x:c r="I463" s="1" t="str">
        <x:v>0</x:v>
      </x:c>
      <x:c r="J463" s="1" t="str">
        <x:v>yes</x:v>
      </x:c>
      <x:c r="K463" s="1"/>
      <x:c r="L463" s="1"/>
      <x:c r="M463" s="1"/>
      <x:c r="N463" s="1"/>
      <x:c r="O463" s="1"/>
    </x:row>
    <x:row r="464">
      <x:c r="A464" s="1" t="str">
        <x:v>S0463</x:v>
      </x:c>
      <x:c r="B464" s="1" t="str">
        <x:v>44</x:v>
      </x:c>
      <x:c r="C464" s="1" t="str">
        <x:v>basic</x:v>
      </x:c>
      <x:c r="D464" s="1" t="str">
        <x:v>9.99</x:v>
      </x:c>
      <x:c r="E464" s="1" t="str">
        <x:v>1</x:v>
      </x:c>
      <x:c r="F464" s="1" t="str">
        <x:v>22</x:v>
      </x:c>
      <x:c r="G464" s="1" t="str">
        <x:v>3</x:v>
      </x:c>
      <x:c r="H464" s="1" t="str">
        <x:v>0</x:v>
      </x:c>
      <x:c r="I464" s="1" t="str">
        <x:v>0</x:v>
      </x:c>
      <x:c r="J464" s="1" t="str">
        <x:v>no</x:v>
      </x:c>
      <x:c r="K464" s="1"/>
      <x:c r="L464" s="1"/>
      <x:c r="M464" s="1"/>
      <x:c r="N464" s="1"/>
      <x:c r="O464" s="1"/>
    </x:row>
    <x:row r="465">
      <x:c r="A465" s="1" t="str">
        <x:v>S0464</x:v>
      </x:c>
      <x:c r="B465" s="1" t="str">
        <x:v>43</x:v>
      </x:c>
      <x:c r="C465" s="1" t="str">
        <x:v>premium</x:v>
      </x:c>
      <x:c r="D465" s="1" t="str">
        <x:v>15.99</x:v>
      </x:c>
      <x:c r="E465" s="1" t="str">
        <x:v>1</x:v>
      </x:c>
      <x:c r="F465" s="1" t="str">
        <x:v>22</x:v>
      </x:c>
      <x:c r="G465" s="1" t="str">
        <x:v>7</x:v>
      </x:c>
      <x:c r="H465" s="1" t="str">
        <x:v>0</x:v>
      </x:c>
      <x:c r="I465" s="1" t="str">
        <x:v>0</x:v>
      </x:c>
      <x:c r="J465" s="1" t="str">
        <x:v>no</x:v>
      </x:c>
      <x:c r="K465" s="1"/>
      <x:c r="L465" s="1"/>
      <x:c r="M465" s="1"/>
      <x:c r="N465" s="1"/>
      <x:c r="O465" s="1"/>
    </x:row>
    <x:row r="466">
      <x:c r="A466" s="1" t="str">
        <x:v>S0465</x:v>
      </x:c>
      <x:c r="B466" s="1" t="str">
        <x:v>5</x:v>
      </x:c>
      <x:c r="C466" s="1" t="str">
        <x:v>premium</x:v>
      </x:c>
      <x:c r="D466" s="1" t="str">
        <x:v>15.99</x:v>
      </x:c>
      <x:c r="E466" s="1" t="str">
        <x:v>3</x:v>
      </x:c>
      <x:c r="F466" s="1" t="str">
        <x:v>17</x:v>
      </x:c>
      <x:c r="G466" s="1" t="str">
        <x:v>6</x:v>
      </x:c>
      <x:c r="H466" s="1" t="str">
        <x:v>0</x:v>
      </x:c>
      <x:c r="I466" s="1" t="str">
        <x:v>0</x:v>
      </x:c>
      <x:c r="J466" s="1" t="str">
        <x:v>no</x:v>
      </x:c>
      <x:c r="K466" s="1"/>
      <x:c r="L466" s="1"/>
      <x:c r="M466" s="1"/>
      <x:c r="N466" s="1"/>
      <x:c r="O466" s="1"/>
    </x:row>
    <x:row r="467">
      <x:c r="A467" s="1" t="str">
        <x:v>S0466</x:v>
      </x:c>
      <x:c r="B467" s="1" t="str">
        <x:v>33</x:v>
      </x:c>
      <x:c r="C467" s="1" t="str">
        <x:v>premium</x:v>
      </x:c>
      <x:c r="D467" s="1" t="str">
        <x:v>15.99</x:v>
      </x:c>
      <x:c r="E467" s="1" t="str">
        <x:v>2</x:v>
      </x:c>
      <x:c r="F467" s="1" t="str">
        <x:v>9</x:v>
      </x:c>
      <x:c r="G467" s="1" t="str">
        <x:v>14</x:v>
      </x:c>
      <x:c r="H467" s="1" t="str">
        <x:v>1</x:v>
      </x:c>
      <x:c r="I467" s="1" t="str">
        <x:v>1</x:v>
      </x:c>
      <x:c r="J467" s="1" t="str">
        <x:v>yes</x:v>
      </x:c>
      <x:c r="K467" s="1"/>
      <x:c r="L467" s="1"/>
      <x:c r="M467" s="1"/>
      <x:c r="N467" s="1"/>
      <x:c r="O467" s="1"/>
    </x:row>
    <x:row r="468">
      <x:c r="A468" s="1" t="str">
        <x:v>S0467</x:v>
      </x:c>
      <x:c r="B468" s="1" t="str">
        <x:v>23</x:v>
      </x:c>
      <x:c r="C468" s="1" t="str">
        <x:v>basic</x:v>
      </x:c>
      <x:c r="D468" s="1" t="str">
        <x:v>9.99</x:v>
      </x:c>
      <x:c r="E468" s="1" t="str">
        <x:v>0</x:v>
      </x:c>
      <x:c r="F468" s="1" t="str">
        <x:v>12</x:v>
      </x:c>
      <x:c r="G468" s="1" t="str">
        <x:v>7</x:v>
      </x:c>
      <x:c r="H468" s="1" t="str">
        <x:v>0</x:v>
      </x:c>
      <x:c r="I468" s="1" t="str">
        <x:v>0</x:v>
      </x:c>
      <x:c r="J468" s="1" t="str">
        <x:v>no</x:v>
      </x:c>
      <x:c r="K468" s="1"/>
      <x:c r="L468" s="1"/>
      <x:c r="M468" s="1"/>
      <x:c r="N468" s="1"/>
      <x:c r="O468" s="1"/>
    </x:row>
    <x:row r="469">
      <x:c r="A469" s="1" t="str">
        <x:v>S0468</x:v>
      </x:c>
      <x:c r="B469" s="1" t="str">
        <x:v>18</x:v>
      </x:c>
      <x:c r="C469" s="1" t="str">
        <x:v>basic</x:v>
      </x:c>
      <x:c r="D469" s="1" t="str">
        <x:v>9.99</x:v>
      </x:c>
      <x:c r="E469" s="1" t="str">
        <x:v>0</x:v>
      </x:c>
      <x:c r="F469" s="1" t="str">
        <x:v>31</x:v>
      </x:c>
      <x:c r="G469" s="1" t="str">
        <x:v>2</x:v>
      </x:c>
      <x:c r="H469" s="1" t="str">
        <x:v>1</x:v>
      </x:c>
      <x:c r="I469" s="1" t="str">
        <x:v>0</x:v>
      </x:c>
      <x:c r="J469" s="1" t="str">
        <x:v>no</x:v>
      </x:c>
      <x:c r="K469" s="1"/>
      <x:c r="L469" s="1"/>
      <x:c r="M469" s="1"/>
      <x:c r="N469" s="1"/>
      <x:c r="O469" s="1"/>
    </x:row>
    <x:row r="470">
      <x:c r="A470" s="1" t="str">
        <x:v>S0469</x:v>
      </x:c>
      <x:c r="B470" s="1" t="str">
        <x:v>36</x:v>
      </x:c>
      <x:c r="C470" s="1" t="str">
        <x:v>premium</x:v>
      </x:c>
      <x:c r="D470" s="1" t="str">
        <x:v>15.99</x:v>
      </x:c>
      <x:c r="E470" s="1" t="str">
        <x:v>0</x:v>
      </x:c>
      <x:c r="F470" s="1" t="str">
        <x:v>11</x:v>
      </x:c>
      <x:c r="G470" s="1" t="str">
        <x:v>14</x:v>
      </x:c>
      <x:c r="H470" s="1" t="str">
        <x:v>0</x:v>
      </x:c>
      <x:c r="I470" s="1" t="str">
        <x:v>0</x:v>
      </x:c>
      <x:c r="J470" s="1" t="str">
        <x:v>no</x:v>
      </x:c>
      <x:c r="K470" s="1"/>
      <x:c r="L470" s="1"/>
      <x:c r="M470" s="1"/>
      <x:c r="N470" s="1"/>
      <x:c r="O470" s="1"/>
    </x:row>
    <x:row r="471">
      <x:c r="A471" s="1" t="str">
        <x:v>S0470</x:v>
      </x:c>
      <x:c r="B471" s="1" t="str">
        <x:v>28</x:v>
      </x:c>
      <x:c r="C471" s="1" t="str">
        <x:v>basic</x:v>
      </x:c>
      <x:c r="D471" s="1" t="str">
        <x:v>9.99</x:v>
      </x:c>
      <x:c r="E471" s="1" t="str">
        <x:v>1</x:v>
      </x:c>
      <x:c r="F471" s="1" t="str">
        <x:v>25</x:v>
      </x:c>
      <x:c r="G471" s="1" t="str">
        <x:v>6</x:v>
      </x:c>
      <x:c r="H471" s="1" t="str">
        <x:v>0</x:v>
      </x:c>
      <x:c r="I471" s="1" t="str">
        <x:v>0</x:v>
      </x:c>
      <x:c r="J471" s="1" t="str">
        <x:v>no</x:v>
      </x:c>
      <x:c r="K471" s="1"/>
      <x:c r="L471" s="1"/>
      <x:c r="M471" s="1"/>
      <x:c r="N471" s="1"/>
      <x:c r="O471" s="1"/>
    </x:row>
    <x:row r="472">
      <x:c r="A472" s="1" t="str">
        <x:v>S0471</x:v>
      </x:c>
      <x:c r="B472" s="1" t="str">
        <x:v>37</x:v>
      </x:c>
      <x:c r="C472" s="1" t="str">
        <x:v>basic</x:v>
      </x:c>
      <x:c r="D472" s="1" t="str">
        <x:v>9.99</x:v>
      </x:c>
      <x:c r="E472" s="1" t="str">
        <x:v>2</x:v>
      </x:c>
      <x:c r="F472" s="1" t="str">
        <x:v>11</x:v>
      </x:c>
      <x:c r="G472" s="1" t="str">
        <x:v>5</x:v>
      </x:c>
      <x:c r="H472" s="1" t="str">
        <x:v>0</x:v>
      </x:c>
      <x:c r="I472" s="1" t="str">
        <x:v>1</x:v>
      </x:c>
      <x:c r="J472" s="1" t="str">
        <x:v>no</x:v>
      </x:c>
      <x:c r="K472" s="1"/>
      <x:c r="L472" s="1"/>
      <x:c r="M472" s="1"/>
      <x:c r="N472" s="1"/>
      <x:c r="O472" s="1"/>
    </x:row>
    <x:row r="473">
      <x:c r="A473" s="1" t="str">
        <x:v>S0472</x:v>
      </x:c>
      <x:c r="B473" s="1" t="str">
        <x:v>7</x:v>
      </x:c>
      <x:c r="C473" s="1" t="str">
        <x:v>basic</x:v>
      </x:c>
      <x:c r="D473" s="1" t="str">
        <x:v>9.99</x:v>
      </x:c>
      <x:c r="E473" s="1" t="str">
        <x:v>0</x:v>
      </x:c>
      <x:c r="F473" s="1" t="str">
        <x:v>15</x:v>
      </x:c>
      <x:c r="G473" s="1" t="str">
        <x:v>0</x:v>
      </x:c>
      <x:c r="H473" s="1" t="str">
        <x:v>1</x:v>
      </x:c>
      <x:c r="I473" s="1" t="str">
        <x:v>1</x:v>
      </x:c>
      <x:c r="J473" s="1" t="str">
        <x:v>no</x:v>
      </x:c>
      <x:c r="K473" s="1"/>
      <x:c r="L473" s="1"/>
      <x:c r="M473" s="1"/>
      <x:c r="N473" s="1"/>
      <x:c r="O473" s="1"/>
    </x:row>
    <x:row r="474">
      <x:c r="A474" s="1" t="str">
        <x:v>S0473</x:v>
      </x:c>
      <x:c r="B474" s="1" t="str">
        <x:v>4</x:v>
      </x:c>
      <x:c r="C474" s="1" t="str">
        <x:v>basic</x:v>
      </x:c>
      <x:c r="D474" s="1" t="str">
        <x:v>9.99</x:v>
      </x:c>
      <x:c r="E474" s="1" t="str">
        <x:v>1</x:v>
      </x:c>
      <x:c r="F474" s="1" t="str">
        <x:v>15</x:v>
      </x:c>
      <x:c r="G474" s="1" t="str">
        <x:v>2</x:v>
      </x:c>
      <x:c r="H474" s="1" t="str">
        <x:v>0</x:v>
      </x:c>
      <x:c r="I474" s="1" t="str">
        <x:v>0</x:v>
      </x:c>
      <x:c r="J474" s="1" t="str">
        <x:v>no</x:v>
      </x:c>
      <x:c r="K474" s="1"/>
      <x:c r="L474" s="1"/>
      <x:c r="M474" s="1"/>
      <x:c r="N474" s="1"/>
      <x:c r="O474" s="1"/>
    </x:row>
    <x:row r="475">
      <x:c r="A475" s="1" t="str">
        <x:v>S0474</x:v>
      </x:c>
      <x:c r="B475" s="1" t="str">
        <x:v>31</x:v>
      </x:c>
      <x:c r="C475" s="1" t="str">
        <x:v>basic</x:v>
      </x:c>
      <x:c r="D475" s="1" t="str">
        <x:v>9.99</x:v>
      </x:c>
      <x:c r="E475" s="1" t="str">
        <x:v>0</x:v>
      </x:c>
      <x:c r="F475" s="1" t="str">
        <x:v>37</x:v>
      </x:c>
      <x:c r="G475" s="1" t="str">
        <x:v>3</x:v>
      </x:c>
      <x:c r="H475" s="1" t="str">
        <x:v>0</x:v>
      </x:c>
      <x:c r="I475" s="1" t="str">
        <x:v>0</x:v>
      </x:c>
      <x:c r="J475" s="1" t="str">
        <x:v>no</x:v>
      </x:c>
      <x:c r="K475" s="1"/>
      <x:c r="L475" s="1"/>
      <x:c r="M475" s="1"/>
      <x:c r="N475" s="1"/>
      <x:c r="O475" s="1"/>
    </x:row>
    <x:row r="476">
      <x:c r="A476" s="1" t="str">
        <x:v>S0475</x:v>
      </x:c>
      <x:c r="B476" s="1" t="str">
        <x:v>21</x:v>
      </x:c>
      <x:c r="C476" s="1" t="str">
        <x:v>basic</x:v>
      </x:c>
      <x:c r="D476" s="1" t="str">
        <x:v>9.99</x:v>
      </x:c>
      <x:c r="E476" s="1" t="str">
        <x:v>1</x:v>
      </x:c>
      <x:c r="F476" s="1" t="str">
        <x:v>30</x:v>
      </x:c>
      <x:c r="G476" s="1" t="str">
        <x:v>3</x:v>
      </x:c>
      <x:c r="H476" s="1" t="str">
        <x:v>0</x:v>
      </x:c>
      <x:c r="I476" s="1" t="str">
        <x:v>0</x:v>
      </x:c>
      <x:c r="J476" s="1" t="str">
        <x:v>no</x:v>
      </x:c>
      <x:c r="K476" s="1"/>
      <x:c r="L476" s="1"/>
      <x:c r="M476" s="1"/>
      <x:c r="N476" s="1"/>
      <x:c r="O476" s="1"/>
    </x:row>
    <x:row r="477">
      <x:c r="A477" s="1" t="str">
        <x:v>S0476</x:v>
      </x:c>
      <x:c r="B477" s="1" t="str">
        <x:v>22</x:v>
      </x:c>
      <x:c r="C477" s="1" t="str">
        <x:v>premium</x:v>
      </x:c>
      <x:c r="D477" s="1" t="str">
        <x:v>15.99</x:v>
      </x:c>
      <x:c r="E477" s="1" t="str">
        <x:v>0</x:v>
      </x:c>
      <x:c r="F477" s="1" t="str">
        <x:v>33</x:v>
      </x:c>
      <x:c r="G477" s="1" t="str">
        <x:v>3</x:v>
      </x:c>
      <x:c r="H477" s="1" t="str">
        <x:v>0</x:v>
      </x:c>
      <x:c r="I477" s="1" t="str">
        <x:v>1</x:v>
      </x:c>
      <x:c r="J477" s="1" t="str">
        <x:v>no</x:v>
      </x:c>
      <x:c r="K477" s="1"/>
      <x:c r="L477" s="1"/>
      <x:c r="M477" s="1"/>
      <x:c r="N477" s="1"/>
      <x:c r="O477" s="1"/>
    </x:row>
    <x:row r="478">
      <x:c r="A478" s="1" t="str">
        <x:v>S0477</x:v>
      </x:c>
      <x:c r="B478" s="1" t="str">
        <x:v>38</x:v>
      </x:c>
      <x:c r="C478" s="1" t="str">
        <x:v>basic</x:v>
      </x:c>
      <x:c r="D478" s="1" t="str">
        <x:v>9.99</x:v>
      </x:c>
      <x:c r="E478" s="1" t="str">
        <x:v>0</x:v>
      </x:c>
      <x:c r="F478" s="1" t="str">
        <x:v>0</x:v>
      </x:c>
      <x:c r="G478" s="1" t="str">
        <x:v>59</x:v>
      </x:c>
      <x:c r="H478" s="1" t="str">
        <x:v>0</x:v>
      </x:c>
      <x:c r="I478" s="1" t="str">
        <x:v>1</x:v>
      </x:c>
      <x:c r="J478" s="1" t="str">
        <x:v>no</x:v>
      </x:c>
      <x:c r="K478" s="1"/>
      <x:c r="L478" s="1"/>
      <x:c r="M478" s="1"/>
      <x:c r="N478" s="1"/>
      <x:c r="O478" s="1"/>
    </x:row>
    <x:row r="479">
      <x:c r="A479" s="1" t="str">
        <x:v>S0478</x:v>
      </x:c>
      <x:c r="B479" s="1" t="str">
        <x:v>26</x:v>
      </x:c>
      <x:c r="C479" s="1" t="str">
        <x:v>basic</x:v>
      </x:c>
      <x:c r="D479" s="1" t="str">
        <x:v>9.99</x:v>
      </x:c>
      <x:c r="E479" s="1" t="str">
        <x:v>3</x:v>
      </x:c>
      <x:c r="F479" s="1" t="str">
        <x:v>0</x:v>
      </x:c>
      <x:c r="G479" s="1" t="str">
        <x:v>42</x:v>
      </x:c>
      <x:c r="H479" s="1" t="str">
        <x:v>0</x:v>
      </x:c>
      <x:c r="I479" s="1" t="str">
        <x:v>1</x:v>
      </x:c>
      <x:c r="J479" s="1" t="str">
        <x:v>no</x:v>
      </x:c>
      <x:c r="K479" s="1"/>
      <x:c r="L479" s="1"/>
      <x:c r="M479" s="1"/>
      <x:c r="N479" s="1"/>
      <x:c r="O479" s="1"/>
    </x:row>
    <x:row r="480">
      <x:c r="A480" s="1" t="str">
        <x:v>S0479</x:v>
      </x:c>
      <x:c r="B480" s="1" t="str">
        <x:v>32</x:v>
      </x:c>
      <x:c r="C480" s="1" t="str">
        <x:v>basic</x:v>
      </x:c>
      <x:c r="D480" s="1" t="str">
        <x:v>9.99</x:v>
      </x:c>
      <x:c r="E480" s="1" t="str">
        <x:v>0</x:v>
      </x:c>
      <x:c r="F480" s="1" t="str">
        <x:v>18</x:v>
      </x:c>
      <x:c r="G480" s="1" t="str">
        <x:v>19</x:v>
      </x:c>
      <x:c r="H480" s="1" t="str">
        <x:v>0</x:v>
      </x:c>
      <x:c r="I480" s="1" t="str">
        <x:v>1</x:v>
      </x:c>
      <x:c r="J480" s="1" t="str">
        <x:v>no</x:v>
      </x:c>
      <x:c r="K480" s="1"/>
      <x:c r="L480" s="1"/>
      <x:c r="M480" s="1"/>
      <x:c r="N480" s="1"/>
      <x:c r="O480" s="1"/>
    </x:row>
    <x:row r="481">
      <x:c r="A481" s="1" t="str">
        <x:v>S0480</x:v>
      </x:c>
      <x:c r="B481" s="1" t="str">
        <x:v>3</x:v>
      </x:c>
      <x:c r="C481" s="1" t="str">
        <x:v>basic</x:v>
      </x:c>
      <x:c r="D481" s="1" t="str">
        <x:v>9.99</x:v>
      </x:c>
      <x:c r="E481" s="1" t="str">
        <x:v>1</x:v>
      </x:c>
      <x:c r="F481" s="1" t="str">
        <x:v>9</x:v>
      </x:c>
      <x:c r="G481" s="1" t="str">
        <x:v>4</x:v>
      </x:c>
      <x:c r="H481" s="1" t="str">
        <x:v>1</x:v>
      </x:c>
      <x:c r="I481" s="1" t="str">
        <x:v>0</x:v>
      </x:c>
      <x:c r="J481" s="1" t="str">
        <x:v>no</x:v>
      </x:c>
      <x:c r="K481" s="1"/>
      <x:c r="L481" s="1"/>
      <x:c r="M481" s="1"/>
      <x:c r="N481" s="1"/>
      <x:c r="O481" s="1"/>
    </x:row>
    <x:row r="482">
      <x:c r="A482" s="1" t="str">
        <x:v>S0481</x:v>
      </x:c>
      <x:c r="B482" s="1" t="str">
        <x:v>12</x:v>
      </x:c>
      <x:c r="C482" s="1" t="str">
        <x:v>basic</x:v>
      </x:c>
      <x:c r="D482" s="1" t="str">
        <x:v>9.99</x:v>
      </x:c>
      <x:c r="E482" s="1" t="str">
        <x:v>1</x:v>
      </x:c>
      <x:c r="F482" s="1" t="str">
        <x:v>30</x:v>
      </x:c>
      <x:c r="G482" s="1" t="str">
        <x:v>1</x:v>
      </x:c>
      <x:c r="H482" s="1" t="str">
        <x:v>0</x:v>
      </x:c>
      <x:c r="I482" s="1" t="str">
        <x:v>0</x:v>
      </x:c>
      <x:c r="J482" s="1" t="str">
        <x:v>no</x:v>
      </x:c>
      <x:c r="K482" s="1"/>
      <x:c r="L482" s="1"/>
      <x:c r="M482" s="1"/>
      <x:c r="N482" s="1"/>
      <x:c r="O482" s="1"/>
    </x:row>
    <x:row r="483">
      <x:c r="A483" s="1" t="str">
        <x:v>S0482</x:v>
      </x:c>
      <x:c r="B483" s="1" t="str">
        <x:v>15</x:v>
      </x:c>
      <x:c r="C483" s="1" t="str">
        <x:v>basic</x:v>
      </x:c>
      <x:c r="D483" s="1" t="str">
        <x:v>9.99</x:v>
      </x:c>
      <x:c r="E483" s="1" t="str">
        <x:v>0</x:v>
      </x:c>
      <x:c r="F483" s="1" t="str">
        <x:v>1</x:v>
      </x:c>
      <x:c r="G483" s="1" t="str">
        <x:v>16</x:v>
      </x:c>
      <x:c r="H483" s="1" t="str">
        <x:v>0</x:v>
      </x:c>
      <x:c r="I483" s="1" t="str">
        <x:v>0</x:v>
      </x:c>
      <x:c r="J483" s="1" t="str">
        <x:v>yes</x:v>
      </x:c>
      <x:c r="K483" s="1"/>
      <x:c r="L483" s="1"/>
      <x:c r="M483" s="1"/>
      <x:c r="N483" s="1"/>
      <x:c r="O483" s="1"/>
    </x:row>
    <x:row r="484">
      <x:c r="A484" s="1" t="str">
        <x:v>S0483</x:v>
      </x:c>
      <x:c r="B484" s="1" t="str">
        <x:v>29</x:v>
      </x:c>
      <x:c r="C484" s="1" t="str">
        <x:v>premium</x:v>
      </x:c>
      <x:c r="D484" s="1" t="str">
        <x:v>15.99</x:v>
      </x:c>
      <x:c r="E484" s="1" t="str">
        <x:v>1</x:v>
      </x:c>
      <x:c r="F484" s="1" t="str">
        <x:v>16</x:v>
      </x:c>
      <x:c r="G484" s="1" t="str">
        <x:v>18</x:v>
      </x:c>
      <x:c r="H484" s="1" t="str">
        <x:v>0</x:v>
      </x:c>
      <x:c r="I484" s="1" t="str">
        <x:v>0</x:v>
      </x:c>
      <x:c r="J484" s="1" t="str">
        <x:v>no</x:v>
      </x:c>
      <x:c r="K484" s="1"/>
      <x:c r="L484" s="1"/>
      <x:c r="M484" s="1"/>
      <x:c r="N484" s="1"/>
      <x:c r="O484" s="1"/>
    </x:row>
    <x:row r="485">
      <x:c r="A485" s="1" t="str">
        <x:v>S0484</x:v>
      </x:c>
      <x:c r="B485" s="1" t="str">
        <x:v>7</x:v>
      </x:c>
      <x:c r="C485" s="1" t="str">
        <x:v>premium</x:v>
      </x:c>
      <x:c r="D485" s="1" t="str">
        <x:v>15.99</x:v>
      </x:c>
      <x:c r="E485" s="1" t="str">
        <x:v>2</x:v>
      </x:c>
      <x:c r="F485" s="1" t="str">
        <x:v>16</x:v>
      </x:c>
      <x:c r="G485" s="1" t="str">
        <x:v>4</x:v>
      </x:c>
      <x:c r="H485" s="1" t="str">
        <x:v>0</x:v>
      </x:c>
      <x:c r="I485" s="1" t="str">
        <x:v>1</x:v>
      </x:c>
      <x:c r="J485" s="1" t="str">
        <x:v>no</x:v>
      </x:c>
      <x:c r="K485" s="1"/>
      <x:c r="L485" s="1"/>
      <x:c r="M485" s="1"/>
      <x:c r="N485" s="1"/>
      <x:c r="O485" s="1"/>
    </x:row>
    <x:row r="486">
      <x:c r="A486" s="1" t="str">
        <x:v>S0485</x:v>
      </x:c>
      <x:c r="B486" s="1" t="str">
        <x:v>45</x:v>
      </x:c>
      <x:c r="C486" s="1" t="str">
        <x:v>premium</x:v>
      </x:c>
      <x:c r="D486" s="1" t="str">
        <x:v>15.99</x:v>
      </x:c>
      <x:c r="E486" s="1" t="str">
        <x:v>2</x:v>
      </x:c>
      <x:c r="F486" s="1" t="str">
        <x:v>8</x:v>
      </x:c>
      <x:c r="G486" s="1" t="str">
        <x:v>24</x:v>
      </x:c>
      <x:c r="H486" s="1" t="str">
        <x:v>0</x:v>
      </x:c>
      <x:c r="I486" s="1" t="str">
        <x:v>0</x:v>
      </x:c>
      <x:c r="J486" s="1" t="str">
        <x:v>no</x:v>
      </x:c>
      <x:c r="K486" s="1"/>
      <x:c r="L486" s="1"/>
      <x:c r="M486" s="1"/>
      <x:c r="N486" s="1"/>
      <x:c r="O486" s="1"/>
    </x:row>
    <x:row r="487">
      <x:c r="A487" s="1" t="str">
        <x:v>S0486</x:v>
      </x:c>
      <x:c r="B487" s="1" t="str">
        <x:v>39</x:v>
      </x:c>
      <x:c r="C487" s="1" t="str">
        <x:v>basic</x:v>
      </x:c>
      <x:c r="D487" s="1" t="str">
        <x:v>9.99</x:v>
      </x:c>
      <x:c r="E487" s="1" t="str">
        <x:v>2</x:v>
      </x:c>
      <x:c r="F487" s="1" t="str">
        <x:v>17</x:v>
      </x:c>
      <x:c r="G487" s="1" t="str">
        <x:v>7</x:v>
      </x:c>
      <x:c r="H487" s="1" t="str">
        <x:v>0</x:v>
      </x:c>
      <x:c r="I487" s="1" t="str">
        <x:v>0</x:v>
      </x:c>
      <x:c r="J487" s="1" t="str">
        <x:v>no</x:v>
      </x:c>
      <x:c r="K487" s="1"/>
      <x:c r="L487" s="1"/>
      <x:c r="M487" s="1"/>
      <x:c r="N487" s="1"/>
      <x:c r="O487" s="1"/>
    </x:row>
    <x:row r="488">
      <x:c r="A488" s="1" t="str">
        <x:v>S0487</x:v>
      </x:c>
      <x:c r="B488" s="1" t="str">
        <x:v>26</x:v>
      </x:c>
      <x:c r="C488" s="1" t="str">
        <x:v>basic</x:v>
      </x:c>
      <x:c r="D488" s="1" t="str">
        <x:v>9.99</x:v>
      </x:c>
      <x:c r="E488" s="1" t="str">
        <x:v>2</x:v>
      </x:c>
      <x:c r="F488" s="1" t="str">
        <x:v>0</x:v>
      </x:c>
      <x:c r="G488" s="1" t="str">
        <x:v>59</x:v>
      </x:c>
      <x:c r="H488" s="1" t="str">
        <x:v>1</x:v>
      </x:c>
      <x:c r="I488" s="1" t="str">
        <x:v>1</x:v>
      </x:c>
      <x:c r="J488" s="1" t="str">
        <x:v>yes</x:v>
      </x:c>
      <x:c r="K488" s="1"/>
      <x:c r="L488" s="1"/>
      <x:c r="M488" s="1"/>
      <x:c r="N488" s="1"/>
      <x:c r="O488" s="1"/>
    </x:row>
    <x:row r="489">
      <x:c r="A489" s="1" t="str">
        <x:v>S0488</x:v>
      </x:c>
      <x:c r="B489" s="1" t="str">
        <x:v>27</x:v>
      </x:c>
      <x:c r="C489" s="1" t="str">
        <x:v>basic</x:v>
      </x:c>
      <x:c r="D489" s="1" t="str">
        <x:v>9.99</x:v>
      </x:c>
      <x:c r="E489" s="1" t="str">
        <x:v>0</x:v>
      </x:c>
      <x:c r="F489" s="1" t="str">
        <x:v>26</x:v>
      </x:c>
      <x:c r="G489" s="1" t="str">
        <x:v>4</x:v>
      </x:c>
      <x:c r="H489" s="1" t="str">
        <x:v>0</x:v>
      </x:c>
      <x:c r="I489" s="1" t="str">
        <x:v>0</x:v>
      </x:c>
      <x:c r="J489" s="1" t="str">
        <x:v>no</x:v>
      </x:c>
      <x:c r="K489" s="1"/>
      <x:c r="L489" s="1"/>
      <x:c r="M489" s="1"/>
      <x:c r="N489" s="1"/>
      <x:c r="O489" s="1"/>
    </x:row>
    <x:row r="490">
      <x:c r="A490" s="1" t="str">
        <x:v>S0489</x:v>
      </x:c>
      <x:c r="B490" s="1" t="str">
        <x:v>35</x:v>
      </x:c>
      <x:c r="C490" s="1" t="str">
        <x:v>basic</x:v>
      </x:c>
      <x:c r="D490" s="1" t="str">
        <x:v>9.99</x:v>
      </x:c>
      <x:c r="E490" s="1" t="str">
        <x:v>2</x:v>
      </x:c>
      <x:c r="F490" s="1" t="str">
        <x:v>21</x:v>
      </x:c>
      <x:c r="G490" s="1" t="str">
        <x:v>11</x:v>
      </x:c>
      <x:c r="H490" s="1" t="str">
        <x:v>2</x:v>
      </x:c>
      <x:c r="I490" s="1" t="str">
        <x:v>0</x:v>
      </x:c>
      <x:c r="J490" s="1" t="str">
        <x:v>no</x:v>
      </x:c>
      <x:c r="K490" s="1"/>
      <x:c r="L490" s="1"/>
      <x:c r="M490" s="1"/>
      <x:c r="N490" s="1"/>
      <x:c r="O490" s="1"/>
    </x:row>
    <x:row r="491">
      <x:c r="A491" s="1" t="str">
        <x:v>S0490</x:v>
      </x:c>
      <x:c r="B491" s="1" t="str">
        <x:v>29</x:v>
      </x:c>
      <x:c r="C491" s="1" t="str">
        <x:v>basic</x:v>
      </x:c>
      <x:c r="D491" s="1" t="str">
        <x:v>9.99</x:v>
      </x:c>
      <x:c r="E491" s="1" t="str">
        <x:v>2</x:v>
      </x:c>
      <x:c r="F491" s="1" t="str">
        <x:v>20</x:v>
      </x:c>
      <x:c r="G491" s="1" t="str">
        <x:v>0</x:v>
      </x:c>
      <x:c r="H491" s="1" t="str">
        <x:v>0</x:v>
      </x:c>
      <x:c r="I491" s="1" t="str">
        <x:v>1</x:v>
      </x:c>
      <x:c r="J491" s="1" t="str">
        <x:v>no</x:v>
      </x:c>
      <x:c r="K491" s="1"/>
      <x:c r="L491" s="1"/>
      <x:c r="M491" s="1"/>
      <x:c r="N491" s="1"/>
      <x:c r="O491" s="1"/>
    </x:row>
    <x:row r="492">
      <x:c r="A492" s="1" t="str">
        <x:v>S0491</x:v>
      </x:c>
      <x:c r="B492" s="1" t="str">
        <x:v>4</x:v>
      </x:c>
      <x:c r="C492" s="1" t="str">
        <x:v>basic</x:v>
      </x:c>
      <x:c r="D492" s="1" t="str">
        <x:v>9.99</x:v>
      </x:c>
      <x:c r="E492" s="1" t="str">
        <x:v>0</x:v>
      </x:c>
      <x:c r="F492" s="1" t="str">
        <x:v>26</x:v>
      </x:c>
      <x:c r="G492" s="1" t="str">
        <x:v>5</x:v>
      </x:c>
      <x:c r="H492" s="1" t="str">
        <x:v>1</x:v>
      </x:c>
      <x:c r="I492" s="1" t="str">
        <x:v>0</x:v>
      </x:c>
      <x:c r="J492" s="1" t="str">
        <x:v>no</x:v>
      </x:c>
      <x:c r="K492" s="1"/>
      <x:c r="L492" s="1"/>
      <x:c r="M492" s="1"/>
      <x:c r="N492" s="1"/>
      <x:c r="O492" s="1"/>
    </x:row>
    <x:row r="493">
      <x:c r="A493" s="1" t="str">
        <x:v>S0492</x:v>
      </x:c>
      <x:c r="B493" s="1" t="str">
        <x:v>23</x:v>
      </x:c>
      <x:c r="C493" s="1" t="str">
        <x:v>basic</x:v>
      </x:c>
      <x:c r="D493" s="1" t="str">
        <x:v>9.99</x:v>
      </x:c>
      <x:c r="E493" s="1" t="str">
        <x:v>3</x:v>
      </x:c>
      <x:c r="F493" s="1" t="str">
        <x:v>12</x:v>
      </x:c>
      <x:c r="G493" s="1" t="str">
        <x:v>6</x:v>
      </x:c>
      <x:c r="H493" s="1" t="str">
        <x:v>0</x:v>
      </x:c>
      <x:c r="I493" s="1" t="str">
        <x:v>1</x:v>
      </x:c>
      <x:c r="J493" s="1" t="str">
        <x:v>no</x:v>
      </x:c>
      <x:c r="K493" s="1"/>
      <x:c r="L493" s="1"/>
      <x:c r="M493" s="1"/>
      <x:c r="N493" s="1"/>
      <x:c r="O493" s="1"/>
    </x:row>
    <x:row r="494">
      <x:c r="A494" s="1" t="str">
        <x:v>S0493</x:v>
      </x:c>
      <x:c r="B494" s="1" t="str">
        <x:v>14</x:v>
      </x:c>
      <x:c r="C494" s="1" t="str">
        <x:v>basic</x:v>
      </x:c>
      <x:c r="D494" s="1" t="str">
        <x:v>9.99</x:v>
      </x:c>
      <x:c r="E494" s="1" t="str">
        <x:v>0</x:v>
      </x:c>
      <x:c r="F494" s="1" t="str">
        <x:v>10</x:v>
      </x:c>
      <x:c r="G494" s="1" t="str">
        <x:v>6</x:v>
      </x:c>
      <x:c r="H494" s="1" t="str">
        <x:v>0</x:v>
      </x:c>
      <x:c r="I494" s="1" t="str">
        <x:v>0</x:v>
      </x:c>
      <x:c r="J494" s="1" t="str">
        <x:v>yes</x:v>
      </x:c>
      <x:c r="K494" s="1"/>
      <x:c r="L494" s="1"/>
      <x:c r="M494" s="1"/>
      <x:c r="N494" s="1"/>
      <x:c r="O494" s="1"/>
    </x:row>
    <x:row r="495">
      <x:c r="A495" s="1" t="str">
        <x:v>S0494</x:v>
      </x:c>
      <x:c r="B495" s="1" t="str">
        <x:v>44</x:v>
      </x:c>
      <x:c r="C495" s="1" t="str">
        <x:v>basic</x:v>
      </x:c>
      <x:c r="D495" s="1" t="str">
        <x:v>9.99</x:v>
      </x:c>
      <x:c r="E495" s="1" t="str">
        <x:v>0</x:v>
      </x:c>
      <x:c r="F495" s="1" t="str">
        <x:v>6</x:v>
      </x:c>
      <x:c r="G495" s="1" t="str">
        <x:v>28</x:v>
      </x:c>
      <x:c r="H495" s="1" t="str">
        <x:v>0</x:v>
      </x:c>
      <x:c r="I495" s="1" t="str">
        <x:v>0</x:v>
      </x:c>
      <x:c r="J495" s="1" t="str">
        <x:v>no</x:v>
      </x:c>
      <x:c r="K495" s="1"/>
      <x:c r="L495" s="1"/>
      <x:c r="M495" s="1"/>
      <x:c r="N495" s="1"/>
      <x:c r="O495" s="1"/>
    </x:row>
    <x:row r="496">
      <x:c r="A496" s="1" t="str">
        <x:v>S0495</x:v>
      </x:c>
      <x:c r="B496" s="1" t="str">
        <x:v>48</x:v>
      </x:c>
      <x:c r="C496" s="1" t="str">
        <x:v>basic</x:v>
      </x:c>
      <x:c r="D496" s="1" t="str">
        <x:v>9.99</x:v>
      </x:c>
      <x:c r="E496" s="1" t="str">
        <x:v>3</x:v>
      </x:c>
      <x:c r="F496" s="1" t="str">
        <x:v>17</x:v>
      </x:c>
      <x:c r="G496" s="1" t="str">
        <x:v>19</x:v>
      </x:c>
      <x:c r="H496" s="1" t="str">
        <x:v>0</x:v>
      </x:c>
      <x:c r="I496" s="1" t="str">
        <x:v>0</x:v>
      </x:c>
      <x:c r="J496" s="1" t="str">
        <x:v>no</x:v>
      </x:c>
      <x:c r="K496" s="1"/>
      <x:c r="L496" s="1"/>
      <x:c r="M496" s="1"/>
      <x:c r="N496" s="1"/>
      <x:c r="O496" s="1"/>
    </x:row>
    <x:row r="497">
      <x:c r="A497" s="1" t="str">
        <x:v>S0496</x:v>
      </x:c>
      <x:c r="B497" s="1" t="str">
        <x:v>2</x:v>
      </x:c>
      <x:c r="C497" s="1" t="str">
        <x:v>basic</x:v>
      </x:c>
      <x:c r="D497" s="1" t="str">
        <x:v>9.99</x:v>
      </x:c>
      <x:c r="E497" s="1" t="str">
        <x:v>0</x:v>
      </x:c>
      <x:c r="F497" s="1" t="str">
        <x:v>23</x:v>
      </x:c>
      <x:c r="G497" s="1" t="str">
        <x:v>0</x:v>
      </x:c>
      <x:c r="H497" s="1" t="str">
        <x:v>0</x:v>
      </x:c>
      <x:c r="I497" s="1" t="str">
        <x:v>0</x:v>
      </x:c>
      <x:c r="J497" s="1" t="str">
        <x:v>no</x:v>
      </x:c>
      <x:c r="K497" s="1"/>
      <x:c r="L497" s="1"/>
      <x:c r="M497" s="1"/>
      <x:c r="N497" s="1"/>
      <x:c r="O497" s="1"/>
    </x:row>
    <x:row r="498">
      <x:c r="A498" s="1" t="str">
        <x:v>S0497</x:v>
      </x:c>
      <x:c r="B498" s="1" t="str">
        <x:v>41</x:v>
      </x:c>
      <x:c r="C498" s="1" t="str">
        <x:v>premium</x:v>
      </x:c>
      <x:c r="D498" s="1" t="str">
        <x:v>15.99</x:v>
      </x:c>
      <x:c r="E498" s="1" t="str">
        <x:v>2</x:v>
      </x:c>
      <x:c r="F498" s="1" t="str">
        <x:v>20</x:v>
      </x:c>
      <x:c r="G498" s="1" t="str">
        <x:v>7</x:v>
      </x:c>
      <x:c r="H498" s="1" t="str">
        <x:v>2</x:v>
      </x:c>
      <x:c r="I498" s="1" t="str">
        <x:v>0</x:v>
      </x:c>
      <x:c r="J498" s="1" t="str">
        <x:v>yes</x:v>
      </x:c>
      <x:c r="K498" s="1"/>
      <x:c r="L498" s="1"/>
      <x:c r="M498" s="1"/>
      <x:c r="N498" s="1"/>
      <x:c r="O498" s="1"/>
    </x:row>
    <x:row r="499">
      <x:c r="A499" s="1" t="str">
        <x:v>S0498</x:v>
      </x:c>
      <x:c r="B499" s="1" t="str">
        <x:v>3</x:v>
      </x:c>
      <x:c r="C499" s="1" t="str">
        <x:v>premium</x:v>
      </x:c>
      <x:c r="D499" s="1" t="str">
        <x:v>15.99</x:v>
      </x:c>
      <x:c r="E499" s="1" t="str">
        <x:v>3</x:v>
      </x:c>
      <x:c r="F499" s="1" t="str">
        <x:v>0</x:v>
      </x:c>
      <x:c r="G499" s="1" t="str">
        <x:v>51</x:v>
      </x:c>
      <x:c r="H499" s="1" t="str">
        <x:v>0</x:v>
      </x:c>
      <x:c r="I499" s="1" t="str">
        <x:v>0</x:v>
      </x:c>
      <x:c r="J499" s="1" t="str">
        <x:v>yes</x:v>
      </x:c>
      <x:c r="K499" s="1"/>
      <x:c r="L499" s="1"/>
      <x:c r="M499" s="1"/>
      <x:c r="N499" s="1"/>
      <x:c r="O499" s="1"/>
    </x:row>
    <x:row r="500">
      <x:c r="A500" s="1" t="str">
        <x:v>S0499</x:v>
      </x:c>
      <x:c r="B500" s="1" t="str">
        <x:v>48</x:v>
      </x:c>
      <x:c r="C500" s="1" t="str">
        <x:v>basic</x:v>
      </x:c>
      <x:c r="D500" s="1" t="str">
        <x:v>9.99</x:v>
      </x:c>
      <x:c r="E500" s="1" t="str">
        <x:v>1</x:v>
      </x:c>
      <x:c r="F500" s="1" t="str">
        <x:v>10</x:v>
      </x:c>
      <x:c r="G500" s="1" t="str">
        <x:v>8</x:v>
      </x:c>
      <x:c r="H500" s="1" t="str">
        <x:v>0</x:v>
      </x:c>
      <x:c r="I500" s="1" t="str">
        <x:v>0</x:v>
      </x:c>
      <x:c r="J500" s="1" t="str">
        <x:v>no</x:v>
      </x:c>
      <x:c r="K500" s="1"/>
      <x:c r="L500" s="1"/>
      <x:c r="M500" s="1"/>
      <x:c r="N500" s="1"/>
      <x:c r="O500" s="1"/>
    </x:row>
    <x:row r="501">
      <x:c r="A501" s="1" t="str">
        <x:v>S0500</x:v>
      </x:c>
      <x:c r="B501" s="1" t="str">
        <x:v>41</x:v>
      </x:c>
      <x:c r="C501" s="1" t="str">
        <x:v>premium</x:v>
      </x:c>
      <x:c r="D501" s="1" t="str">
        <x:v>15.99</x:v>
      </x:c>
      <x:c r="E501" s="1" t="str">
        <x:v>1</x:v>
      </x:c>
      <x:c r="F501" s="1" t="str">
        <x:v>12</x:v>
      </x:c>
      <x:c r="G501" s="1" t="str">
        <x:v>7</x:v>
      </x:c>
      <x:c r="H501" s="1" t="str">
        <x:v>0</x:v>
      </x:c>
      <x:c r="I501" s="1" t="str">
        <x:v>0</x:v>
      </x:c>
      <x:c r="J501" s="1" t="str">
        <x:v>no</x:v>
      </x:c>
      <x:c r="K501" s="1"/>
      <x:c r="L501" s="1"/>
      <x:c r="M501" s="1"/>
      <x:c r="N501" s="1"/>
      <x:c r="O501" s="1"/>
    </x:row>
    <x:row r="502">
      <x:c r="A502" s="1" t="str">
        <x:v>S0501</x:v>
      </x:c>
      <x:c r="B502" s="1" t="str">
        <x:v>2</x:v>
      </x:c>
      <x:c r="C502" s="1" t="str">
        <x:v>basic</x:v>
      </x:c>
      <x:c r="D502" s="1" t="str">
        <x:v>9.99</x:v>
      </x:c>
      <x:c r="E502" s="1" t="str">
        <x:v>1</x:v>
      </x:c>
      <x:c r="F502" s="1" t="str">
        <x:v>19</x:v>
      </x:c>
      <x:c r="G502" s="1" t="str">
        <x:v>19</x:v>
      </x:c>
      <x:c r="H502" s="1" t="str">
        <x:v>1</x:v>
      </x:c>
      <x:c r="I502" s="1" t="str">
        <x:v>0</x:v>
      </x:c>
      <x:c r="J502" s="1" t="str">
        <x:v>yes</x:v>
      </x:c>
      <x:c r="K502" s="1"/>
      <x:c r="L502" s="1"/>
      <x:c r="M502" s="1"/>
      <x:c r="N502" s="1"/>
      <x:c r="O502" s="1"/>
    </x:row>
    <x:row r="503">
      <x:c r="A503" s="1" t="str">
        <x:v>S0502</x:v>
      </x:c>
      <x:c r="B503" s="1" t="str">
        <x:v>9</x:v>
      </x:c>
      <x:c r="C503" s="1" t="str">
        <x:v>premium</x:v>
      </x:c>
      <x:c r="D503" s="1" t="str">
        <x:v>15.99</x:v>
      </x:c>
      <x:c r="E503" s="1" t="str">
        <x:v>1</x:v>
      </x:c>
      <x:c r="F503" s="1" t="str">
        <x:v>23</x:v>
      </x:c>
      <x:c r="G503" s="1" t="str">
        <x:v>2</x:v>
      </x:c>
      <x:c r="H503" s="1" t="str">
        <x:v>0</x:v>
      </x:c>
      <x:c r="I503" s="1" t="str">
        <x:v>1</x:v>
      </x:c>
      <x:c r="J503" s="1" t="str">
        <x:v>no</x:v>
      </x:c>
      <x:c r="K503" s="1"/>
      <x:c r="L503" s="1"/>
      <x:c r="M503" s="1"/>
      <x:c r="N503" s="1"/>
      <x:c r="O503" s="1"/>
    </x:row>
    <x:row r="504">
      <x:c r="A504" s="1" t="str">
        <x:v>S0503</x:v>
      </x:c>
      <x:c r="B504" s="1" t="str">
        <x:v>36</x:v>
      </x:c>
      <x:c r="C504" s="1" t="str">
        <x:v>basic</x:v>
      </x:c>
      <x:c r="D504" s="1" t="str">
        <x:v>9.99</x:v>
      </x:c>
      <x:c r="E504" s="1" t="str">
        <x:v>1</x:v>
      </x:c>
      <x:c r="F504" s="1" t="str">
        <x:v>22</x:v>
      </x:c>
      <x:c r="G504" s="1" t="str">
        <x:v>4</x:v>
      </x:c>
      <x:c r="H504" s="1" t="str">
        <x:v>0</x:v>
      </x:c>
      <x:c r="I504" s="1" t="str">
        <x:v>0</x:v>
      </x:c>
      <x:c r="J504" s="1" t="str">
        <x:v>no</x:v>
      </x:c>
      <x:c r="K504" s="1"/>
      <x:c r="L504" s="1"/>
      <x:c r="M504" s="1"/>
      <x:c r="N504" s="1"/>
      <x:c r="O504" s="1"/>
    </x:row>
    <x:row r="505">
      <x:c r="A505" s="1" t="str">
        <x:v>S0504</x:v>
      </x:c>
      <x:c r="B505" s="1" t="str">
        <x:v>7</x:v>
      </x:c>
      <x:c r="C505" s="1" t="str">
        <x:v>premium</x:v>
      </x:c>
      <x:c r="D505" s="1" t="str">
        <x:v>15.99</x:v>
      </x:c>
      <x:c r="E505" s="1" t="str">
        <x:v>0</x:v>
      </x:c>
      <x:c r="F505" s="1" t="str">
        <x:v>11</x:v>
      </x:c>
      <x:c r="G505" s="1" t="str">
        <x:v>29</x:v>
      </x:c>
      <x:c r="H505" s="1" t="str">
        <x:v>0</x:v>
      </x:c>
      <x:c r="I505" s="1" t="str">
        <x:v>1</x:v>
      </x:c>
      <x:c r="J505" s="1" t="str">
        <x:v>yes</x:v>
      </x:c>
      <x:c r="K505" s="1"/>
      <x:c r="L505" s="1"/>
      <x:c r="M505" s="1"/>
      <x:c r="N505" s="1"/>
      <x:c r="O505" s="1"/>
    </x:row>
    <x:row r="506">
      <x:c r="A506" s="1" t="str">
        <x:v>S0505</x:v>
      </x:c>
      <x:c r="B506" s="1" t="str">
        <x:v>32</x:v>
      </x:c>
      <x:c r="C506" s="1" t="str">
        <x:v>basic</x:v>
      </x:c>
      <x:c r="D506" s="1" t="str">
        <x:v>9.99</x:v>
      </x:c>
      <x:c r="E506" s="1" t="str">
        <x:v>0</x:v>
      </x:c>
      <x:c r="F506" s="1" t="str">
        <x:v>13</x:v>
      </x:c>
      <x:c r="G506" s="1" t="str">
        <x:v>2</x:v>
      </x:c>
      <x:c r="H506" s="1" t="str">
        <x:v>0</x:v>
      </x:c>
      <x:c r="I506" s="1" t="str">
        <x:v>1</x:v>
      </x:c>
      <x:c r="J506" s="1" t="str">
        <x:v>no</x:v>
      </x:c>
      <x:c r="K506" s="1"/>
      <x:c r="L506" s="1"/>
      <x:c r="M506" s="1"/>
      <x:c r="N506" s="1"/>
      <x:c r="O506" s="1"/>
    </x:row>
    <x:row r="507">
      <x:c r="A507" s="1" t="str">
        <x:v>S0506</x:v>
      </x:c>
      <x:c r="B507" s="1" t="str">
        <x:v>30</x:v>
      </x:c>
      <x:c r="C507" s="1" t="str">
        <x:v>basic</x:v>
      </x:c>
      <x:c r="D507" s="1" t="str">
        <x:v>9.99</x:v>
      </x:c>
      <x:c r="E507" s="1" t="str">
        <x:v>0</x:v>
      </x:c>
      <x:c r="F507" s="1" t="str">
        <x:v>22</x:v>
      </x:c>
      <x:c r="G507" s="1" t="str">
        <x:v>5</x:v>
      </x:c>
      <x:c r="H507" s="1" t="str">
        <x:v>0</x:v>
      </x:c>
      <x:c r="I507" s="1" t="str">
        <x:v>1</x:v>
      </x:c>
      <x:c r="J507" s="1" t="str">
        <x:v>no</x:v>
      </x:c>
      <x:c r="K507" s="1"/>
      <x:c r="L507" s="1"/>
      <x:c r="M507" s="1"/>
      <x:c r="N507" s="1"/>
      <x:c r="O507" s="1"/>
    </x:row>
    <x:row r="508">
      <x:c r="A508" s="1" t="str">
        <x:v>S0507</x:v>
      </x:c>
      <x:c r="B508" s="1" t="str">
        <x:v>24</x:v>
      </x:c>
      <x:c r="C508" s="1" t="str">
        <x:v>basic</x:v>
      </x:c>
      <x:c r="D508" s="1" t="str">
        <x:v>9.99</x:v>
      </x:c>
      <x:c r="E508" s="1" t="str">
        <x:v>1</x:v>
      </x:c>
      <x:c r="F508" s="1" t="str">
        <x:v>1</x:v>
      </x:c>
      <x:c r="G508" s="1" t="str">
        <x:v>28</x:v>
      </x:c>
      <x:c r="H508" s="1" t="str">
        <x:v>0</x:v>
      </x:c>
      <x:c r="I508" s="1" t="str">
        <x:v>0</x:v>
      </x:c>
      <x:c r="J508" s="1" t="str">
        <x:v>yes</x:v>
      </x:c>
      <x:c r="K508" s="1"/>
      <x:c r="L508" s="1"/>
      <x:c r="M508" s="1"/>
      <x:c r="N508" s="1"/>
      <x:c r="O508" s="1"/>
    </x:row>
    <x:row r="509">
      <x:c r="A509" s="1" t="str">
        <x:v>S0508</x:v>
      </x:c>
      <x:c r="B509" s="1" t="str">
        <x:v>10</x:v>
      </x:c>
      <x:c r="C509" s="1" t="str">
        <x:v>premium</x:v>
      </x:c>
      <x:c r="D509" s="1" t="str">
        <x:v>15.99</x:v>
      </x:c>
      <x:c r="E509" s="1" t="str">
        <x:v>3</x:v>
      </x:c>
      <x:c r="F509" s="1" t="str">
        <x:v>14</x:v>
      </x:c>
      <x:c r="G509" s="1" t="str">
        <x:v>12</x:v>
      </x:c>
      <x:c r="H509" s="1" t="str">
        <x:v>0</x:v>
      </x:c>
      <x:c r="I509" s="1" t="str">
        <x:v>1</x:v>
      </x:c>
      <x:c r="J509" s="1" t="str">
        <x:v>yes</x:v>
      </x:c>
      <x:c r="K509" s="1"/>
      <x:c r="L509" s="1"/>
      <x:c r="M509" s="1"/>
      <x:c r="N509" s="1"/>
      <x:c r="O509" s="1"/>
    </x:row>
    <x:row r="510">
      <x:c r="A510" s="1" t="str">
        <x:v>S0509</x:v>
      </x:c>
      <x:c r="B510" s="1" t="str">
        <x:v>4</x:v>
      </x:c>
      <x:c r="C510" s="1" t="str">
        <x:v>basic</x:v>
      </x:c>
      <x:c r="D510" s="1" t="str">
        <x:v>9.99</x:v>
      </x:c>
      <x:c r="E510" s="1" t="str">
        <x:v>0</x:v>
      </x:c>
      <x:c r="F510" s="1" t="str">
        <x:v>32</x:v>
      </x:c>
      <x:c r="G510" s="1" t="str">
        <x:v>4</x:v>
      </x:c>
      <x:c r="H510" s="1" t="str">
        <x:v>0</x:v>
      </x:c>
      <x:c r="I510" s="1" t="str">
        <x:v>1</x:v>
      </x:c>
      <x:c r="J510" s="1" t="str">
        <x:v>no</x:v>
      </x:c>
      <x:c r="K510" s="1"/>
      <x:c r="L510" s="1"/>
      <x:c r="M510" s="1"/>
      <x:c r="N510" s="1"/>
      <x:c r="O510" s="1"/>
    </x:row>
    <x:row r="511">
      <x:c r="A511" s="1" t="str">
        <x:v>S0510</x:v>
      </x:c>
      <x:c r="B511" s="1" t="str">
        <x:v>18</x:v>
      </x:c>
      <x:c r="C511" s="1" t="str">
        <x:v>premium</x:v>
      </x:c>
      <x:c r="D511" s="1" t="str">
        <x:v>15.99</x:v>
      </x:c>
      <x:c r="E511" s="1" t="str">
        <x:v>3</x:v>
      </x:c>
      <x:c r="F511" s="1" t="str">
        <x:v>11</x:v>
      </x:c>
      <x:c r="G511" s="1" t="str">
        <x:v>7</x:v>
      </x:c>
      <x:c r="H511" s="1" t="str">
        <x:v>1</x:v>
      </x:c>
      <x:c r="I511" s="1" t="str">
        <x:v>0</x:v>
      </x:c>
      <x:c r="J511" s="1" t="str">
        <x:v>no</x:v>
      </x:c>
      <x:c r="K511" s="1"/>
      <x:c r="L511" s="1"/>
      <x:c r="M511" s="1"/>
      <x:c r="N511" s="1"/>
      <x:c r="O511" s="1"/>
    </x:row>
    <x:row r="512">
      <x:c r="A512" s="1" t="str">
        <x:v>S0511</x:v>
      </x:c>
      <x:c r="B512" s="1" t="str">
        <x:v>9</x:v>
      </x:c>
      <x:c r="C512" s="1" t="str">
        <x:v>premium</x:v>
      </x:c>
      <x:c r="D512" s="1" t="str">
        <x:v>15.99</x:v>
      </x:c>
      <x:c r="E512" s="1" t="str">
        <x:v>3</x:v>
      </x:c>
      <x:c r="F512" s="1" t="str">
        <x:v>16</x:v>
      </x:c>
      <x:c r="G512" s="1" t="str">
        <x:v>7</x:v>
      </x:c>
      <x:c r="H512" s="1" t="str">
        <x:v>0</x:v>
      </x:c>
      <x:c r="I512" s="1" t="str">
        <x:v>0</x:v>
      </x:c>
      <x:c r="J512" s="1" t="str">
        <x:v>no</x:v>
      </x:c>
      <x:c r="K512" s="1"/>
      <x:c r="L512" s="1"/>
      <x:c r="M512" s="1"/>
      <x:c r="N512" s="1"/>
      <x:c r="O512" s="1"/>
    </x:row>
    <x:row r="513">
      <x:c r="A513" s="1" t="str">
        <x:v>S0512</x:v>
      </x:c>
      <x:c r="B513" s="1" t="str">
        <x:v>9</x:v>
      </x:c>
      <x:c r="C513" s="1" t="str">
        <x:v>basic</x:v>
      </x:c>
      <x:c r="D513" s="1" t="str">
        <x:v>9.99</x:v>
      </x:c>
      <x:c r="E513" s="1" t="str">
        <x:v>0</x:v>
      </x:c>
      <x:c r="F513" s="1" t="str">
        <x:v>14</x:v>
      </x:c>
      <x:c r="G513" s="1" t="str">
        <x:v>7</x:v>
      </x:c>
      <x:c r="H513" s="1" t="str">
        <x:v>0</x:v>
      </x:c>
      <x:c r="I513" s="1" t="str">
        <x:v>0</x:v>
      </x:c>
      <x:c r="J513" s="1" t="str">
        <x:v>no</x:v>
      </x:c>
      <x:c r="K513" s="1"/>
      <x:c r="L513" s="1"/>
      <x:c r="M513" s="1"/>
      <x:c r="N513" s="1"/>
      <x:c r="O513" s="1"/>
    </x:row>
    <x:row r="514">
      <x:c r="A514" s="1" t="str">
        <x:v>S0513</x:v>
      </x:c>
      <x:c r="B514" s="1" t="str">
        <x:v>1</x:v>
      </x:c>
      <x:c r="C514" s="1" t="str">
        <x:v>basic</x:v>
      </x:c>
      <x:c r="D514" s="1" t="str">
        <x:v>9.99</x:v>
      </x:c>
      <x:c r="E514" s="1" t="str">
        <x:v>0</x:v>
      </x:c>
      <x:c r="F514" s="1" t="str">
        <x:v>7</x:v>
      </x:c>
      <x:c r="G514" s="1" t="str">
        <x:v>27</x:v>
      </x:c>
      <x:c r="H514" s="1" t="str">
        <x:v>1</x:v>
      </x:c>
      <x:c r="I514" s="1" t="str">
        <x:v>0</x:v>
      </x:c>
      <x:c r="J514" s="1" t="str">
        <x:v>no</x:v>
      </x:c>
      <x:c r="K514" s="1"/>
      <x:c r="L514" s="1"/>
      <x:c r="M514" s="1"/>
      <x:c r="N514" s="1"/>
      <x:c r="O514" s="1"/>
    </x:row>
    <x:row r="515">
      <x:c r="A515" s="1" t="str">
        <x:v>S0514</x:v>
      </x:c>
      <x:c r="B515" s="1" t="str">
        <x:v>11</x:v>
      </x:c>
      <x:c r="C515" s="1" t="str">
        <x:v>premium</x:v>
      </x:c>
      <x:c r="D515" s="1" t="str">
        <x:v>15.99</x:v>
      </x:c>
      <x:c r="E515" s="1" t="str">
        <x:v>3</x:v>
      </x:c>
      <x:c r="F515" s="1" t="str">
        <x:v>0</x:v>
      </x:c>
      <x:c r="G515" s="1" t="str">
        <x:v>31</x:v>
      </x:c>
      <x:c r="H515" s="1" t="str">
        <x:v>0</x:v>
      </x:c>
      <x:c r="I515" s="1" t="str">
        <x:v>1</x:v>
      </x:c>
      <x:c r="J515" s="1" t="str">
        <x:v>yes</x:v>
      </x:c>
      <x:c r="K515" s="1"/>
      <x:c r="L515" s="1"/>
      <x:c r="M515" s="1"/>
      <x:c r="N515" s="1"/>
      <x:c r="O515" s="1"/>
    </x:row>
    <x:row r="516">
      <x:c r="A516" s="1" t="str">
        <x:v>S0515</x:v>
      </x:c>
      <x:c r="B516" s="1" t="str">
        <x:v>31</x:v>
      </x:c>
      <x:c r="C516" s="1" t="str">
        <x:v>basic</x:v>
      </x:c>
      <x:c r="D516" s="1" t="str">
        <x:v>9.99</x:v>
      </x:c>
      <x:c r="E516" s="1" t="str">
        <x:v>0</x:v>
      </x:c>
      <x:c r="F516" s="1" t="str">
        <x:v>11</x:v>
      </x:c>
      <x:c r="G516" s="1" t="str">
        <x:v>4</x:v>
      </x:c>
      <x:c r="H516" s="1" t="str">
        <x:v>0</x:v>
      </x:c>
      <x:c r="I516" s="1" t="str">
        <x:v>0</x:v>
      </x:c>
      <x:c r="J516" s="1" t="str">
        <x:v>no</x:v>
      </x:c>
      <x:c r="K516" s="1"/>
      <x:c r="L516" s="1"/>
      <x:c r="M516" s="1"/>
      <x:c r="N516" s="1"/>
      <x:c r="O516" s="1"/>
    </x:row>
    <x:row r="517">
      <x:c r="A517" s="1" t="str">
        <x:v>S0516</x:v>
      </x:c>
      <x:c r="B517" s="1" t="str">
        <x:v>35</x:v>
      </x:c>
      <x:c r="C517" s="1" t="str">
        <x:v>basic</x:v>
      </x:c>
      <x:c r="D517" s="1" t="str">
        <x:v>9.99</x:v>
      </x:c>
      <x:c r="E517" s="1" t="str">
        <x:v>1</x:v>
      </x:c>
      <x:c r="F517" s="1" t="str">
        <x:v>23</x:v>
      </x:c>
      <x:c r="G517" s="1" t="str">
        <x:v>14</x:v>
      </x:c>
      <x:c r="H517" s="1" t="str">
        <x:v>0</x:v>
      </x:c>
      <x:c r="I517" s="1" t="str">
        <x:v>0</x:v>
      </x:c>
      <x:c r="J517" s="1" t="str">
        <x:v>no</x:v>
      </x:c>
      <x:c r="K517" s="1"/>
      <x:c r="L517" s="1"/>
      <x:c r="M517" s="1"/>
      <x:c r="N517" s="1"/>
      <x:c r="O517" s="1"/>
    </x:row>
    <x:row r="518">
      <x:c r="A518" s="1" t="str">
        <x:v>S0517</x:v>
      </x:c>
      <x:c r="B518" s="1" t="str">
        <x:v>1</x:v>
      </x:c>
      <x:c r="C518" s="1" t="str">
        <x:v>basic</x:v>
      </x:c>
      <x:c r="D518" s="1" t="str">
        <x:v>9.99</x:v>
      </x:c>
      <x:c r="E518" s="1" t="str">
        <x:v>0</x:v>
      </x:c>
      <x:c r="F518" s="1" t="str">
        <x:v>8</x:v>
      </x:c>
      <x:c r="G518" s="1" t="str">
        <x:v>3</x:v>
      </x:c>
      <x:c r="H518" s="1" t="str">
        <x:v>0</x:v>
      </x:c>
      <x:c r="I518" s="1" t="str">
        <x:v>1</x:v>
      </x:c>
      <x:c r="J518" s="1" t="str">
        <x:v>no</x:v>
      </x:c>
      <x:c r="K518" s="1"/>
      <x:c r="L518" s="1"/>
      <x:c r="M518" s="1"/>
      <x:c r="N518" s="1"/>
      <x:c r="O518" s="1"/>
    </x:row>
    <x:row r="519">
      <x:c r="A519" s="1" t="str">
        <x:v>S0518</x:v>
      </x:c>
      <x:c r="B519" s="1" t="str">
        <x:v>40</x:v>
      </x:c>
      <x:c r="C519" s="1" t="str">
        <x:v>basic</x:v>
      </x:c>
      <x:c r="D519" s="1" t="str">
        <x:v>9.99</x:v>
      </x:c>
      <x:c r="E519" s="1" t="str">
        <x:v>0</x:v>
      </x:c>
      <x:c r="F519" s="1" t="str">
        <x:v>9</x:v>
      </x:c>
      <x:c r="G519" s="1" t="str">
        <x:v>13</x:v>
      </x:c>
      <x:c r="H519" s="1" t="str">
        <x:v>0</x:v>
      </x:c>
      <x:c r="I519" s="1" t="str">
        <x:v>0</x:v>
      </x:c>
      <x:c r="J519" s="1" t="str">
        <x:v>no</x:v>
      </x:c>
      <x:c r="K519" s="1"/>
      <x:c r="L519" s="1"/>
      <x:c r="M519" s="1"/>
      <x:c r="N519" s="1"/>
      <x:c r="O519" s="1"/>
    </x:row>
    <x:row r="520">
      <x:c r="A520" s="1" t="str">
        <x:v>S0519</x:v>
      </x:c>
      <x:c r="B520" s="1" t="str">
        <x:v>10</x:v>
      </x:c>
      <x:c r="C520" s="1" t="str">
        <x:v>basic</x:v>
      </x:c>
      <x:c r="D520" s="1" t="str">
        <x:v>9.99</x:v>
      </x:c>
      <x:c r="E520" s="1" t="str">
        <x:v>2</x:v>
      </x:c>
      <x:c r="F520" s="1" t="str">
        <x:v>0</x:v>
      </x:c>
      <x:c r="G520" s="1" t="str">
        <x:v>56</x:v>
      </x:c>
      <x:c r="H520" s="1" t="str">
        <x:v>0</x:v>
      </x:c>
      <x:c r="I520" s="1" t="str">
        <x:v>0</x:v>
      </x:c>
      <x:c r="J520" s="1" t="str">
        <x:v>yes</x:v>
      </x:c>
      <x:c r="K520" s="1"/>
      <x:c r="L520" s="1"/>
      <x:c r="M520" s="1"/>
      <x:c r="N520" s="1"/>
      <x:c r="O520" s="1"/>
    </x:row>
    <x:row r="521">
      <x:c r="A521" s="1" t="str">
        <x:v>S0520</x:v>
      </x:c>
      <x:c r="B521" s="1" t="str">
        <x:v>6</x:v>
      </x:c>
      <x:c r="C521" s="1" t="str">
        <x:v>basic</x:v>
      </x:c>
      <x:c r="D521" s="1" t="str">
        <x:v>9.99</x:v>
      </x:c>
      <x:c r="E521" s="1" t="str">
        <x:v>0</x:v>
      </x:c>
      <x:c r="F521" s="1" t="str">
        <x:v>27</x:v>
      </x:c>
      <x:c r="G521" s="1" t="str">
        <x:v>1</x:v>
      </x:c>
      <x:c r="H521" s="1" t="str">
        <x:v>1</x:v>
      </x:c>
      <x:c r="I521" s="1" t="str">
        <x:v>0</x:v>
      </x:c>
      <x:c r="J521" s="1" t="str">
        <x:v>no</x:v>
      </x:c>
      <x:c r="K521" s="1"/>
      <x:c r="L521" s="1"/>
      <x:c r="M521" s="1"/>
      <x:c r="N521" s="1"/>
      <x:c r="O521" s="1"/>
    </x:row>
    <x:row r="522">
      <x:c r="A522" s="1" t="str">
        <x:v>S0521</x:v>
      </x:c>
      <x:c r="B522" s="1" t="str">
        <x:v>46</x:v>
      </x:c>
      <x:c r="C522" s="1" t="str">
        <x:v>premium</x:v>
      </x:c>
      <x:c r="D522" s="1" t="str">
        <x:v>15.99</x:v>
      </x:c>
      <x:c r="E522" s="1" t="str">
        <x:v>0</x:v>
      </x:c>
      <x:c r="F522" s="1" t="str">
        <x:v>10</x:v>
      </x:c>
      <x:c r="G522" s="1" t="str">
        <x:v>7</x:v>
      </x:c>
      <x:c r="H522" s="1" t="str">
        <x:v>0</x:v>
      </x:c>
      <x:c r="I522" s="1" t="str">
        <x:v>0</x:v>
      </x:c>
      <x:c r="J522" s="1" t="str">
        <x:v>no</x:v>
      </x:c>
      <x:c r="K522" s="1"/>
      <x:c r="L522" s="1"/>
      <x:c r="M522" s="1"/>
      <x:c r="N522" s="1"/>
      <x:c r="O522" s="1"/>
    </x:row>
    <x:row r="523">
      <x:c r="A523" s="1" t="str">
        <x:v>S0522</x:v>
      </x:c>
      <x:c r="B523" s="1" t="str">
        <x:v>10</x:v>
      </x:c>
      <x:c r="C523" s="1" t="str">
        <x:v>basic</x:v>
      </x:c>
      <x:c r="D523" s="1" t="str">
        <x:v>9.99</x:v>
      </x:c>
      <x:c r="E523" s="1" t="str">
        <x:v>3</x:v>
      </x:c>
      <x:c r="F523" s="1" t="str">
        <x:v>13</x:v>
      </x:c>
      <x:c r="G523" s="1" t="str">
        <x:v>11</x:v>
      </x:c>
      <x:c r="H523" s="1" t="str">
        <x:v>0</x:v>
      </x:c>
      <x:c r="I523" s="1" t="str">
        <x:v>0</x:v>
      </x:c>
      <x:c r="J523" s="1" t="str">
        <x:v>yes</x:v>
      </x:c>
      <x:c r="K523" s="1"/>
      <x:c r="L523" s="1"/>
      <x:c r="M523" s="1"/>
      <x:c r="N523" s="1"/>
      <x:c r="O523" s="1"/>
    </x:row>
    <x:row r="524">
      <x:c r="A524" s="1" t="str">
        <x:v>S0523</x:v>
      </x:c>
      <x:c r="B524" s="1" t="str">
        <x:v>27</x:v>
      </x:c>
      <x:c r="C524" s="1" t="str">
        <x:v>premium</x:v>
      </x:c>
      <x:c r="D524" s="1" t="str">
        <x:v>15.99</x:v>
      </x:c>
      <x:c r="E524" s="1" t="str">
        <x:v>0</x:v>
      </x:c>
      <x:c r="F524" s="1" t="str">
        <x:v>23</x:v>
      </x:c>
      <x:c r="G524" s="1" t="str">
        <x:v>3</x:v>
      </x:c>
      <x:c r="H524" s="1" t="str">
        <x:v>0</x:v>
      </x:c>
      <x:c r="I524" s="1" t="str">
        <x:v>0</x:v>
      </x:c>
      <x:c r="J524" s="1" t="str">
        <x:v>no</x:v>
      </x:c>
      <x:c r="K524" s="1"/>
      <x:c r="L524" s="1"/>
      <x:c r="M524" s="1"/>
      <x:c r="N524" s="1"/>
      <x:c r="O524" s="1"/>
    </x:row>
    <x:row r="525">
      <x:c r="A525" s="1" t="str">
        <x:v>S0524</x:v>
      </x:c>
      <x:c r="B525" s="1" t="str">
        <x:v>3</x:v>
      </x:c>
      <x:c r="C525" s="1" t="str">
        <x:v>basic</x:v>
      </x:c>
      <x:c r="D525" s="1" t="str">
        <x:v>9.99</x:v>
      </x:c>
      <x:c r="E525" s="1" t="str">
        <x:v>0</x:v>
      </x:c>
      <x:c r="F525" s="1" t="str">
        <x:v>11</x:v>
      </x:c>
      <x:c r="G525" s="1" t="str">
        <x:v>4</x:v>
      </x:c>
      <x:c r="H525" s="1" t="str">
        <x:v>1</x:v>
      </x:c>
      <x:c r="I525" s="1" t="str">
        <x:v>0</x:v>
      </x:c>
      <x:c r="J525" s="1" t="str">
        <x:v>no</x:v>
      </x:c>
      <x:c r="K525" s="1"/>
      <x:c r="L525" s="1"/>
      <x:c r="M525" s="1"/>
      <x:c r="N525" s="1"/>
      <x:c r="O525" s="1"/>
    </x:row>
    <x:row r="526">
      <x:c r="A526" s="1" t="str">
        <x:v>S0525</x:v>
      </x:c>
      <x:c r="B526" s="1" t="str">
        <x:v>22</x:v>
      </x:c>
      <x:c r="C526" s="1" t="str">
        <x:v>basic</x:v>
      </x:c>
      <x:c r="D526" s="1" t="str">
        <x:v>9.99</x:v>
      </x:c>
      <x:c r="E526" s="1" t="str">
        <x:v>1</x:v>
      </x:c>
      <x:c r="F526" s="1" t="str">
        <x:v>17</x:v>
      </x:c>
      <x:c r="G526" s="1" t="str">
        <x:v>3</x:v>
      </x:c>
      <x:c r="H526" s="1" t="str">
        <x:v>0</x:v>
      </x:c>
      <x:c r="I526" s="1" t="str">
        <x:v>0</x:v>
      </x:c>
      <x:c r="J526" s="1" t="str">
        <x:v>no</x:v>
      </x:c>
      <x:c r="K526" s="1"/>
      <x:c r="L526" s="1"/>
      <x:c r="M526" s="1"/>
      <x:c r="N526" s="1"/>
      <x:c r="O526" s="1"/>
    </x:row>
    <x:row r="527">
      <x:c r="A527" s="1" t="str">
        <x:v>S0526</x:v>
      </x:c>
      <x:c r="B527" s="1" t="str">
        <x:v>6</x:v>
      </x:c>
      <x:c r="C527" s="1" t="str">
        <x:v>premium</x:v>
      </x:c>
      <x:c r="D527" s="1" t="str">
        <x:v>15.99</x:v>
      </x:c>
      <x:c r="E527" s="1" t="str">
        <x:v>0</x:v>
      </x:c>
      <x:c r="F527" s="1" t="str">
        <x:v>17</x:v>
      </x:c>
      <x:c r="G527" s="1" t="str">
        <x:v>3</x:v>
      </x:c>
      <x:c r="H527" s="1" t="str">
        <x:v>0</x:v>
      </x:c>
      <x:c r="I527" s="1" t="str">
        <x:v>0</x:v>
      </x:c>
      <x:c r="J527" s="1" t="str">
        <x:v>no</x:v>
      </x:c>
      <x:c r="K527" s="1"/>
      <x:c r="L527" s="1"/>
      <x:c r="M527" s="1"/>
      <x:c r="N527" s="1"/>
      <x:c r="O527" s="1"/>
    </x:row>
    <x:row r="528">
      <x:c r="A528" s="1" t="str">
        <x:v>S0527</x:v>
      </x:c>
      <x:c r="B528" s="1" t="str">
        <x:v>9</x:v>
      </x:c>
      <x:c r="C528" s="1" t="str">
        <x:v>basic</x:v>
      </x:c>
      <x:c r="D528" s="1" t="str">
        <x:v>9.99</x:v>
      </x:c>
      <x:c r="E528" s="1" t="str">
        <x:v>0</x:v>
      </x:c>
      <x:c r="F528" s="1" t="str">
        <x:v>20</x:v>
      </x:c>
      <x:c r="G528" s="1" t="str">
        <x:v>0</x:v>
      </x:c>
      <x:c r="H528" s="1" t="str">
        <x:v>0</x:v>
      </x:c>
      <x:c r="I528" s="1" t="str">
        <x:v>0</x:v>
      </x:c>
      <x:c r="J528" s="1" t="str">
        <x:v>no</x:v>
      </x:c>
      <x:c r="K528" s="1"/>
      <x:c r="L528" s="1"/>
      <x:c r="M528" s="1"/>
      <x:c r="N528" s="1"/>
      <x:c r="O528" s="1"/>
    </x:row>
    <x:row r="529">
      <x:c r="A529" s="1" t="str">
        <x:v>S0528</x:v>
      </x:c>
      <x:c r="B529" s="1" t="str">
        <x:v>8</x:v>
      </x:c>
      <x:c r="C529" s="1" t="str">
        <x:v>basic</x:v>
      </x:c>
      <x:c r="D529" s="1" t="str">
        <x:v>9.99</x:v>
      </x:c>
      <x:c r="E529" s="1" t="str">
        <x:v>0</x:v>
      </x:c>
      <x:c r="F529" s="1" t="str">
        <x:v>10</x:v>
      </x:c>
      <x:c r="G529" s="1" t="str">
        <x:v>30</x:v>
      </x:c>
      <x:c r="H529" s="1" t="str">
        <x:v>0</x:v>
      </x:c>
      <x:c r="I529" s="1" t="str">
        <x:v>0</x:v>
      </x:c>
      <x:c r="J529" s="1" t="str">
        <x:v>no</x:v>
      </x:c>
      <x:c r="K529" s="1"/>
      <x:c r="L529" s="1"/>
      <x:c r="M529" s="1"/>
      <x:c r="N529" s="1"/>
      <x:c r="O529" s="1"/>
    </x:row>
    <x:row r="530">
      <x:c r="A530" s="1" t="str">
        <x:v>S0529</x:v>
      </x:c>
      <x:c r="B530" s="1" t="str">
        <x:v>8</x:v>
      </x:c>
      <x:c r="C530" s="1" t="str">
        <x:v>basic</x:v>
      </x:c>
      <x:c r="D530" s="1" t="str">
        <x:v>9.99</x:v>
      </x:c>
      <x:c r="E530" s="1" t="str">
        <x:v>0</x:v>
      </x:c>
      <x:c r="F530" s="1" t="str">
        <x:v>3</x:v>
      </x:c>
      <x:c r="G530" s="1" t="str">
        <x:v>21</x:v>
      </x:c>
      <x:c r="H530" s="1" t="str">
        <x:v>1</x:v>
      </x:c>
      <x:c r="I530" s="1" t="str">
        <x:v>1</x:v>
      </x:c>
      <x:c r="J530" s="1" t="str">
        <x:v>yes</x:v>
      </x:c>
      <x:c r="K530" s="1"/>
      <x:c r="L530" s="1"/>
      <x:c r="M530" s="1"/>
      <x:c r="N530" s="1"/>
      <x:c r="O530" s="1"/>
    </x:row>
    <x:row r="531">
      <x:c r="A531" s="1" t="str">
        <x:v>S0530</x:v>
      </x:c>
      <x:c r="B531" s="1" t="str">
        <x:v>37</x:v>
      </x:c>
      <x:c r="C531" s="1" t="str">
        <x:v>basic</x:v>
      </x:c>
      <x:c r="D531" s="1" t="str">
        <x:v>9.99</x:v>
      </x:c>
      <x:c r="E531" s="1" t="str">
        <x:v>1</x:v>
      </x:c>
      <x:c r="F531" s="1" t="str">
        <x:v>16</x:v>
      </x:c>
      <x:c r="G531" s="1" t="str">
        <x:v>0</x:v>
      </x:c>
      <x:c r="H531" s="1" t="str">
        <x:v>1</x:v>
      </x:c>
      <x:c r="I531" s="1" t="str">
        <x:v>0</x:v>
      </x:c>
      <x:c r="J531" s="1" t="str">
        <x:v>no</x:v>
      </x:c>
      <x:c r="K531" s="1"/>
      <x:c r="L531" s="1"/>
      <x:c r="M531" s="1"/>
      <x:c r="N531" s="1"/>
      <x:c r="O531" s="1"/>
    </x:row>
    <x:row r="532">
      <x:c r="A532" s="1" t="str">
        <x:v>S0531</x:v>
      </x:c>
      <x:c r="B532" s="1" t="str">
        <x:v>15</x:v>
      </x:c>
      <x:c r="C532" s="1" t="str">
        <x:v>premium</x:v>
      </x:c>
      <x:c r="D532" s="1" t="str">
        <x:v>15.99</x:v>
      </x:c>
      <x:c r="E532" s="1" t="str">
        <x:v>1</x:v>
      </x:c>
      <x:c r="F532" s="1" t="str">
        <x:v>0</x:v>
      </x:c>
      <x:c r="G532" s="1" t="str">
        <x:v>48</x:v>
      </x:c>
      <x:c r="H532" s="1" t="str">
        <x:v>0</x:v>
      </x:c>
      <x:c r="I532" s="1" t="str">
        <x:v>0</x:v>
      </x:c>
      <x:c r="J532" s="1" t="str">
        <x:v>no</x:v>
      </x:c>
      <x:c r="K532" s="1"/>
      <x:c r="L532" s="1"/>
      <x:c r="M532" s="1"/>
      <x:c r="N532" s="1"/>
      <x:c r="O532" s="1"/>
    </x:row>
    <x:row r="533">
      <x:c r="A533" s="1" t="str">
        <x:v>S0532</x:v>
      </x:c>
      <x:c r="B533" s="1" t="str">
        <x:v>27</x:v>
      </x:c>
      <x:c r="C533" s="1" t="str">
        <x:v>basic</x:v>
      </x:c>
      <x:c r="D533" s="1" t="str">
        <x:v>9.99</x:v>
      </x:c>
      <x:c r="E533" s="1" t="str">
        <x:v>1</x:v>
      </x:c>
      <x:c r="F533" s="1" t="str">
        <x:v>21</x:v>
      </x:c>
      <x:c r="G533" s="1" t="str">
        <x:v>26</x:v>
      </x:c>
      <x:c r="H533" s="1" t="str">
        <x:v>0</x:v>
      </x:c>
      <x:c r="I533" s="1" t="str">
        <x:v>0</x:v>
      </x:c>
      <x:c r="J533" s="1" t="str">
        <x:v>no</x:v>
      </x:c>
      <x:c r="K533" s="1"/>
      <x:c r="L533" s="1"/>
      <x:c r="M533" s="1"/>
      <x:c r="N533" s="1"/>
      <x:c r="O533" s="1"/>
    </x:row>
    <x:row r="534">
      <x:c r="A534" s="1" t="str">
        <x:v>S0533</x:v>
      </x:c>
      <x:c r="B534" s="1" t="str">
        <x:v>40</x:v>
      </x:c>
      <x:c r="C534" s="1" t="str">
        <x:v>basic</x:v>
      </x:c>
      <x:c r="D534" s="1" t="str">
        <x:v>9.99</x:v>
      </x:c>
      <x:c r="E534" s="1" t="str">
        <x:v>2</x:v>
      </x:c>
      <x:c r="F534" s="1" t="str">
        <x:v>10</x:v>
      </x:c>
      <x:c r="G534" s="1" t="str">
        <x:v>4</x:v>
      </x:c>
      <x:c r="H534" s="1" t="str">
        <x:v>0</x:v>
      </x:c>
      <x:c r="I534" s="1" t="str">
        <x:v>0</x:v>
      </x:c>
      <x:c r="J534" s="1" t="str">
        <x:v>no</x:v>
      </x:c>
      <x:c r="K534" s="1"/>
      <x:c r="L534" s="1"/>
      <x:c r="M534" s="1"/>
      <x:c r="N534" s="1"/>
      <x:c r="O534" s="1"/>
    </x:row>
    <x:row r="535">
      <x:c r="A535" s="1" t="str">
        <x:v>S0534</x:v>
      </x:c>
      <x:c r="B535" s="1" t="str">
        <x:v>47</x:v>
      </x:c>
      <x:c r="C535" s="1" t="str">
        <x:v>premium</x:v>
      </x:c>
      <x:c r="D535" s="1" t="str">
        <x:v>15.99</x:v>
      </x:c>
      <x:c r="E535" s="1" t="str">
        <x:v>2</x:v>
      </x:c>
      <x:c r="F535" s="1" t="str">
        <x:v>20</x:v>
      </x:c>
      <x:c r="G535" s="1" t="str">
        <x:v>4</x:v>
      </x:c>
      <x:c r="H535" s="1" t="str">
        <x:v>0</x:v>
      </x:c>
      <x:c r="I535" s="1" t="str">
        <x:v>0</x:v>
      </x:c>
      <x:c r="J535" s="1" t="str">
        <x:v>no</x:v>
      </x:c>
      <x:c r="K535" s="1"/>
      <x:c r="L535" s="1"/>
      <x:c r="M535" s="1"/>
      <x:c r="N535" s="1"/>
      <x:c r="O535" s="1"/>
    </x:row>
    <x:row r="536">
      <x:c r="A536" s="1" t="str">
        <x:v>S0535</x:v>
      </x:c>
      <x:c r="B536" s="1" t="str">
        <x:v>5</x:v>
      </x:c>
      <x:c r="C536" s="1" t="str">
        <x:v>basic</x:v>
      </x:c>
      <x:c r="D536" s="1" t="str">
        <x:v>9.99</x:v>
      </x:c>
      <x:c r="E536" s="1" t="str">
        <x:v>0</x:v>
      </x:c>
      <x:c r="F536" s="1" t="str">
        <x:v>15</x:v>
      </x:c>
      <x:c r="G536" s="1" t="str">
        <x:v>4</x:v>
      </x:c>
      <x:c r="H536" s="1" t="str">
        <x:v>0</x:v>
      </x:c>
      <x:c r="I536" s="1" t="str">
        <x:v>0</x:v>
      </x:c>
      <x:c r="J536" s="1" t="str">
        <x:v>no</x:v>
      </x:c>
      <x:c r="K536" s="1"/>
      <x:c r="L536" s="1"/>
      <x:c r="M536" s="1"/>
      <x:c r="N536" s="1"/>
      <x:c r="O536" s="1"/>
    </x:row>
    <x:row r="537">
      <x:c r="A537" s="1" t="str">
        <x:v>S0536</x:v>
      </x:c>
      <x:c r="B537" s="1" t="str">
        <x:v>3</x:v>
      </x:c>
      <x:c r="C537" s="1" t="str">
        <x:v>basic</x:v>
      </x:c>
      <x:c r="D537" s="1" t="str">
        <x:v>9.99</x:v>
      </x:c>
      <x:c r="E537" s="1" t="str">
        <x:v>3</x:v>
      </x:c>
      <x:c r="F537" s="1" t="str">
        <x:v>0</x:v>
      </x:c>
      <x:c r="G537" s="1" t="str">
        <x:v>59</x:v>
      </x:c>
      <x:c r="H537" s="1" t="str">
        <x:v>0</x:v>
      </x:c>
      <x:c r="I537" s="1" t="str">
        <x:v>0</x:v>
      </x:c>
      <x:c r="J537" s="1" t="str">
        <x:v>yes</x:v>
      </x:c>
      <x:c r="K537" s="1"/>
      <x:c r="L537" s="1"/>
      <x:c r="M537" s="1"/>
      <x:c r="N537" s="1"/>
      <x:c r="O537" s="1"/>
    </x:row>
    <x:row r="538">
      <x:c r="A538" s="1" t="str">
        <x:v>S0537</x:v>
      </x:c>
      <x:c r="B538" s="1" t="str">
        <x:v>11</x:v>
      </x:c>
      <x:c r="C538" s="1" t="str">
        <x:v>premium</x:v>
      </x:c>
      <x:c r="D538" s="1" t="str">
        <x:v>15.99</x:v>
      </x:c>
      <x:c r="E538" s="1" t="str">
        <x:v>0</x:v>
      </x:c>
      <x:c r="F538" s="1" t="str">
        <x:v>16</x:v>
      </x:c>
      <x:c r="G538" s="1" t="str">
        <x:v>3</x:v>
      </x:c>
      <x:c r="H538" s="1" t="str">
        <x:v>0</x:v>
      </x:c>
      <x:c r="I538" s="1" t="str">
        <x:v>0</x:v>
      </x:c>
      <x:c r="J538" s="1" t="str">
        <x:v>no</x:v>
      </x:c>
      <x:c r="K538" s="1"/>
      <x:c r="L538" s="1"/>
      <x:c r="M538" s="1"/>
      <x:c r="N538" s="1"/>
      <x:c r="O538" s="1"/>
    </x:row>
    <x:row r="539">
      <x:c r="A539" s="1" t="str">
        <x:v>S0538</x:v>
      </x:c>
      <x:c r="B539" s="1" t="str">
        <x:v>47</x:v>
      </x:c>
      <x:c r="C539" s="1" t="str">
        <x:v>basic</x:v>
      </x:c>
      <x:c r="D539" s="1" t="str">
        <x:v>9.99</x:v>
      </x:c>
      <x:c r="E539" s="1" t="str">
        <x:v>2</x:v>
      </x:c>
      <x:c r="F539" s="1" t="str">
        <x:v>18</x:v>
      </x:c>
      <x:c r="G539" s="1" t="str">
        <x:v>17</x:v>
      </x:c>
      <x:c r="H539" s="1" t="str">
        <x:v>0</x:v>
      </x:c>
      <x:c r="I539" s="1" t="str">
        <x:v>1</x:v>
      </x:c>
      <x:c r="J539" s="1" t="str">
        <x:v>no</x:v>
      </x:c>
      <x:c r="K539" s="1"/>
      <x:c r="L539" s="1"/>
      <x:c r="M539" s="1"/>
      <x:c r="N539" s="1"/>
      <x:c r="O539" s="1"/>
    </x:row>
    <x:row r="540">
      <x:c r="A540" s="1" t="str">
        <x:v>S0539</x:v>
      </x:c>
      <x:c r="B540" s="1" t="str">
        <x:v>19</x:v>
      </x:c>
      <x:c r="C540" s="1" t="str">
        <x:v>basic</x:v>
      </x:c>
      <x:c r="D540" s="1" t="str">
        <x:v>9.99</x:v>
      </x:c>
      <x:c r="E540" s="1" t="str">
        <x:v>1</x:v>
      </x:c>
      <x:c r="F540" s="1" t="str">
        <x:v>24</x:v>
      </x:c>
      <x:c r="G540" s="1" t="str">
        <x:v>8</x:v>
      </x:c>
      <x:c r="H540" s="1" t="str">
        <x:v>0</x:v>
      </x:c>
      <x:c r="I540" s="1" t="str">
        <x:v>0</x:v>
      </x:c>
      <x:c r="J540" s="1" t="str">
        <x:v>no</x:v>
      </x:c>
      <x:c r="K540" s="1"/>
      <x:c r="L540" s="1"/>
      <x:c r="M540" s="1"/>
      <x:c r="N540" s="1"/>
      <x:c r="O540" s="1"/>
    </x:row>
    <x:row r="541">
      <x:c r="A541" s="1" t="str">
        <x:v>S0540</x:v>
      </x:c>
      <x:c r="B541" s="1" t="str">
        <x:v>11</x:v>
      </x:c>
      <x:c r="C541" s="1" t="str">
        <x:v>basic</x:v>
      </x:c>
      <x:c r="D541" s="1" t="str">
        <x:v>9.99</x:v>
      </x:c>
      <x:c r="E541" s="1" t="str">
        <x:v>3</x:v>
      </x:c>
      <x:c r="F541" s="1" t="str">
        <x:v>0</x:v>
      </x:c>
      <x:c r="G541" s="1" t="str">
        <x:v>32</x:v>
      </x:c>
      <x:c r="H541" s="1" t="str">
        <x:v>0</x:v>
      </x:c>
      <x:c r="I541" s="1" t="str">
        <x:v>0</x:v>
      </x:c>
      <x:c r="J541" s="1" t="str">
        <x:v>yes</x:v>
      </x:c>
      <x:c r="K541" s="1"/>
      <x:c r="L541" s="1"/>
      <x:c r="M541" s="1"/>
      <x:c r="N541" s="1"/>
      <x:c r="O541" s="1"/>
    </x:row>
    <x:row r="542">
      <x:c r="A542" s="1" t="str">
        <x:v>S0541</x:v>
      </x:c>
      <x:c r="B542" s="1" t="str">
        <x:v>34</x:v>
      </x:c>
      <x:c r="C542" s="1" t="str">
        <x:v>basic</x:v>
      </x:c>
      <x:c r="D542" s="1" t="str">
        <x:v>9.99</x:v>
      </x:c>
      <x:c r="E542" s="1" t="str">
        <x:v>4</x:v>
      </x:c>
      <x:c r="F542" s="1" t="str">
        <x:v>0</x:v>
      </x:c>
      <x:c r="G542" s="1" t="str">
        <x:v>41</x:v>
      </x:c>
      <x:c r="H542" s="1" t="str">
        <x:v>0</x:v>
      </x:c>
      <x:c r="I542" s="1" t="str">
        <x:v>0</x:v>
      </x:c>
      <x:c r="J542" s="1" t="str">
        <x:v>yes</x:v>
      </x:c>
      <x:c r="K542" s="1"/>
      <x:c r="L542" s="1"/>
      <x:c r="M542" s="1"/>
      <x:c r="N542" s="1"/>
      <x:c r="O542" s="1"/>
    </x:row>
    <x:row r="543">
      <x:c r="A543" s="1" t="str">
        <x:v>S0542</x:v>
      </x:c>
      <x:c r="B543" s="1" t="str">
        <x:v>43</x:v>
      </x:c>
      <x:c r="C543" s="1" t="str">
        <x:v>basic</x:v>
      </x:c>
      <x:c r="D543" s="1" t="str">
        <x:v>9.99</x:v>
      </x:c>
      <x:c r="E543" s="1" t="str">
        <x:v>2</x:v>
      </x:c>
      <x:c r="F543" s="1" t="str">
        <x:v>0</x:v>
      </x:c>
      <x:c r="G543" s="1" t="str">
        <x:v>39</x:v>
      </x:c>
      <x:c r="H543" s="1" t="str">
        <x:v>0</x:v>
      </x:c>
      <x:c r="I543" s="1" t="str">
        <x:v>1</x:v>
      </x:c>
      <x:c r="J543" s="1" t="str">
        <x:v>no</x:v>
      </x:c>
      <x:c r="K543" s="1"/>
      <x:c r="L543" s="1"/>
      <x:c r="M543" s="1"/>
      <x:c r="N543" s="1"/>
      <x:c r="O543" s="1"/>
    </x:row>
    <x:row r="544">
      <x:c r="A544" s="1" t="str">
        <x:v>S0543</x:v>
      </x:c>
      <x:c r="B544" s="1" t="str">
        <x:v>1</x:v>
      </x:c>
      <x:c r="C544" s="1" t="str">
        <x:v>basic</x:v>
      </x:c>
      <x:c r="D544" s="1" t="str">
        <x:v>9.99</x:v>
      </x:c>
      <x:c r="E544" s="1" t="str">
        <x:v>0</x:v>
      </x:c>
      <x:c r="F544" s="1" t="str">
        <x:v>13</x:v>
      </x:c>
      <x:c r="G544" s="1" t="str">
        <x:v>28</x:v>
      </x:c>
      <x:c r="H544" s="1" t="str">
        <x:v>0</x:v>
      </x:c>
      <x:c r="I544" s="1" t="str">
        <x:v>0</x:v>
      </x:c>
      <x:c r="J544" s="1" t="str">
        <x:v>yes</x:v>
      </x:c>
      <x:c r="K544" s="1"/>
      <x:c r="L544" s="1"/>
      <x:c r="M544" s="1"/>
      <x:c r="N544" s="1"/>
      <x:c r="O544" s="1"/>
    </x:row>
    <x:row r="545">
      <x:c r="A545" s="1" t="str">
        <x:v>S0544</x:v>
      </x:c>
      <x:c r="B545" s="1" t="str">
        <x:v>13</x:v>
      </x:c>
      <x:c r="C545" s="1" t="str">
        <x:v>premium</x:v>
      </x:c>
      <x:c r="D545" s="1" t="str">
        <x:v>15.99</x:v>
      </x:c>
      <x:c r="E545" s="1" t="str">
        <x:v>1</x:v>
      </x:c>
      <x:c r="F545" s="1" t="str">
        <x:v>8</x:v>
      </x:c>
      <x:c r="G545" s="1" t="str">
        <x:v>11</x:v>
      </x:c>
      <x:c r="H545" s="1" t="str">
        <x:v>0</x:v>
      </x:c>
      <x:c r="I545" s="1" t="str">
        <x:v>0</x:v>
      </x:c>
      <x:c r="J545" s="1" t="str">
        <x:v>no</x:v>
      </x:c>
      <x:c r="K545" s="1"/>
      <x:c r="L545" s="1"/>
      <x:c r="M545" s="1"/>
      <x:c r="N545" s="1"/>
      <x:c r="O545" s="1"/>
    </x:row>
    <x:row r="546">
      <x:c r="A546" s="1" t="str">
        <x:v>S0545</x:v>
      </x:c>
      <x:c r="B546" s="1" t="str">
        <x:v>18</x:v>
      </x:c>
      <x:c r="C546" s="1" t="str">
        <x:v>premium</x:v>
      </x:c>
      <x:c r="D546" s="1" t="str">
        <x:v>15.99</x:v>
      </x:c>
      <x:c r="E546" s="1" t="str">
        <x:v>0</x:v>
      </x:c>
      <x:c r="F546" s="1" t="str">
        <x:v>27</x:v>
      </x:c>
      <x:c r="G546" s="1" t="str">
        <x:v>6</x:v>
      </x:c>
      <x:c r="H546" s="1" t="str">
        <x:v>0</x:v>
      </x:c>
      <x:c r="I546" s="1" t="str">
        <x:v>0</x:v>
      </x:c>
      <x:c r="J546" s="1" t="str">
        <x:v>no</x:v>
      </x:c>
      <x:c r="K546" s="1"/>
      <x:c r="L546" s="1"/>
      <x:c r="M546" s="1"/>
      <x:c r="N546" s="1"/>
      <x:c r="O546" s="1"/>
    </x:row>
    <x:row r="547">
      <x:c r="A547" s="1" t="str">
        <x:v>S0546</x:v>
      </x:c>
      <x:c r="B547" s="1" t="str">
        <x:v>28</x:v>
      </x:c>
      <x:c r="C547" s="1" t="str">
        <x:v>basic</x:v>
      </x:c>
      <x:c r="D547" s="1" t="str">
        <x:v>9.99</x:v>
      </x:c>
      <x:c r="E547" s="1" t="str">
        <x:v>1</x:v>
      </x:c>
      <x:c r="F547" s="1" t="str">
        <x:v>14</x:v>
      </x:c>
      <x:c r="G547" s="1" t="str">
        <x:v>12</x:v>
      </x:c>
      <x:c r="H547" s="1" t="str">
        <x:v>0</x:v>
      </x:c>
      <x:c r="I547" s="1" t="str">
        <x:v>1</x:v>
      </x:c>
      <x:c r="J547" s="1" t="str">
        <x:v>no</x:v>
      </x:c>
      <x:c r="K547" s="1"/>
      <x:c r="L547" s="1"/>
      <x:c r="M547" s="1"/>
      <x:c r="N547" s="1"/>
      <x:c r="O547" s="1"/>
    </x:row>
    <x:row r="548">
      <x:c r="A548" s="1" t="str">
        <x:v>S0547</x:v>
      </x:c>
      <x:c r="B548" s="1" t="str">
        <x:v>5</x:v>
      </x:c>
      <x:c r="C548" s="1" t="str">
        <x:v>basic</x:v>
      </x:c>
      <x:c r="D548" s="1" t="str">
        <x:v>9.99</x:v>
      </x:c>
      <x:c r="E548" s="1" t="str">
        <x:v>0</x:v>
      </x:c>
      <x:c r="F548" s="1" t="str">
        <x:v>0</x:v>
      </x:c>
      <x:c r="G548" s="1" t="str">
        <x:v>33</x:v>
      </x:c>
      <x:c r="H548" s="1" t="str">
        <x:v>0</x:v>
      </x:c>
      <x:c r="I548" s="1" t="str">
        <x:v>0</x:v>
      </x:c>
      <x:c r="J548" s="1" t="str">
        <x:v>yes</x:v>
      </x:c>
      <x:c r="K548" s="1"/>
      <x:c r="L548" s="1"/>
      <x:c r="M548" s="1"/>
      <x:c r="N548" s="1"/>
      <x:c r="O548" s="1"/>
    </x:row>
    <x:row r="549">
      <x:c r="A549" s="1" t="str">
        <x:v>S0548</x:v>
      </x:c>
      <x:c r="B549" s="1" t="str">
        <x:v>24</x:v>
      </x:c>
      <x:c r="C549" s="1" t="str">
        <x:v>basic</x:v>
      </x:c>
      <x:c r="D549" s="1" t="str">
        <x:v>9.99</x:v>
      </x:c>
      <x:c r="E549" s="1" t="str">
        <x:v>0</x:v>
      </x:c>
      <x:c r="F549" s="1" t="str">
        <x:v>16</x:v>
      </x:c>
      <x:c r="G549" s="1" t="str">
        <x:v>7</x:v>
      </x:c>
      <x:c r="H549" s="1" t="str">
        <x:v>0</x:v>
      </x:c>
      <x:c r="I549" s="1" t="str">
        <x:v>0</x:v>
      </x:c>
      <x:c r="J549" s="1" t="str">
        <x:v>no</x:v>
      </x:c>
      <x:c r="K549" s="1"/>
      <x:c r="L549" s="1"/>
      <x:c r="M549" s="1"/>
      <x:c r="N549" s="1"/>
      <x:c r="O549" s="1"/>
    </x:row>
    <x:row r="550">
      <x:c r="A550" s="1" t="str">
        <x:v>S0549</x:v>
      </x:c>
      <x:c r="B550" s="1" t="str">
        <x:v>33</x:v>
      </x:c>
      <x:c r="C550" s="1" t="str">
        <x:v>premium</x:v>
      </x:c>
      <x:c r="D550" s="1" t="str">
        <x:v>15.99</x:v>
      </x:c>
      <x:c r="E550" s="1" t="str">
        <x:v>1</x:v>
      </x:c>
      <x:c r="F550" s="1" t="str">
        <x:v>32</x:v>
      </x:c>
      <x:c r="G550" s="1" t="str">
        <x:v>11</x:v>
      </x:c>
      <x:c r="H550" s="1" t="str">
        <x:v>0</x:v>
      </x:c>
      <x:c r="I550" s="1" t="str">
        <x:v>1</x:v>
      </x:c>
      <x:c r="J550" s="1" t="str">
        <x:v>no</x:v>
      </x:c>
      <x:c r="K550" s="1"/>
      <x:c r="L550" s="1"/>
      <x:c r="M550" s="1"/>
      <x:c r="N550" s="1"/>
      <x:c r="O550" s="1"/>
    </x:row>
    <x:row r="551">
      <x:c r="A551" s="1" t="str">
        <x:v>S0550</x:v>
      </x:c>
      <x:c r="B551" s="1" t="str">
        <x:v>45</x:v>
      </x:c>
      <x:c r="C551" s="1" t="str">
        <x:v>basic</x:v>
      </x:c>
      <x:c r="D551" s="1" t="str">
        <x:v>9.99</x:v>
      </x:c>
      <x:c r="E551" s="1" t="str">
        <x:v>0</x:v>
      </x:c>
      <x:c r="F551" s="1" t="str">
        <x:v>1</x:v>
      </x:c>
      <x:c r="G551" s="1" t="str">
        <x:v>16</x:v>
      </x:c>
      <x:c r="H551" s="1" t="str">
        <x:v>0</x:v>
      </x:c>
      <x:c r="I551" s="1" t="str">
        <x:v>0</x:v>
      </x:c>
      <x:c r="J551" s="1" t="str">
        <x:v>no</x:v>
      </x:c>
      <x:c r="K551" s="1"/>
      <x:c r="L551" s="1"/>
      <x:c r="M551" s="1"/>
      <x:c r="N551" s="1"/>
      <x:c r="O551" s="1"/>
    </x:row>
    <x:row r="552">
      <x:c r="A552" s="1" t="str">
        <x:v>S0551</x:v>
      </x:c>
      <x:c r="B552" s="1" t="str">
        <x:v>24</x:v>
      </x:c>
      <x:c r="C552" s="1" t="str">
        <x:v>basic</x:v>
      </x:c>
      <x:c r="D552" s="1" t="str">
        <x:v>9.99</x:v>
      </x:c>
      <x:c r="E552" s="1" t="str">
        <x:v>0</x:v>
      </x:c>
      <x:c r="F552" s="1" t="str">
        <x:v>28</x:v>
      </x:c>
      <x:c r="G552" s="1" t="str">
        <x:v>6</x:v>
      </x:c>
      <x:c r="H552" s="1" t="str">
        <x:v>0</x:v>
      </x:c>
      <x:c r="I552" s="1" t="str">
        <x:v>0</x:v>
      </x:c>
      <x:c r="J552" s="1" t="str">
        <x:v>no</x:v>
      </x:c>
      <x:c r="K552" s="1"/>
      <x:c r="L552" s="1"/>
      <x:c r="M552" s="1"/>
      <x:c r="N552" s="1"/>
      <x:c r="O552" s="1"/>
    </x:row>
    <x:row r="553">
      <x:c r="A553" s="1" t="str">
        <x:v>S0552</x:v>
      </x:c>
      <x:c r="B553" s="1" t="str">
        <x:v>26</x:v>
      </x:c>
      <x:c r="C553" s="1" t="str">
        <x:v>premium</x:v>
      </x:c>
      <x:c r="D553" s="1" t="str">
        <x:v>15.99</x:v>
      </x:c>
      <x:c r="E553" s="1" t="str">
        <x:v>0</x:v>
      </x:c>
      <x:c r="F553" s="1" t="str">
        <x:v>10</x:v>
      </x:c>
      <x:c r="G553" s="1" t="str">
        <x:v>18</x:v>
      </x:c>
      <x:c r="H553" s="1" t="str">
        <x:v>0</x:v>
      </x:c>
      <x:c r="I553" s="1" t="str">
        <x:v>0</x:v>
      </x:c>
      <x:c r="J553" s="1" t="str">
        <x:v>no</x:v>
      </x:c>
      <x:c r="K553" s="1"/>
      <x:c r="L553" s="1"/>
      <x:c r="M553" s="1"/>
      <x:c r="N553" s="1"/>
      <x:c r="O553" s="1"/>
    </x:row>
    <x:row r="554">
      <x:c r="A554" s="1" t="str">
        <x:v>S0553</x:v>
      </x:c>
      <x:c r="B554" s="1" t="str">
        <x:v>36</x:v>
      </x:c>
      <x:c r="C554" s="1" t="str">
        <x:v>premium</x:v>
      </x:c>
      <x:c r="D554" s="1" t="str">
        <x:v>15.99</x:v>
      </x:c>
      <x:c r="E554" s="1" t="str">
        <x:v>1</x:v>
      </x:c>
      <x:c r="F554" s="1" t="str">
        <x:v>12</x:v>
      </x:c>
      <x:c r="G554" s="1" t="str">
        <x:v>0</x:v>
      </x:c>
      <x:c r="H554" s="1" t="str">
        <x:v>0</x:v>
      </x:c>
      <x:c r="I554" s="1" t="str">
        <x:v>0</x:v>
      </x:c>
      <x:c r="J554" s="1" t="str">
        <x:v>no</x:v>
      </x:c>
      <x:c r="K554" s="1"/>
      <x:c r="L554" s="1"/>
      <x:c r="M554" s="1"/>
      <x:c r="N554" s="1"/>
      <x:c r="O554" s="1"/>
    </x:row>
    <x:row r="555">
      <x:c r="A555" s="1" t="str">
        <x:v>S0554</x:v>
      </x:c>
      <x:c r="B555" s="1" t="str">
        <x:v>47</x:v>
      </x:c>
      <x:c r="C555" s="1" t="str">
        <x:v>premium</x:v>
      </x:c>
      <x:c r="D555" s="1" t="str">
        <x:v>15.99</x:v>
      </x:c>
      <x:c r="E555" s="1" t="str">
        <x:v>0</x:v>
      </x:c>
      <x:c r="F555" s="1" t="str">
        <x:v>32</x:v>
      </x:c>
      <x:c r="G555" s="1" t="str">
        <x:v>10</x:v>
      </x:c>
      <x:c r="H555" s="1" t="str">
        <x:v>0</x:v>
      </x:c>
      <x:c r="I555" s="1" t="str">
        <x:v>0</x:v>
      </x:c>
      <x:c r="J555" s="1" t="str">
        <x:v>no</x:v>
      </x:c>
      <x:c r="K555" s="1"/>
      <x:c r="L555" s="1"/>
      <x:c r="M555" s="1"/>
      <x:c r="N555" s="1"/>
      <x:c r="O555" s="1"/>
    </x:row>
    <x:row r="556">
      <x:c r="A556" s="1" t="str">
        <x:v>S0555</x:v>
      </x:c>
      <x:c r="B556" s="1" t="str">
        <x:v>11</x:v>
      </x:c>
      <x:c r="C556" s="1" t="str">
        <x:v>basic</x:v>
      </x:c>
      <x:c r="D556" s="1" t="str">
        <x:v>9.99</x:v>
      </x:c>
      <x:c r="E556" s="1" t="str">
        <x:v>1</x:v>
      </x:c>
      <x:c r="F556" s="1" t="str">
        <x:v>11</x:v>
      </x:c>
      <x:c r="G556" s="1" t="str">
        <x:v>5</x:v>
      </x:c>
      <x:c r="H556" s="1" t="str">
        <x:v>0</x:v>
      </x:c>
      <x:c r="I556" s="1" t="str">
        <x:v>0</x:v>
      </x:c>
      <x:c r="J556" s="1" t="str">
        <x:v>no</x:v>
      </x:c>
      <x:c r="K556" s="1"/>
      <x:c r="L556" s="1"/>
      <x:c r="M556" s="1"/>
      <x:c r="N556" s="1"/>
      <x:c r="O556" s="1"/>
    </x:row>
    <x:row r="557">
      <x:c r="A557" s="1" t="str">
        <x:v>S0556</x:v>
      </x:c>
      <x:c r="B557" s="1" t="str">
        <x:v>27</x:v>
      </x:c>
      <x:c r="C557" s="1" t="str">
        <x:v>basic</x:v>
      </x:c>
      <x:c r="D557" s="1" t="str">
        <x:v>9.99</x:v>
      </x:c>
      <x:c r="E557" s="1" t="str">
        <x:v>0</x:v>
      </x:c>
      <x:c r="F557" s="1" t="str">
        <x:v>21</x:v>
      </x:c>
      <x:c r="G557" s="1" t="str">
        <x:v>2</x:v>
      </x:c>
      <x:c r="H557" s="1" t="str">
        <x:v>0</x:v>
      </x:c>
      <x:c r="I557" s="1" t="str">
        <x:v>1</x:v>
      </x:c>
      <x:c r="J557" s="1" t="str">
        <x:v>no</x:v>
      </x:c>
      <x:c r="K557" s="1"/>
      <x:c r="L557" s="1"/>
      <x:c r="M557" s="1"/>
      <x:c r="N557" s="1"/>
      <x:c r="O557" s="1"/>
    </x:row>
    <x:row r="558">
      <x:c r="A558" s="1" t="str">
        <x:v>S0557</x:v>
      </x:c>
      <x:c r="B558" s="1" t="str">
        <x:v>2</x:v>
      </x:c>
      <x:c r="C558" s="1" t="str">
        <x:v>basic</x:v>
      </x:c>
      <x:c r="D558" s="1" t="str">
        <x:v>9.99</x:v>
      </x:c>
      <x:c r="E558" s="1" t="str">
        <x:v>1</x:v>
      </x:c>
      <x:c r="F558" s="1" t="str">
        <x:v>0</x:v>
      </x:c>
      <x:c r="G558" s="1" t="str">
        <x:v>45</x:v>
      </x:c>
      <x:c r="H558" s="1" t="str">
        <x:v>0</x:v>
      </x:c>
      <x:c r="I558" s="1" t="str">
        <x:v>0</x:v>
      </x:c>
      <x:c r="J558" s="1" t="str">
        <x:v>yes</x:v>
      </x:c>
      <x:c r="K558" s="1"/>
      <x:c r="L558" s="1"/>
      <x:c r="M558" s="1"/>
      <x:c r="N558" s="1"/>
      <x:c r="O558" s="1"/>
    </x:row>
    <x:row r="559">
      <x:c r="A559" s="1" t="str">
        <x:v>S0558</x:v>
      </x:c>
      <x:c r="B559" s="1" t="str">
        <x:v>42</x:v>
      </x:c>
      <x:c r="C559" s="1" t="str">
        <x:v>basic</x:v>
      </x:c>
      <x:c r="D559" s="1" t="str">
        <x:v>9.99</x:v>
      </x:c>
      <x:c r="E559" s="1" t="str">
        <x:v>0</x:v>
      </x:c>
      <x:c r="F559" s="1" t="str">
        <x:v>14</x:v>
      </x:c>
      <x:c r="G559" s="1" t="str">
        <x:v>5</x:v>
      </x:c>
      <x:c r="H559" s="1" t="str">
        <x:v>0</x:v>
      </x:c>
      <x:c r="I559" s="1" t="str">
        <x:v>0</x:v>
      </x:c>
      <x:c r="J559" s="1" t="str">
        <x:v>no</x:v>
      </x:c>
      <x:c r="K559" s="1"/>
      <x:c r="L559" s="1"/>
      <x:c r="M559" s="1"/>
      <x:c r="N559" s="1"/>
      <x:c r="O559" s="1"/>
    </x:row>
    <x:row r="560">
      <x:c r="A560" s="1" t="str">
        <x:v>S0559</x:v>
      </x:c>
      <x:c r="B560" s="1" t="str">
        <x:v>9</x:v>
      </x:c>
      <x:c r="C560" s="1" t="str">
        <x:v>basic</x:v>
      </x:c>
      <x:c r="D560" s="1" t="str">
        <x:v>9.99</x:v>
      </x:c>
      <x:c r="E560" s="1" t="str">
        <x:v>0</x:v>
      </x:c>
      <x:c r="F560" s="1" t="str">
        <x:v>25</x:v>
      </x:c>
      <x:c r="G560" s="1" t="str">
        <x:v>4</x:v>
      </x:c>
      <x:c r="H560" s="1" t="str">
        <x:v>2</x:v>
      </x:c>
      <x:c r="I560" s="1" t="str">
        <x:v>0</x:v>
      </x:c>
      <x:c r="J560" s="1" t="str">
        <x:v>no</x:v>
      </x:c>
      <x:c r="K560" s="1"/>
      <x:c r="L560" s="1"/>
      <x:c r="M560" s="1"/>
      <x:c r="N560" s="1"/>
      <x:c r="O560" s="1"/>
    </x:row>
    <x:row r="561">
      <x:c r="A561" s="1" t="str">
        <x:v>S0560</x:v>
      </x:c>
      <x:c r="B561" s="1" t="str">
        <x:v>29</x:v>
      </x:c>
      <x:c r="C561" s="1" t="str">
        <x:v>basic</x:v>
      </x:c>
      <x:c r="D561" s="1" t="str">
        <x:v>9.99</x:v>
      </x:c>
      <x:c r="E561" s="1" t="str">
        <x:v>4</x:v>
      </x:c>
      <x:c r="F561" s="1" t="str">
        <x:v>0</x:v>
      </x:c>
      <x:c r="G561" s="1" t="str">
        <x:v>35</x:v>
      </x:c>
      <x:c r="H561" s="1" t="str">
        <x:v>0</x:v>
      </x:c>
      <x:c r="I561" s="1" t="str">
        <x:v>0</x:v>
      </x:c>
      <x:c r="J561" s="1" t="str">
        <x:v>no</x:v>
      </x:c>
      <x:c r="K561" s="1"/>
      <x:c r="L561" s="1"/>
      <x:c r="M561" s="1"/>
      <x:c r="N561" s="1"/>
      <x:c r="O561" s="1"/>
    </x:row>
    <x:row r="562">
      <x:c r="A562" s="1" t="str">
        <x:v>S0561</x:v>
      </x:c>
      <x:c r="B562" s="1" t="str">
        <x:v>38</x:v>
      </x:c>
      <x:c r="C562" s="1" t="str">
        <x:v>premium</x:v>
      </x:c>
      <x:c r="D562" s="1" t="str">
        <x:v>15.99</x:v>
      </x:c>
      <x:c r="E562" s="1" t="str">
        <x:v>0</x:v>
      </x:c>
      <x:c r="F562" s="1" t="str">
        <x:v>24</x:v>
      </x:c>
      <x:c r="G562" s="1" t="str">
        <x:v>8</x:v>
      </x:c>
      <x:c r="H562" s="1" t="str">
        <x:v>1</x:v>
      </x:c>
      <x:c r="I562" s="1" t="str">
        <x:v>0</x:v>
      </x:c>
      <x:c r="J562" s="1" t="str">
        <x:v>no</x:v>
      </x:c>
      <x:c r="K562" s="1"/>
      <x:c r="L562" s="1"/>
      <x:c r="M562" s="1"/>
      <x:c r="N562" s="1"/>
      <x:c r="O562" s="1"/>
    </x:row>
    <x:row r="563">
      <x:c r="A563" s="1" t="str">
        <x:v>S0562</x:v>
      </x:c>
      <x:c r="B563" s="1" t="str">
        <x:v>20</x:v>
      </x:c>
      <x:c r="C563" s="1" t="str">
        <x:v>basic</x:v>
      </x:c>
      <x:c r="D563" s="1" t="str">
        <x:v>9.99</x:v>
      </x:c>
      <x:c r="E563" s="1" t="str">
        <x:v>2</x:v>
      </x:c>
      <x:c r="F563" s="1" t="str">
        <x:v>13</x:v>
      </x:c>
      <x:c r="G563" s="1" t="str">
        <x:v>12</x:v>
      </x:c>
      <x:c r="H563" s="1" t="str">
        <x:v>0</x:v>
      </x:c>
      <x:c r="I563" s="1" t="str">
        <x:v>0</x:v>
      </x:c>
      <x:c r="J563" s="1" t="str">
        <x:v>no</x:v>
      </x:c>
      <x:c r="K563" s="1"/>
      <x:c r="L563" s="1"/>
      <x:c r="M563" s="1"/>
      <x:c r="N563" s="1"/>
      <x:c r="O563" s="1"/>
    </x:row>
    <x:row r="564">
      <x:c r="A564" s="1" t="str">
        <x:v>S0563</x:v>
      </x:c>
      <x:c r="B564" s="1" t="str">
        <x:v>10</x:v>
      </x:c>
      <x:c r="C564" s="1" t="str">
        <x:v>basic</x:v>
      </x:c>
      <x:c r="D564" s="1" t="str">
        <x:v>9.99</x:v>
      </x:c>
      <x:c r="E564" s="1" t="str">
        <x:v>0</x:v>
      </x:c>
      <x:c r="F564" s="1" t="str">
        <x:v>19</x:v>
      </x:c>
      <x:c r="G564" s="1" t="str">
        <x:v>5</x:v>
      </x:c>
      <x:c r="H564" s="1" t="str">
        <x:v>0</x:v>
      </x:c>
      <x:c r="I564" s="1" t="str">
        <x:v>0</x:v>
      </x:c>
      <x:c r="J564" s="1" t="str">
        <x:v>no</x:v>
      </x:c>
      <x:c r="K564" s="1"/>
      <x:c r="L564" s="1"/>
      <x:c r="M564" s="1"/>
      <x:c r="N564" s="1"/>
      <x:c r="O564" s="1"/>
    </x:row>
    <x:row r="565">
      <x:c r="A565" s="1" t="str">
        <x:v>S0564</x:v>
      </x:c>
      <x:c r="B565" s="1" t="str">
        <x:v>45</x:v>
      </x:c>
      <x:c r="C565" s="1" t="str">
        <x:v>basic</x:v>
      </x:c>
      <x:c r="D565" s="1" t="str">
        <x:v>9.99</x:v>
      </x:c>
      <x:c r="E565" s="1" t="str">
        <x:v>0</x:v>
      </x:c>
      <x:c r="F565" s="1" t="str">
        <x:v>17</x:v>
      </x:c>
      <x:c r="G565" s="1" t="str">
        <x:v>5</x:v>
      </x:c>
      <x:c r="H565" s="1" t="str">
        <x:v>0</x:v>
      </x:c>
      <x:c r="I565" s="1" t="str">
        <x:v>1</x:v>
      </x:c>
      <x:c r="J565" s="1" t="str">
        <x:v>no</x:v>
      </x:c>
      <x:c r="K565" s="1"/>
      <x:c r="L565" s="1"/>
      <x:c r="M565" s="1"/>
      <x:c r="N565" s="1"/>
      <x:c r="O565" s="1"/>
    </x:row>
    <x:row r="566">
      <x:c r="A566" s="1" t="str">
        <x:v>S0565</x:v>
      </x:c>
      <x:c r="B566" s="1" t="str">
        <x:v>24</x:v>
      </x:c>
      <x:c r="C566" s="1" t="str">
        <x:v>basic</x:v>
      </x:c>
      <x:c r="D566" s="1" t="str">
        <x:v>9.99</x:v>
      </x:c>
      <x:c r="E566" s="1" t="str">
        <x:v>0</x:v>
      </x:c>
      <x:c r="F566" s="1" t="str">
        <x:v>24</x:v>
      </x:c>
      <x:c r="G566" s="1" t="str">
        <x:v>0</x:v>
      </x:c>
      <x:c r="H566" s="1" t="str">
        <x:v>0</x:v>
      </x:c>
      <x:c r="I566" s="1" t="str">
        <x:v>0</x:v>
      </x:c>
      <x:c r="J566" s="1" t="str">
        <x:v>no</x:v>
      </x:c>
      <x:c r="K566" s="1"/>
      <x:c r="L566" s="1"/>
      <x:c r="M566" s="1"/>
      <x:c r="N566" s="1"/>
      <x:c r="O566" s="1"/>
    </x:row>
    <x:row r="567">
      <x:c r="A567" s="1" t="str">
        <x:v>S0566</x:v>
      </x:c>
      <x:c r="B567" s="1" t="str">
        <x:v>7</x:v>
      </x:c>
      <x:c r="C567" s="1" t="str">
        <x:v>basic</x:v>
      </x:c>
      <x:c r="D567" s="1" t="str">
        <x:v>9.99</x:v>
      </x:c>
      <x:c r="E567" s="1" t="str">
        <x:v>0</x:v>
      </x:c>
      <x:c r="F567" s="1" t="str">
        <x:v>6</x:v>
      </x:c>
      <x:c r="G567" s="1" t="str">
        <x:v>27</x:v>
      </x:c>
      <x:c r="H567" s="1" t="str">
        <x:v>1</x:v>
      </x:c>
      <x:c r="I567" s="1" t="str">
        <x:v>0</x:v>
      </x:c>
      <x:c r="J567" s="1" t="str">
        <x:v>yes</x:v>
      </x:c>
      <x:c r="K567" s="1"/>
      <x:c r="L567" s="1"/>
      <x:c r="M567" s="1"/>
      <x:c r="N567" s="1"/>
      <x:c r="O567" s="1"/>
    </x:row>
    <x:row r="568">
      <x:c r="A568" s="1" t="str">
        <x:v>S0567</x:v>
      </x:c>
      <x:c r="B568" s="1" t="str">
        <x:v>31</x:v>
      </x:c>
      <x:c r="C568" s="1" t="str">
        <x:v>basic</x:v>
      </x:c>
      <x:c r="D568" s="1" t="str">
        <x:v>9.99</x:v>
      </x:c>
      <x:c r="E568" s="1" t="str">
        <x:v>2</x:v>
      </x:c>
      <x:c r="F568" s="1" t="str">
        <x:v>15</x:v>
      </x:c>
      <x:c r="G568" s="1" t="str">
        <x:v>6</x:v>
      </x:c>
      <x:c r="H568" s="1" t="str">
        <x:v>0</x:v>
      </x:c>
      <x:c r="I568" s="1" t="str">
        <x:v>0</x:v>
      </x:c>
      <x:c r="J568" s="1" t="str">
        <x:v>no</x:v>
      </x:c>
      <x:c r="K568" s="1"/>
      <x:c r="L568" s="1"/>
      <x:c r="M568" s="1"/>
      <x:c r="N568" s="1"/>
      <x:c r="O568" s="1"/>
    </x:row>
    <x:row r="569">
      <x:c r="A569" s="1" t="str">
        <x:v>S0568</x:v>
      </x:c>
      <x:c r="B569" s="1" t="str">
        <x:v>13</x:v>
      </x:c>
      <x:c r="C569" s="1" t="str">
        <x:v>basic</x:v>
      </x:c>
      <x:c r="D569" s="1" t="str">
        <x:v>9.99</x:v>
      </x:c>
      <x:c r="E569" s="1" t="str">
        <x:v>0</x:v>
      </x:c>
      <x:c r="F569" s="1" t="str">
        <x:v>7</x:v>
      </x:c>
      <x:c r="G569" s="1" t="str">
        <x:v>13</x:v>
      </x:c>
      <x:c r="H569" s="1" t="str">
        <x:v>0</x:v>
      </x:c>
      <x:c r="I569" s="1" t="str">
        <x:v>0</x:v>
      </x:c>
      <x:c r="J569" s="1" t="str">
        <x:v>yes</x:v>
      </x:c>
      <x:c r="K569" s="1"/>
      <x:c r="L569" s="1"/>
      <x:c r="M569" s="1"/>
      <x:c r="N569" s="1"/>
      <x:c r="O569" s="1"/>
    </x:row>
    <x:row r="570">
      <x:c r="A570" s="1" t="str">
        <x:v>S0569</x:v>
      </x:c>
      <x:c r="B570" s="1" t="str">
        <x:v>22</x:v>
      </x:c>
      <x:c r="C570" s="1" t="str">
        <x:v>basic</x:v>
      </x:c>
      <x:c r="D570" s="1" t="str">
        <x:v>9.99</x:v>
      </x:c>
      <x:c r="E570" s="1" t="str">
        <x:v>0</x:v>
      </x:c>
      <x:c r="F570" s="1" t="str">
        <x:v>0</x:v>
      </x:c>
      <x:c r="G570" s="1" t="str">
        <x:v>60</x:v>
      </x:c>
      <x:c r="H570" s="1" t="str">
        <x:v>2</x:v>
      </x:c>
      <x:c r="I570" s="1" t="str">
        <x:v>0</x:v>
      </x:c>
      <x:c r="J570" s="1" t="str">
        <x:v>yes</x:v>
      </x:c>
      <x:c r="K570" s="1"/>
      <x:c r="L570" s="1"/>
      <x:c r="M570" s="1"/>
      <x:c r="N570" s="1"/>
      <x:c r="O570" s="1"/>
    </x:row>
    <x:row r="571">
      <x:c r="A571" s="1" t="str">
        <x:v>S0570</x:v>
      </x:c>
      <x:c r="B571" s="1" t="str">
        <x:v>15</x:v>
      </x:c>
      <x:c r="C571" s="1" t="str">
        <x:v>basic</x:v>
      </x:c>
      <x:c r="D571" s="1" t="str">
        <x:v>9.99</x:v>
      </x:c>
      <x:c r="E571" s="1" t="str">
        <x:v>1</x:v>
      </x:c>
      <x:c r="F571" s="1" t="str">
        <x:v>24</x:v>
      </x:c>
      <x:c r="G571" s="1" t="str">
        <x:v>7</x:v>
      </x:c>
      <x:c r="H571" s="1" t="str">
        <x:v>0</x:v>
      </x:c>
      <x:c r="I571" s="1" t="str">
        <x:v>0</x:v>
      </x:c>
      <x:c r="J571" s="1" t="str">
        <x:v>no</x:v>
      </x:c>
      <x:c r="K571" s="1"/>
      <x:c r="L571" s="1"/>
      <x:c r="M571" s="1"/>
      <x:c r="N571" s="1"/>
      <x:c r="O571" s="1"/>
    </x:row>
    <x:row r="572">
      <x:c r="A572" s="1" t="str">
        <x:v>S0571</x:v>
      </x:c>
      <x:c r="B572" s="1" t="str">
        <x:v>14</x:v>
      </x:c>
      <x:c r="C572" s="1" t="str">
        <x:v>premium</x:v>
      </x:c>
      <x:c r="D572" s="1" t="str">
        <x:v>15.99</x:v>
      </x:c>
      <x:c r="E572" s="1" t="str">
        <x:v>3</x:v>
      </x:c>
      <x:c r="F572" s="1" t="str">
        <x:v>12</x:v>
      </x:c>
      <x:c r="G572" s="1" t="str">
        <x:v>5</x:v>
      </x:c>
      <x:c r="H572" s="1" t="str">
        <x:v>0</x:v>
      </x:c>
      <x:c r="I572" s="1" t="str">
        <x:v>0</x:v>
      </x:c>
      <x:c r="J572" s="1" t="str">
        <x:v>no</x:v>
      </x:c>
      <x:c r="K572" s="1"/>
      <x:c r="L572" s="1"/>
      <x:c r="M572" s="1"/>
      <x:c r="N572" s="1"/>
      <x:c r="O572" s="1"/>
    </x:row>
    <x:row r="573">
      <x:c r="A573" s="1" t="str">
        <x:v>S0572</x:v>
      </x:c>
      <x:c r="B573" s="1" t="str">
        <x:v>36</x:v>
      </x:c>
      <x:c r="C573" s="1" t="str">
        <x:v>basic</x:v>
      </x:c>
      <x:c r="D573" s="1" t="str">
        <x:v>9.99</x:v>
      </x:c>
      <x:c r="E573" s="1" t="str">
        <x:v>1</x:v>
      </x:c>
      <x:c r="F573" s="1" t="str">
        <x:v>15</x:v>
      </x:c>
      <x:c r="G573" s="1" t="str">
        <x:v>25</x:v>
      </x:c>
      <x:c r="H573" s="1" t="str">
        <x:v>0</x:v>
      </x:c>
      <x:c r="I573" s="1" t="str">
        <x:v>0</x:v>
      </x:c>
      <x:c r="J573" s="1" t="str">
        <x:v>no</x:v>
      </x:c>
      <x:c r="K573" s="1"/>
      <x:c r="L573" s="1"/>
      <x:c r="M573" s="1"/>
      <x:c r="N573" s="1"/>
      <x:c r="O573" s="1"/>
    </x:row>
    <x:row r="574">
      <x:c r="A574" s="1" t="str">
        <x:v>S0573</x:v>
      </x:c>
      <x:c r="B574" s="1" t="str">
        <x:v>25</x:v>
      </x:c>
      <x:c r="C574" s="1" t="str">
        <x:v>basic</x:v>
      </x:c>
      <x:c r="D574" s="1" t="str">
        <x:v>9.99</x:v>
      </x:c>
      <x:c r="E574" s="1" t="str">
        <x:v>0</x:v>
      </x:c>
      <x:c r="F574" s="1" t="str">
        <x:v>30</x:v>
      </x:c>
      <x:c r="G574" s="1" t="str">
        <x:v>4</x:v>
      </x:c>
      <x:c r="H574" s="1" t="str">
        <x:v>0</x:v>
      </x:c>
      <x:c r="I574" s="1" t="str">
        <x:v>0</x:v>
      </x:c>
      <x:c r="J574" s="1" t="str">
        <x:v>no</x:v>
      </x:c>
      <x:c r="K574" s="1"/>
      <x:c r="L574" s="1"/>
      <x:c r="M574" s="1"/>
      <x:c r="N574" s="1"/>
      <x:c r="O574" s="1"/>
    </x:row>
    <x:row r="575">
      <x:c r="A575" s="1" t="str">
        <x:v>S0574</x:v>
      </x:c>
      <x:c r="B575" s="1" t="str">
        <x:v>31</x:v>
      </x:c>
      <x:c r="C575" s="1" t="str">
        <x:v>basic</x:v>
      </x:c>
      <x:c r="D575" s="1" t="str">
        <x:v>9.99</x:v>
      </x:c>
      <x:c r="E575" s="1" t="str">
        <x:v>1</x:v>
      </x:c>
      <x:c r="F575" s="1" t="str">
        <x:v>11</x:v>
      </x:c>
      <x:c r="G575" s="1" t="str">
        <x:v>11</x:v>
      </x:c>
      <x:c r="H575" s="1" t="str">
        <x:v>1</x:v>
      </x:c>
      <x:c r="I575" s="1" t="str">
        <x:v>0</x:v>
      </x:c>
      <x:c r="J575" s="1" t="str">
        <x:v>no</x:v>
      </x:c>
      <x:c r="K575" s="1"/>
      <x:c r="L575" s="1"/>
      <x:c r="M575" s="1"/>
      <x:c r="N575" s="1"/>
      <x:c r="O575" s="1"/>
    </x:row>
    <x:row r="576">
      <x:c r="A576" s="1" t="str">
        <x:v>S0575</x:v>
      </x:c>
      <x:c r="B576" s="1" t="str">
        <x:v>11</x:v>
      </x:c>
      <x:c r="C576" s="1" t="str">
        <x:v>basic</x:v>
      </x:c>
      <x:c r="D576" s="1" t="str">
        <x:v>9.99</x:v>
      </x:c>
      <x:c r="E576" s="1" t="str">
        <x:v>3</x:v>
      </x:c>
      <x:c r="F576" s="1" t="str">
        <x:v>21</x:v>
      </x:c>
      <x:c r="G576" s="1" t="str">
        <x:v>6</x:v>
      </x:c>
      <x:c r="H576" s="1" t="str">
        <x:v>0</x:v>
      </x:c>
      <x:c r="I576" s="1" t="str">
        <x:v>0</x:v>
      </x:c>
      <x:c r="J576" s="1" t="str">
        <x:v>yes</x:v>
      </x:c>
      <x:c r="K576" s="1"/>
      <x:c r="L576" s="1"/>
      <x:c r="M576" s="1"/>
      <x:c r="N576" s="1"/>
      <x:c r="O576" s="1"/>
    </x:row>
    <x:row r="577">
      <x:c r="A577" s="1" t="str">
        <x:v>S0576</x:v>
      </x:c>
      <x:c r="B577" s="1" t="str">
        <x:v>42</x:v>
      </x:c>
      <x:c r="C577" s="1" t="str">
        <x:v>basic</x:v>
      </x:c>
      <x:c r="D577" s="1" t="str">
        <x:v>9.99</x:v>
      </x:c>
      <x:c r="E577" s="1" t="str">
        <x:v>1</x:v>
      </x:c>
      <x:c r="F577" s="1" t="str">
        <x:v>15</x:v>
      </x:c>
      <x:c r="G577" s="1" t="str">
        <x:v>4</x:v>
      </x:c>
      <x:c r="H577" s="1" t="str">
        <x:v>0</x:v>
      </x:c>
      <x:c r="I577" s="1" t="str">
        <x:v>0</x:v>
      </x:c>
      <x:c r="J577" s="1" t="str">
        <x:v>yes</x:v>
      </x:c>
      <x:c r="K577" s="1"/>
      <x:c r="L577" s="1"/>
      <x:c r="M577" s="1"/>
      <x:c r="N577" s="1"/>
      <x:c r="O577" s="1"/>
    </x:row>
    <x:row r="578">
      <x:c r="A578" s="1" t="str">
        <x:v>S0577</x:v>
      </x:c>
      <x:c r="B578" s="1" t="str">
        <x:v>31</x:v>
      </x:c>
      <x:c r="C578" s="1" t="str">
        <x:v>basic</x:v>
      </x:c>
      <x:c r="D578" s="1" t="str">
        <x:v>9.99</x:v>
      </x:c>
      <x:c r="E578" s="1" t="str">
        <x:v>0</x:v>
      </x:c>
      <x:c r="F578" s="1" t="str">
        <x:v>16</x:v>
      </x:c>
      <x:c r="G578" s="1" t="str">
        <x:v>2</x:v>
      </x:c>
      <x:c r="H578" s="1" t="str">
        <x:v>0</x:v>
      </x:c>
      <x:c r="I578" s="1" t="str">
        <x:v>0</x:v>
      </x:c>
      <x:c r="J578" s="1" t="str">
        <x:v>no</x:v>
      </x:c>
      <x:c r="K578" s="1"/>
      <x:c r="L578" s="1"/>
      <x:c r="M578" s="1"/>
      <x:c r="N578" s="1"/>
      <x:c r="O578" s="1"/>
    </x:row>
    <x:row r="579">
      <x:c r="A579" s="1" t="str">
        <x:v>S0578</x:v>
      </x:c>
      <x:c r="B579" s="1" t="str">
        <x:v>21</x:v>
      </x:c>
      <x:c r="C579" s="1" t="str">
        <x:v>basic</x:v>
      </x:c>
      <x:c r="D579" s="1" t="str">
        <x:v>9.99</x:v>
      </x:c>
      <x:c r="E579" s="1" t="str">
        <x:v>1</x:v>
      </x:c>
      <x:c r="F579" s="1" t="str">
        <x:v>17</x:v>
      </x:c>
      <x:c r="G579" s="1" t="str">
        <x:v>7</x:v>
      </x:c>
      <x:c r="H579" s="1" t="str">
        <x:v>0</x:v>
      </x:c>
      <x:c r="I579" s="1" t="str">
        <x:v>0</x:v>
      </x:c>
      <x:c r="J579" s="1" t="str">
        <x:v>no</x:v>
      </x:c>
      <x:c r="K579" s="1"/>
      <x:c r="L579" s="1"/>
      <x:c r="M579" s="1"/>
      <x:c r="N579" s="1"/>
      <x:c r="O579" s="1"/>
    </x:row>
    <x:row r="580">
      <x:c r="A580" s="1" t="str">
        <x:v>S0579</x:v>
      </x:c>
      <x:c r="B580" s="1" t="str">
        <x:v>4</x:v>
      </x:c>
      <x:c r="C580" s="1" t="str">
        <x:v>basic</x:v>
      </x:c>
      <x:c r="D580" s="1" t="str">
        <x:v>9.99</x:v>
      </x:c>
      <x:c r="E580" s="1" t="str">
        <x:v>1</x:v>
      </x:c>
      <x:c r="F580" s="1" t="str">
        <x:v>21</x:v>
      </x:c>
      <x:c r="G580" s="1" t="str">
        <x:v>1</x:v>
      </x:c>
      <x:c r="H580" s="1" t="str">
        <x:v>1</x:v>
      </x:c>
      <x:c r="I580" s="1" t="str">
        <x:v>0</x:v>
      </x:c>
      <x:c r="J580" s="1" t="str">
        <x:v>yes</x:v>
      </x:c>
      <x:c r="K580" s="1"/>
      <x:c r="L580" s="1"/>
      <x:c r="M580" s="1"/>
      <x:c r="N580" s="1"/>
      <x:c r="O580" s="1"/>
    </x:row>
    <x:row r="581">
      <x:c r="A581" s="1" t="str">
        <x:v>S0580</x:v>
      </x:c>
      <x:c r="B581" s="1" t="str">
        <x:v>13</x:v>
      </x:c>
      <x:c r="C581" s="1" t="str">
        <x:v>basic</x:v>
      </x:c>
      <x:c r="D581" s="1" t="str">
        <x:v>9.99</x:v>
      </x:c>
      <x:c r="E581" s="1" t="str">
        <x:v>1</x:v>
      </x:c>
      <x:c r="F581" s="1" t="str">
        <x:v>29</x:v>
      </x:c>
      <x:c r="G581" s="1" t="str">
        <x:v>7</x:v>
      </x:c>
      <x:c r="H581" s="1" t="str">
        <x:v>0</x:v>
      </x:c>
      <x:c r="I581" s="1" t="str">
        <x:v>1</x:v>
      </x:c>
      <x:c r="J581" s="1" t="str">
        <x:v>no</x:v>
      </x:c>
      <x:c r="K581" s="1"/>
      <x:c r="L581" s="1"/>
      <x:c r="M581" s="1"/>
      <x:c r="N581" s="1"/>
      <x:c r="O581" s="1"/>
    </x:row>
    <x:row r="582">
      <x:c r="A582" s="1" t="str">
        <x:v>S0581</x:v>
      </x:c>
      <x:c r="B582" s="1" t="str">
        <x:v>45</x:v>
      </x:c>
      <x:c r="C582" s="1" t="str">
        <x:v>basic</x:v>
      </x:c>
      <x:c r="D582" s="1" t="str">
        <x:v>9.99</x:v>
      </x:c>
      <x:c r="E582" s="1" t="str">
        <x:v>0</x:v>
      </x:c>
      <x:c r="F582" s="1" t="str">
        <x:v>20</x:v>
      </x:c>
      <x:c r="G582" s="1" t="str">
        <x:v>2</x:v>
      </x:c>
      <x:c r="H582" s="1" t="str">
        <x:v>0</x:v>
      </x:c>
      <x:c r="I582" s="1" t="str">
        <x:v>0</x:v>
      </x:c>
      <x:c r="J582" s="1" t="str">
        <x:v>no</x:v>
      </x:c>
      <x:c r="K582" s="1"/>
      <x:c r="L582" s="1"/>
      <x:c r="M582" s="1"/>
      <x:c r="N582" s="1"/>
      <x:c r="O582" s="1"/>
    </x:row>
    <x:row r="583">
      <x:c r="A583" s="1" t="str">
        <x:v>S0582</x:v>
      </x:c>
      <x:c r="B583" s="1" t="str">
        <x:v>23</x:v>
      </x:c>
      <x:c r="C583" s="1" t="str">
        <x:v>basic</x:v>
      </x:c>
      <x:c r="D583" s="1" t="str">
        <x:v>9.99</x:v>
      </x:c>
      <x:c r="E583" s="1" t="str">
        <x:v>0</x:v>
      </x:c>
      <x:c r="F583" s="1" t="str">
        <x:v>2</x:v>
      </x:c>
      <x:c r="G583" s="1" t="str">
        <x:v>27</x:v>
      </x:c>
      <x:c r="H583" s="1" t="str">
        <x:v>0</x:v>
      </x:c>
      <x:c r="I583" s="1" t="str">
        <x:v>0</x:v>
      </x:c>
      <x:c r="J583" s="1" t="str">
        <x:v>no</x:v>
      </x:c>
      <x:c r="K583" s="1"/>
      <x:c r="L583" s="1"/>
      <x:c r="M583" s="1"/>
      <x:c r="N583" s="1"/>
      <x:c r="O583" s="1"/>
    </x:row>
    <x:row r="584">
      <x:c r="A584" s="1" t="str">
        <x:v>S0583</x:v>
      </x:c>
      <x:c r="B584" s="1" t="str">
        <x:v>6</x:v>
      </x:c>
      <x:c r="C584" s="1" t="str">
        <x:v>basic</x:v>
      </x:c>
      <x:c r="D584" s="1" t="str">
        <x:v>9.99</x:v>
      </x:c>
      <x:c r="E584" s="1" t="str">
        <x:v>4</x:v>
      </x:c>
      <x:c r="F584" s="1" t="str">
        <x:v>13</x:v>
      </x:c>
      <x:c r="G584" s="1" t="str">
        <x:v>2</x:v>
      </x:c>
      <x:c r="H584" s="1" t="str">
        <x:v>0</x:v>
      </x:c>
      <x:c r="I584" s="1" t="str">
        <x:v>0</x:v>
      </x:c>
      <x:c r="J584" s="1" t="str">
        <x:v>yes</x:v>
      </x:c>
      <x:c r="K584" s="1"/>
      <x:c r="L584" s="1"/>
      <x:c r="M584" s="1"/>
      <x:c r="N584" s="1"/>
      <x:c r="O584" s="1"/>
    </x:row>
    <x:row r="585">
      <x:c r="A585" s="1" t="str">
        <x:v>S0584</x:v>
      </x:c>
      <x:c r="B585" s="1" t="str">
        <x:v>40</x:v>
      </x:c>
      <x:c r="C585" s="1" t="str">
        <x:v>basic</x:v>
      </x:c>
      <x:c r="D585" s="1" t="str">
        <x:v>9.99</x:v>
      </x:c>
      <x:c r="E585" s="1" t="str">
        <x:v>1</x:v>
      </x:c>
      <x:c r="F585" s="1" t="str">
        <x:v>15</x:v>
      </x:c>
      <x:c r="G585" s="1" t="str">
        <x:v>4</x:v>
      </x:c>
      <x:c r="H585" s="1" t="str">
        <x:v>0</x:v>
      </x:c>
      <x:c r="I585" s="1" t="str">
        <x:v>0</x:v>
      </x:c>
      <x:c r="J585" s="1" t="str">
        <x:v>no</x:v>
      </x:c>
      <x:c r="K585" s="1"/>
      <x:c r="L585" s="1"/>
      <x:c r="M585" s="1"/>
      <x:c r="N585" s="1"/>
      <x:c r="O585" s="1"/>
    </x:row>
    <x:row r="586">
      <x:c r="A586" s="1" t="str">
        <x:v>S0585</x:v>
      </x:c>
      <x:c r="B586" s="1" t="str">
        <x:v>1</x:v>
      </x:c>
      <x:c r="C586" s="1" t="str">
        <x:v>basic</x:v>
      </x:c>
      <x:c r="D586" s="1" t="str">
        <x:v>9.99</x:v>
      </x:c>
      <x:c r="E586" s="1" t="str">
        <x:v>0</x:v>
      </x:c>
      <x:c r="F586" s="1" t="str">
        <x:v>0</x:v>
      </x:c>
      <x:c r="G586" s="1" t="str">
        <x:v>39</x:v>
      </x:c>
      <x:c r="H586" s="1" t="str">
        <x:v>0</x:v>
      </x:c>
      <x:c r="I586" s="1" t="str">
        <x:v>1</x:v>
      </x:c>
      <x:c r="J586" s="1" t="str">
        <x:v>yes</x:v>
      </x:c>
      <x:c r="K586" s="1"/>
      <x:c r="L586" s="1"/>
      <x:c r="M586" s="1"/>
      <x:c r="N586" s="1"/>
      <x:c r="O586" s="1"/>
    </x:row>
    <x:row r="587">
      <x:c r="A587" s="1" t="str">
        <x:v>S0586</x:v>
      </x:c>
      <x:c r="B587" s="1" t="str">
        <x:v>1</x:v>
      </x:c>
      <x:c r="C587" s="1" t="str">
        <x:v>premium</x:v>
      </x:c>
      <x:c r="D587" s="1" t="str">
        <x:v>15.99</x:v>
      </x:c>
      <x:c r="E587" s="1" t="str">
        <x:v>0</x:v>
      </x:c>
      <x:c r="F587" s="1" t="str">
        <x:v>12</x:v>
      </x:c>
      <x:c r="G587" s="1" t="str">
        <x:v>7</x:v>
      </x:c>
      <x:c r="H587" s="1" t="str">
        <x:v>0</x:v>
      </x:c>
      <x:c r="I587" s="1" t="str">
        <x:v>0</x:v>
      </x:c>
      <x:c r="J587" s="1" t="str">
        <x:v>no</x:v>
      </x:c>
      <x:c r="K587" s="1"/>
      <x:c r="L587" s="1"/>
      <x:c r="M587" s="1"/>
      <x:c r="N587" s="1"/>
      <x:c r="O587" s="1"/>
    </x:row>
    <x:row r="588">
      <x:c r="A588" s="1" t="str">
        <x:v>S0587</x:v>
      </x:c>
      <x:c r="B588" s="1" t="str">
        <x:v>2</x:v>
      </x:c>
      <x:c r="C588" s="1" t="str">
        <x:v>premium</x:v>
      </x:c>
      <x:c r="D588" s="1" t="str">
        <x:v>15.99</x:v>
      </x:c>
      <x:c r="E588" s="1" t="str">
        <x:v>1</x:v>
      </x:c>
      <x:c r="F588" s="1" t="str">
        <x:v>0</x:v>
      </x:c>
      <x:c r="G588" s="1" t="str">
        <x:v>31</x:v>
      </x:c>
      <x:c r="H588" s="1" t="str">
        <x:v>0</x:v>
      </x:c>
      <x:c r="I588" s="1" t="str">
        <x:v>0</x:v>
      </x:c>
      <x:c r="J588" s="1" t="str">
        <x:v>yes</x:v>
      </x:c>
      <x:c r="K588" s="1"/>
      <x:c r="L588" s="1"/>
      <x:c r="M588" s="1"/>
      <x:c r="N588" s="1"/>
      <x:c r="O588" s="1"/>
    </x:row>
    <x:row r="589">
      <x:c r="A589" s="1" t="str">
        <x:v>S0588</x:v>
      </x:c>
      <x:c r="B589" s="1" t="str">
        <x:v>6</x:v>
      </x:c>
      <x:c r="C589" s="1" t="str">
        <x:v>basic</x:v>
      </x:c>
      <x:c r="D589" s="1" t="str">
        <x:v>9.99</x:v>
      </x:c>
      <x:c r="E589" s="1" t="str">
        <x:v>0</x:v>
      </x:c>
      <x:c r="F589" s="1" t="str">
        <x:v>0</x:v>
      </x:c>
      <x:c r="G589" s="1" t="str">
        <x:v>31</x:v>
      </x:c>
      <x:c r="H589" s="1" t="str">
        <x:v>0</x:v>
      </x:c>
      <x:c r="I589" s="1" t="str">
        <x:v>0</x:v>
      </x:c>
      <x:c r="J589" s="1" t="str">
        <x:v>no</x:v>
      </x:c>
      <x:c r="K589" s="1"/>
      <x:c r="L589" s="1"/>
      <x:c r="M589" s="1"/>
      <x:c r="N589" s="1"/>
      <x:c r="O589" s="1"/>
    </x:row>
    <x:row r="590">
      <x:c r="A590" s="1" t="str">
        <x:v>S0589</x:v>
      </x:c>
      <x:c r="B590" s="1" t="str">
        <x:v>10</x:v>
      </x:c>
      <x:c r="C590" s="1" t="str">
        <x:v>premium</x:v>
      </x:c>
      <x:c r="D590" s="1" t="str">
        <x:v>15.99</x:v>
      </x:c>
      <x:c r="E590" s="1" t="str">
        <x:v>0</x:v>
      </x:c>
      <x:c r="F590" s="1" t="str">
        <x:v>1</x:v>
      </x:c>
      <x:c r="G590" s="1" t="str">
        <x:v>27</x:v>
      </x:c>
      <x:c r="H590" s="1" t="str">
        <x:v>0</x:v>
      </x:c>
      <x:c r="I590" s="1" t="str">
        <x:v>0</x:v>
      </x:c>
      <x:c r="J590" s="1" t="str">
        <x:v>yes</x:v>
      </x:c>
      <x:c r="K590" s="1"/>
      <x:c r="L590" s="1"/>
      <x:c r="M590" s="1"/>
      <x:c r="N590" s="1"/>
      <x:c r="O590" s="1"/>
    </x:row>
    <x:row r="591">
      <x:c r="A591" s="1" t="str">
        <x:v>S0590</x:v>
      </x:c>
      <x:c r="B591" s="1" t="str">
        <x:v>22</x:v>
      </x:c>
      <x:c r="C591" s="1" t="str">
        <x:v>basic</x:v>
      </x:c>
      <x:c r="D591" s="1" t="str">
        <x:v>9.99</x:v>
      </x:c>
      <x:c r="E591" s="1" t="str">
        <x:v>0</x:v>
      </x:c>
      <x:c r="F591" s="1" t="str">
        <x:v>23</x:v>
      </x:c>
      <x:c r="G591" s="1" t="str">
        <x:v>3</x:v>
      </x:c>
      <x:c r="H591" s="1" t="str">
        <x:v>0</x:v>
      </x:c>
      <x:c r="I591" s="1" t="str">
        <x:v>0</x:v>
      </x:c>
      <x:c r="J591" s="1" t="str">
        <x:v>no</x:v>
      </x:c>
      <x:c r="K591" s="1"/>
      <x:c r="L591" s="1"/>
      <x:c r="M591" s="1"/>
      <x:c r="N591" s="1"/>
      <x:c r="O591" s="1"/>
    </x:row>
    <x:row r="592">
      <x:c r="A592" s="1" t="str">
        <x:v>S0591</x:v>
      </x:c>
      <x:c r="B592" s="1" t="str">
        <x:v>2</x:v>
      </x:c>
      <x:c r="C592" s="1" t="str">
        <x:v>basic</x:v>
      </x:c>
      <x:c r="D592" s="1" t="str">
        <x:v>9.99</x:v>
      </x:c>
      <x:c r="E592" s="1" t="str">
        <x:v>0</x:v>
      </x:c>
      <x:c r="F592" s="1" t="str">
        <x:v>3</x:v>
      </x:c>
      <x:c r="G592" s="1" t="str">
        <x:v>24</x:v>
      </x:c>
      <x:c r="H592" s="1" t="str">
        <x:v>0</x:v>
      </x:c>
      <x:c r="I592" s="1" t="str">
        <x:v>1</x:v>
      </x:c>
      <x:c r="J592" s="1" t="str">
        <x:v>no</x:v>
      </x:c>
      <x:c r="K592" s="1"/>
      <x:c r="L592" s="1"/>
      <x:c r="M592" s="1"/>
      <x:c r="N592" s="1"/>
      <x:c r="O592" s="1"/>
    </x:row>
    <x:row r="593">
      <x:c r="A593" s="1" t="str">
        <x:v>S0592</x:v>
      </x:c>
      <x:c r="B593" s="1" t="str">
        <x:v>27</x:v>
      </x:c>
      <x:c r="C593" s="1" t="str">
        <x:v>basic</x:v>
      </x:c>
      <x:c r="D593" s="1" t="str">
        <x:v>9.99</x:v>
      </x:c>
      <x:c r="E593" s="1" t="str">
        <x:v>2</x:v>
      </x:c>
      <x:c r="F593" s="1" t="str">
        <x:v>18</x:v>
      </x:c>
      <x:c r="G593" s="1" t="str">
        <x:v>7</x:v>
      </x:c>
      <x:c r="H593" s="1" t="str">
        <x:v>0</x:v>
      </x:c>
      <x:c r="I593" s="1" t="str">
        <x:v>0</x:v>
      </x:c>
      <x:c r="J593" s="1" t="str">
        <x:v>no</x:v>
      </x:c>
      <x:c r="K593" s="1"/>
      <x:c r="L593" s="1"/>
      <x:c r="M593" s="1"/>
      <x:c r="N593" s="1"/>
      <x:c r="O593" s="1"/>
    </x:row>
    <x:row r="594">
      <x:c r="A594" s="1" t="str">
        <x:v>S0593</x:v>
      </x:c>
      <x:c r="B594" s="1" t="str">
        <x:v>1</x:v>
      </x:c>
      <x:c r="C594" s="1" t="str">
        <x:v>basic</x:v>
      </x:c>
      <x:c r="D594" s="1" t="str">
        <x:v>9.99</x:v>
      </x:c>
      <x:c r="E594" s="1" t="str">
        <x:v>0</x:v>
      </x:c>
      <x:c r="F594" s="1" t="str">
        <x:v>13</x:v>
      </x:c>
      <x:c r="G594" s="1" t="str">
        <x:v>5</x:v>
      </x:c>
      <x:c r="H594" s="1" t="str">
        <x:v>0</x:v>
      </x:c>
      <x:c r="I594" s="1" t="str">
        <x:v>0</x:v>
      </x:c>
      <x:c r="J594" s="1" t="str">
        <x:v>no</x:v>
      </x:c>
      <x:c r="K594" s="1"/>
      <x:c r="L594" s="1"/>
      <x:c r="M594" s="1"/>
      <x:c r="N594" s="1"/>
      <x:c r="O594" s="1"/>
    </x:row>
    <x:row r="595">
      <x:c r="A595" s="1" t="str">
        <x:v>S0594</x:v>
      </x:c>
      <x:c r="B595" s="1" t="str">
        <x:v>39</x:v>
      </x:c>
      <x:c r="C595" s="1" t="str">
        <x:v>basic</x:v>
      </x:c>
      <x:c r="D595" s="1" t="str">
        <x:v>9.99</x:v>
      </x:c>
      <x:c r="E595" s="1" t="str">
        <x:v>0</x:v>
      </x:c>
      <x:c r="F595" s="1" t="str">
        <x:v>20</x:v>
      </x:c>
      <x:c r="G595" s="1" t="str">
        <x:v>3</x:v>
      </x:c>
      <x:c r="H595" s="1" t="str">
        <x:v>0</x:v>
      </x:c>
      <x:c r="I595" s="1" t="str">
        <x:v>0</x:v>
      </x:c>
      <x:c r="J595" s="1" t="str">
        <x:v>no</x:v>
      </x:c>
      <x:c r="K595" s="1"/>
      <x:c r="L595" s="1"/>
      <x:c r="M595" s="1"/>
      <x:c r="N595" s="1"/>
      <x:c r="O595" s="1"/>
    </x:row>
    <x:row r="596">
      <x:c r="A596" s="1" t="str">
        <x:v>S0595</x:v>
      </x:c>
      <x:c r="B596" s="1" t="str">
        <x:v>15</x:v>
      </x:c>
      <x:c r="C596" s="1" t="str">
        <x:v>premium</x:v>
      </x:c>
      <x:c r="D596" s="1" t="str">
        <x:v>15.99</x:v>
      </x:c>
      <x:c r="E596" s="1" t="str">
        <x:v>0</x:v>
      </x:c>
      <x:c r="F596" s="1" t="str">
        <x:v>15</x:v>
      </x:c>
      <x:c r="G596" s="1" t="str">
        <x:v>5</x:v>
      </x:c>
      <x:c r="H596" s="1" t="str">
        <x:v>1</x:v>
      </x:c>
      <x:c r="I596" s="1" t="str">
        <x:v>0</x:v>
      </x:c>
      <x:c r="J596" s="1" t="str">
        <x:v>yes</x:v>
      </x:c>
      <x:c r="K596" s="1"/>
      <x:c r="L596" s="1"/>
      <x:c r="M596" s="1"/>
      <x:c r="N596" s="1"/>
      <x:c r="O596" s="1"/>
    </x:row>
    <x:row r="597">
      <x:c r="A597" s="1" t="str">
        <x:v>S0596</x:v>
      </x:c>
      <x:c r="B597" s="1" t="str">
        <x:v>36</x:v>
      </x:c>
      <x:c r="C597" s="1" t="str">
        <x:v>basic</x:v>
      </x:c>
      <x:c r="D597" s="1" t="str">
        <x:v>9.99</x:v>
      </x:c>
      <x:c r="E597" s="1" t="str">
        <x:v>2</x:v>
      </x:c>
      <x:c r="F597" s="1" t="str">
        <x:v>18</x:v>
      </x:c>
      <x:c r="G597" s="1" t="str">
        <x:v>2</x:v>
      </x:c>
      <x:c r="H597" s="1" t="str">
        <x:v>0</x:v>
      </x:c>
      <x:c r="I597" s="1" t="str">
        <x:v>0</x:v>
      </x:c>
      <x:c r="J597" s="1" t="str">
        <x:v>no</x:v>
      </x:c>
      <x:c r="K597" s="1"/>
      <x:c r="L597" s="1"/>
      <x:c r="M597" s="1"/>
      <x:c r="N597" s="1"/>
      <x:c r="O597" s="1"/>
    </x:row>
    <x:row r="598">
      <x:c r="A598" s="1" t="str">
        <x:v>S0597</x:v>
      </x:c>
      <x:c r="B598" s="1" t="str">
        <x:v>37</x:v>
      </x:c>
      <x:c r="C598" s="1" t="str">
        <x:v>premium</x:v>
      </x:c>
      <x:c r="D598" s="1" t="str">
        <x:v>15.99</x:v>
      </x:c>
      <x:c r="E598" s="1" t="str">
        <x:v>0</x:v>
      </x:c>
      <x:c r="F598" s="1" t="str">
        <x:v>0</x:v>
      </x:c>
      <x:c r="G598" s="1" t="str">
        <x:v>36</x:v>
      </x:c>
      <x:c r="H598" s="1" t="str">
        <x:v>0</x:v>
      </x:c>
      <x:c r="I598" s="1" t="str">
        <x:v>0</x:v>
      </x:c>
      <x:c r="J598" s="1" t="str">
        <x:v>yes</x:v>
      </x:c>
      <x:c r="K598" s="1"/>
      <x:c r="L598" s="1"/>
      <x:c r="M598" s="1"/>
      <x:c r="N598" s="1"/>
      <x:c r="O598" s="1"/>
    </x:row>
    <x:row r="599">
      <x:c r="A599" s="1" t="str">
        <x:v>S0598</x:v>
      </x:c>
      <x:c r="B599" s="1" t="str">
        <x:v>25</x:v>
      </x:c>
      <x:c r="C599" s="1" t="str">
        <x:v>basic</x:v>
      </x:c>
      <x:c r="D599" s="1" t="str">
        <x:v>9.99</x:v>
      </x:c>
      <x:c r="E599" s="1" t="str">
        <x:v>2</x:v>
      </x:c>
      <x:c r="F599" s="1" t="str">
        <x:v>22</x:v>
      </x:c>
      <x:c r="G599" s="1" t="str">
        <x:v>3</x:v>
      </x:c>
      <x:c r="H599" s="1" t="str">
        <x:v>0</x:v>
      </x:c>
      <x:c r="I599" s="1" t="str">
        <x:v>0</x:v>
      </x:c>
      <x:c r="J599" s="1" t="str">
        <x:v>no</x:v>
      </x:c>
      <x:c r="K599" s="1"/>
      <x:c r="L599" s="1"/>
      <x:c r="M599" s="1"/>
      <x:c r="N599" s="1"/>
      <x:c r="O599" s="1"/>
    </x:row>
    <x:row r="600">
      <x:c r="A600" s="1" t="str">
        <x:v>S0599</x:v>
      </x:c>
      <x:c r="B600" s="1" t="str">
        <x:v>13</x:v>
      </x:c>
      <x:c r="C600" s="1" t="str">
        <x:v>basic</x:v>
      </x:c>
      <x:c r="D600" s="1" t="str">
        <x:v>9.99</x:v>
      </x:c>
      <x:c r="E600" s="1" t="str">
        <x:v>3</x:v>
      </x:c>
      <x:c r="F600" s="1" t="str">
        <x:v>9</x:v>
      </x:c>
      <x:c r="G600" s="1" t="str">
        <x:v>9</x:v>
      </x:c>
      <x:c r="H600" s="1" t="str">
        <x:v>0</x:v>
      </x:c>
      <x:c r="I600" s="1" t="str">
        <x:v>0</x:v>
      </x:c>
      <x:c r="J600" s="1" t="str">
        <x:v>no</x:v>
      </x:c>
      <x:c r="K600" s="1"/>
      <x:c r="L600" s="1"/>
      <x:c r="M600" s="1"/>
      <x:c r="N600" s="1"/>
      <x:c r="O600" s="1"/>
    </x:row>
    <x:row r="601">
      <x:c r="A601" s="1" t="str">
        <x:v>S0600</x:v>
      </x:c>
      <x:c r="B601" s="1" t="str">
        <x:v>16</x:v>
      </x:c>
      <x:c r="C601" s="1" t="str">
        <x:v>premium</x:v>
      </x:c>
      <x:c r="D601" s="1" t="str">
        <x:v>15.99</x:v>
      </x:c>
      <x:c r="E601" s="1" t="str">
        <x:v>1</x:v>
      </x:c>
      <x:c r="F601" s="1" t="str">
        <x:v>0</x:v>
      </x:c>
      <x:c r="G601" s="1" t="str">
        <x:v>34</x:v>
      </x:c>
      <x:c r="H601" s="1" t="str">
        <x:v>0</x:v>
      </x:c>
      <x:c r="I601" s="1" t="str">
        <x:v>0</x:v>
      </x:c>
      <x:c r="J601" s="1" t="str">
        <x:v>no</x:v>
      </x:c>
      <x:c r="K601" s="1"/>
      <x:c r="L601" s="1"/>
      <x:c r="M601" s="1"/>
      <x:c r="N601" s="1"/>
      <x:c r="O601" s="1"/>
    </x:row>
    <x:row r="602">
      <x:c r="A602" s="1" t="str">
        <x:v>S0601</x:v>
      </x:c>
      <x:c r="B602" s="1" t="str">
        <x:v>6</x:v>
      </x:c>
      <x:c r="C602" s="1" t="str">
        <x:v>basic</x:v>
      </x:c>
      <x:c r="D602" s="1" t="str">
        <x:v>9.99</x:v>
      </x:c>
      <x:c r="E602" s="1" t="str">
        <x:v>1</x:v>
      </x:c>
      <x:c r="F602" s="1" t="str">
        <x:v>21</x:v>
      </x:c>
      <x:c r="G602" s="1" t="str">
        <x:v>6</x:v>
      </x:c>
      <x:c r="H602" s="1" t="str">
        <x:v>0</x:v>
      </x:c>
      <x:c r="I602" s="1" t="str">
        <x:v>0</x:v>
      </x:c>
      <x:c r="J602" s="1" t="str">
        <x:v>no</x:v>
      </x:c>
      <x:c r="K602" s="1"/>
      <x:c r="L602" s="1"/>
      <x:c r="M602" s="1"/>
      <x:c r="N602" s="1"/>
      <x:c r="O602" s="1"/>
    </x:row>
    <x:row r="603">
      <x:c r="A603" s="1" t="str">
        <x:v>S0602</x:v>
      </x:c>
      <x:c r="B603" s="1" t="str">
        <x:v>4</x:v>
      </x:c>
      <x:c r="C603" s="1" t="str">
        <x:v>premium</x:v>
      </x:c>
      <x:c r="D603" s="1" t="str">
        <x:v>15.99</x:v>
      </x:c>
      <x:c r="E603" s="1" t="str">
        <x:v>1</x:v>
      </x:c>
      <x:c r="F603" s="1" t="str">
        <x:v>0</x:v>
      </x:c>
      <x:c r="G603" s="1" t="str">
        <x:v>57</x:v>
      </x:c>
      <x:c r="H603" s="1" t="str">
        <x:v>0</x:v>
      </x:c>
      <x:c r="I603" s="1" t="str">
        <x:v>0</x:v>
      </x:c>
      <x:c r="J603" s="1" t="str">
        <x:v>yes</x:v>
      </x:c>
      <x:c r="K603" s="1"/>
      <x:c r="L603" s="1"/>
      <x:c r="M603" s="1"/>
      <x:c r="N603" s="1"/>
      <x:c r="O603" s="1"/>
    </x:row>
    <x:row r="604">
      <x:c r="A604" s="1" t="str">
        <x:v>S0603</x:v>
      </x:c>
      <x:c r="B604" s="1" t="str">
        <x:v>44</x:v>
      </x:c>
      <x:c r="C604" s="1" t="str">
        <x:v>basic</x:v>
      </x:c>
      <x:c r="D604" s="1" t="str">
        <x:v>9.99</x:v>
      </x:c>
      <x:c r="E604" s="1" t="str">
        <x:v>1</x:v>
      </x:c>
      <x:c r="F604" s="1" t="str">
        <x:v>30</x:v>
      </x:c>
      <x:c r="G604" s="1" t="str">
        <x:v>0</x:v>
      </x:c>
      <x:c r="H604" s="1" t="str">
        <x:v>0</x:v>
      </x:c>
      <x:c r="I604" s="1" t="str">
        <x:v>0</x:v>
      </x:c>
      <x:c r="J604" s="1" t="str">
        <x:v>no</x:v>
      </x:c>
      <x:c r="K604" s="1"/>
      <x:c r="L604" s="1"/>
      <x:c r="M604" s="1"/>
      <x:c r="N604" s="1"/>
      <x:c r="O604" s="1"/>
    </x:row>
    <x:row r="605">
      <x:c r="A605" s="1" t="str">
        <x:v>S0604</x:v>
      </x:c>
      <x:c r="B605" s="1" t="str">
        <x:v>4</x:v>
      </x:c>
      <x:c r="C605" s="1" t="str">
        <x:v>basic</x:v>
      </x:c>
      <x:c r="D605" s="1" t="str">
        <x:v>9.99</x:v>
      </x:c>
      <x:c r="E605" s="1" t="str">
        <x:v>0</x:v>
      </x:c>
      <x:c r="F605" s="1" t="str">
        <x:v>13</x:v>
      </x:c>
      <x:c r="G605" s="1" t="str">
        <x:v>21</x:v>
      </x:c>
      <x:c r="H605" s="1" t="str">
        <x:v>2</x:v>
      </x:c>
      <x:c r="I605" s="1" t="str">
        <x:v>1</x:v>
      </x:c>
      <x:c r="J605" s="1" t="str">
        <x:v>no</x:v>
      </x:c>
      <x:c r="K605" s="1"/>
      <x:c r="L605" s="1"/>
      <x:c r="M605" s="1"/>
      <x:c r="N605" s="1"/>
      <x:c r="O605" s="1"/>
    </x:row>
    <x:row r="606">
      <x:c r="A606" s="1" t="str">
        <x:v>S0605</x:v>
      </x:c>
      <x:c r="B606" s="1" t="str">
        <x:v>27</x:v>
      </x:c>
      <x:c r="C606" s="1" t="str">
        <x:v>basic</x:v>
      </x:c>
      <x:c r="D606" s="1" t="str">
        <x:v>9.99</x:v>
      </x:c>
      <x:c r="E606" s="1" t="str">
        <x:v>0</x:v>
      </x:c>
      <x:c r="F606" s="1" t="str">
        <x:v>18</x:v>
      </x:c>
      <x:c r="G606" s="1" t="str">
        <x:v>4</x:v>
      </x:c>
      <x:c r="H606" s="1" t="str">
        <x:v>0</x:v>
      </x:c>
      <x:c r="I606" s="1" t="str">
        <x:v>0</x:v>
      </x:c>
      <x:c r="J606" s="1" t="str">
        <x:v>no</x:v>
      </x:c>
      <x:c r="K606" s="1"/>
      <x:c r="L606" s="1"/>
      <x:c r="M606" s="1"/>
      <x:c r="N606" s="1"/>
      <x:c r="O606" s="1"/>
    </x:row>
    <x:row r="607">
      <x:c r="A607" s="1" t="str">
        <x:v>S0606</x:v>
      </x:c>
      <x:c r="B607" s="1" t="str">
        <x:v>25</x:v>
      </x:c>
      <x:c r="C607" s="1" t="str">
        <x:v>premium</x:v>
      </x:c>
      <x:c r="D607" s="1" t="str">
        <x:v>15.99</x:v>
      </x:c>
      <x:c r="E607" s="1" t="str">
        <x:v>0</x:v>
      </x:c>
      <x:c r="F607" s="1" t="str">
        <x:v>20</x:v>
      </x:c>
      <x:c r="G607" s="1" t="str">
        <x:v>2</x:v>
      </x:c>
      <x:c r="H607" s="1" t="str">
        <x:v>0</x:v>
      </x:c>
      <x:c r="I607" s="1" t="str">
        <x:v>1</x:v>
      </x:c>
      <x:c r="J607" s="1" t="str">
        <x:v>no</x:v>
      </x:c>
      <x:c r="K607" s="1"/>
      <x:c r="L607" s="1"/>
      <x:c r="M607" s="1"/>
      <x:c r="N607" s="1"/>
      <x:c r="O607" s="1"/>
    </x:row>
    <x:row r="608">
      <x:c r="A608" s="1" t="str">
        <x:v>S0607</x:v>
      </x:c>
      <x:c r="B608" s="1" t="str">
        <x:v>45</x:v>
      </x:c>
      <x:c r="C608" s="1" t="str">
        <x:v>basic</x:v>
      </x:c>
      <x:c r="D608" s="1" t="str">
        <x:v>9.99</x:v>
      </x:c>
      <x:c r="E608" s="1" t="str">
        <x:v>0</x:v>
      </x:c>
      <x:c r="F608" s="1" t="str">
        <x:v>21</x:v>
      </x:c>
      <x:c r="G608" s="1" t="str">
        <x:v>5</x:v>
      </x:c>
      <x:c r="H608" s="1" t="str">
        <x:v>0</x:v>
      </x:c>
      <x:c r="I608" s="1" t="str">
        <x:v>1</x:v>
      </x:c>
      <x:c r="J608" s="1" t="str">
        <x:v>no</x:v>
      </x:c>
      <x:c r="K608" s="1"/>
      <x:c r="L608" s="1"/>
      <x:c r="M608" s="1"/>
      <x:c r="N608" s="1"/>
      <x:c r="O608" s="1"/>
    </x:row>
    <x:row r="609">
      <x:c r="A609" s="1" t="str">
        <x:v>S0608</x:v>
      </x:c>
      <x:c r="B609" s="1" t="str">
        <x:v>12</x:v>
      </x:c>
      <x:c r="C609" s="1" t="str">
        <x:v>basic</x:v>
      </x:c>
      <x:c r="D609" s="1" t="str">
        <x:v>9.99</x:v>
      </x:c>
      <x:c r="E609" s="1" t="str">
        <x:v>0</x:v>
      </x:c>
      <x:c r="F609" s="1" t="str">
        <x:v>15</x:v>
      </x:c>
      <x:c r="G609" s="1" t="str">
        <x:v>0</x:v>
      </x:c>
      <x:c r="H609" s="1" t="str">
        <x:v>0</x:v>
      </x:c>
      <x:c r="I609" s="1" t="str">
        <x:v>0</x:v>
      </x:c>
      <x:c r="J609" s="1" t="str">
        <x:v>yes</x:v>
      </x:c>
      <x:c r="K609" s="1"/>
      <x:c r="L609" s="1"/>
      <x:c r="M609" s="1"/>
      <x:c r="N609" s="1"/>
      <x:c r="O609" s="1"/>
    </x:row>
    <x:row r="610">
      <x:c r="A610" s="1" t="str">
        <x:v>S0609</x:v>
      </x:c>
      <x:c r="B610" s="1" t="str">
        <x:v>41</x:v>
      </x:c>
      <x:c r="C610" s="1" t="str">
        <x:v>basic</x:v>
      </x:c>
      <x:c r="D610" s="1" t="str">
        <x:v>9.99</x:v>
      </x:c>
      <x:c r="E610" s="1" t="str">
        <x:v>3</x:v>
      </x:c>
      <x:c r="F610" s="1" t="str">
        <x:v>12</x:v>
      </x:c>
      <x:c r="G610" s="1" t="str">
        <x:v>4</x:v>
      </x:c>
      <x:c r="H610" s="1" t="str">
        <x:v>0</x:v>
      </x:c>
      <x:c r="I610" s="1" t="str">
        <x:v>0</x:v>
      </x:c>
      <x:c r="J610" s="1" t="str">
        <x:v>no</x:v>
      </x:c>
      <x:c r="K610" s="1"/>
      <x:c r="L610" s="1"/>
      <x:c r="M610" s="1"/>
      <x:c r="N610" s="1"/>
      <x:c r="O610" s="1"/>
    </x:row>
    <x:row r="611">
      <x:c r="A611" s="1" t="str">
        <x:v>S0610</x:v>
      </x:c>
      <x:c r="B611" s="1" t="str">
        <x:v>30</x:v>
      </x:c>
      <x:c r="C611" s="1" t="str">
        <x:v>basic</x:v>
      </x:c>
      <x:c r="D611" s="1" t="str">
        <x:v>9.99</x:v>
      </x:c>
      <x:c r="E611" s="1" t="str">
        <x:v>0</x:v>
      </x:c>
      <x:c r="F611" s="1" t="str">
        <x:v>26</x:v>
      </x:c>
      <x:c r="G611" s="1" t="str">
        <x:v>4</x:v>
      </x:c>
      <x:c r="H611" s="1" t="str">
        <x:v>1</x:v>
      </x:c>
      <x:c r="I611" s="1" t="str">
        <x:v>0</x:v>
      </x:c>
      <x:c r="J611" s="1" t="str">
        <x:v>no</x:v>
      </x:c>
      <x:c r="K611" s="1"/>
      <x:c r="L611" s="1"/>
      <x:c r="M611" s="1"/>
      <x:c r="N611" s="1"/>
      <x:c r="O611" s="1"/>
    </x:row>
    <x:row r="612">
      <x:c r="A612" s="1" t="str">
        <x:v>S0611</x:v>
      </x:c>
      <x:c r="B612" s="1" t="str">
        <x:v>16</x:v>
      </x:c>
      <x:c r="C612" s="1" t="str">
        <x:v>basic</x:v>
      </x:c>
      <x:c r="D612" s="1" t="str">
        <x:v>9.99</x:v>
      </x:c>
      <x:c r="E612" s="1" t="str">
        <x:v>2</x:v>
      </x:c>
      <x:c r="F612" s="1" t="str">
        <x:v>0</x:v>
      </x:c>
      <x:c r="G612" s="1" t="str">
        <x:v>32</x:v>
      </x:c>
      <x:c r="H612" s="1" t="str">
        <x:v>0</x:v>
      </x:c>
      <x:c r="I612" s="1" t="str">
        <x:v>0</x:v>
      </x:c>
      <x:c r="J612" s="1" t="str">
        <x:v>no</x:v>
      </x:c>
      <x:c r="K612" s="1"/>
      <x:c r="L612" s="1"/>
      <x:c r="M612" s="1"/>
      <x:c r="N612" s="1"/>
      <x:c r="O612" s="1"/>
    </x:row>
    <x:row r="613">
      <x:c r="A613" s="1" t="str">
        <x:v>S0612</x:v>
      </x:c>
      <x:c r="B613" s="1" t="str">
        <x:v>11</x:v>
      </x:c>
      <x:c r="C613" s="1" t="str">
        <x:v>basic</x:v>
      </x:c>
      <x:c r="D613" s="1" t="str">
        <x:v>9.99</x:v>
      </x:c>
      <x:c r="E613" s="1" t="str">
        <x:v>4</x:v>
      </x:c>
      <x:c r="F613" s="1" t="str">
        <x:v>31</x:v>
      </x:c>
      <x:c r="G613" s="1" t="str">
        <x:v>2</x:v>
      </x:c>
      <x:c r="H613" s="1" t="str">
        <x:v>0</x:v>
      </x:c>
      <x:c r="I613" s="1" t="str">
        <x:v>0</x:v>
      </x:c>
      <x:c r="J613" s="1" t="str">
        <x:v>no</x:v>
      </x:c>
      <x:c r="K613" s="1"/>
      <x:c r="L613" s="1"/>
      <x:c r="M613" s="1"/>
      <x:c r="N613" s="1"/>
      <x:c r="O613" s="1"/>
    </x:row>
    <x:row r="614">
      <x:c r="A614" s="1" t="str">
        <x:v>S0613</x:v>
      </x:c>
      <x:c r="B614" s="1" t="str">
        <x:v>19</x:v>
      </x:c>
      <x:c r="C614" s="1" t="str">
        <x:v>premium</x:v>
      </x:c>
      <x:c r="D614" s="1" t="str">
        <x:v>15.99</x:v>
      </x:c>
      <x:c r="E614" s="1" t="str">
        <x:v>1</x:v>
      </x:c>
      <x:c r="F614" s="1" t="str">
        <x:v>10</x:v>
      </x:c>
      <x:c r="G614" s="1" t="str">
        <x:v>17</x:v>
      </x:c>
      <x:c r="H614" s="1" t="str">
        <x:v>0</x:v>
      </x:c>
      <x:c r="I614" s="1" t="str">
        <x:v>1</x:v>
      </x:c>
      <x:c r="J614" s="1" t="str">
        <x:v>no</x:v>
      </x:c>
      <x:c r="K614" s="1"/>
      <x:c r="L614" s="1"/>
      <x:c r="M614" s="1"/>
      <x:c r="N614" s="1"/>
      <x:c r="O614" s="1"/>
    </x:row>
    <x:row r="615">
      <x:c r="A615" s="1" t="str">
        <x:v>S0614</x:v>
      </x:c>
      <x:c r="B615" s="1" t="str">
        <x:v>24</x:v>
      </x:c>
      <x:c r="C615" s="1" t="str">
        <x:v>basic</x:v>
      </x:c>
      <x:c r="D615" s="1" t="str">
        <x:v>9.99</x:v>
      </x:c>
      <x:c r="E615" s="1" t="str">
        <x:v>1</x:v>
      </x:c>
      <x:c r="F615" s="1" t="str">
        <x:v>17</x:v>
      </x:c>
      <x:c r="G615" s="1" t="str">
        <x:v>5</x:v>
      </x:c>
      <x:c r="H615" s="1" t="str">
        <x:v>0</x:v>
      </x:c>
      <x:c r="I615" s="1" t="str">
        <x:v>0</x:v>
      </x:c>
      <x:c r="J615" s="1" t="str">
        <x:v>no</x:v>
      </x:c>
      <x:c r="K615" s="1"/>
      <x:c r="L615" s="1"/>
      <x:c r="M615" s="1"/>
      <x:c r="N615" s="1"/>
      <x:c r="O615" s="1"/>
    </x:row>
    <x:row r="616">
      <x:c r="A616" s="1" t="str">
        <x:v>S0615</x:v>
      </x:c>
      <x:c r="B616" s="1" t="str">
        <x:v>24</x:v>
      </x:c>
      <x:c r="C616" s="1" t="str">
        <x:v>basic</x:v>
      </x:c>
      <x:c r="D616" s="1" t="str">
        <x:v>9.99</x:v>
      </x:c>
      <x:c r="E616" s="1" t="str">
        <x:v>2</x:v>
      </x:c>
      <x:c r="F616" s="1" t="str">
        <x:v>6</x:v>
      </x:c>
      <x:c r="G616" s="1" t="str">
        <x:v>7</x:v>
      </x:c>
      <x:c r="H616" s="1" t="str">
        <x:v>0</x:v>
      </x:c>
      <x:c r="I616" s="1" t="str">
        <x:v>0</x:v>
      </x:c>
      <x:c r="J616" s="1" t="str">
        <x:v>no</x:v>
      </x:c>
      <x:c r="K616" s="1"/>
      <x:c r="L616" s="1"/>
      <x:c r="M616" s="1"/>
      <x:c r="N616" s="1"/>
      <x:c r="O616" s="1"/>
    </x:row>
    <x:row r="617">
      <x:c r="A617" s="1" t="str">
        <x:v>S0616</x:v>
      </x:c>
      <x:c r="B617" s="1" t="str">
        <x:v>18</x:v>
      </x:c>
      <x:c r="C617" s="1" t="str">
        <x:v>basic</x:v>
      </x:c>
      <x:c r="D617" s="1" t="str">
        <x:v>9.99</x:v>
      </x:c>
      <x:c r="E617" s="1" t="str">
        <x:v>0</x:v>
      </x:c>
      <x:c r="F617" s="1" t="str">
        <x:v>12</x:v>
      </x:c>
      <x:c r="G617" s="1" t="str">
        <x:v>27</x:v>
      </x:c>
      <x:c r="H617" s="1" t="str">
        <x:v>0</x:v>
      </x:c>
      <x:c r="I617" s="1" t="str">
        <x:v>0</x:v>
      </x:c>
      <x:c r="J617" s="1" t="str">
        <x:v>no</x:v>
      </x:c>
      <x:c r="K617" s="1"/>
      <x:c r="L617" s="1"/>
      <x:c r="M617" s="1"/>
      <x:c r="N617" s="1"/>
      <x:c r="O617" s="1"/>
    </x:row>
    <x:row r="618">
      <x:c r="A618" s="1" t="str">
        <x:v>S0617</x:v>
      </x:c>
      <x:c r="B618" s="1" t="str">
        <x:v>45</x:v>
      </x:c>
      <x:c r="C618" s="1" t="str">
        <x:v>basic</x:v>
      </x:c>
      <x:c r="D618" s="1" t="str">
        <x:v>9.99</x:v>
      </x:c>
      <x:c r="E618" s="1" t="str">
        <x:v>1</x:v>
      </x:c>
      <x:c r="F618" s="1" t="str">
        <x:v>27</x:v>
      </x:c>
      <x:c r="G618" s="1" t="str">
        <x:v>0</x:v>
      </x:c>
      <x:c r="H618" s="1" t="str">
        <x:v>0</x:v>
      </x:c>
      <x:c r="I618" s="1" t="str">
        <x:v>0</x:v>
      </x:c>
      <x:c r="J618" s="1" t="str">
        <x:v>no</x:v>
      </x:c>
      <x:c r="K618" s="1"/>
      <x:c r="L618" s="1"/>
      <x:c r="M618" s="1"/>
      <x:c r="N618" s="1"/>
      <x:c r="O618" s="1"/>
    </x:row>
    <x:row r="619">
      <x:c r="A619" s="1" t="str">
        <x:v>S0618</x:v>
      </x:c>
      <x:c r="B619" s="1" t="str">
        <x:v>27</x:v>
      </x:c>
      <x:c r="C619" s="1" t="str">
        <x:v>basic</x:v>
      </x:c>
      <x:c r="D619" s="1" t="str">
        <x:v>9.99</x:v>
      </x:c>
      <x:c r="E619" s="1" t="str">
        <x:v>1</x:v>
      </x:c>
      <x:c r="F619" s="1" t="str">
        <x:v>18</x:v>
      </x:c>
      <x:c r="G619" s="1" t="str">
        <x:v>0</x:v>
      </x:c>
      <x:c r="H619" s="1" t="str">
        <x:v>0</x:v>
      </x:c>
      <x:c r="I619" s="1" t="str">
        <x:v>1</x:v>
      </x:c>
      <x:c r="J619" s="1" t="str">
        <x:v>no</x:v>
      </x:c>
      <x:c r="K619" s="1"/>
      <x:c r="L619" s="1"/>
      <x:c r="M619" s="1"/>
      <x:c r="N619" s="1"/>
      <x:c r="O619" s="1"/>
    </x:row>
    <x:row r="620">
      <x:c r="A620" s="1" t="str">
        <x:v>S0619</x:v>
      </x:c>
      <x:c r="B620" s="1" t="str">
        <x:v>21</x:v>
      </x:c>
      <x:c r="C620" s="1" t="str">
        <x:v>basic</x:v>
      </x:c>
      <x:c r="D620" s="1" t="str">
        <x:v>9.99</x:v>
      </x:c>
      <x:c r="E620" s="1" t="str">
        <x:v>1</x:v>
      </x:c>
      <x:c r="F620" s="1" t="str">
        <x:v>19</x:v>
      </x:c>
      <x:c r="G620" s="1" t="str">
        <x:v>2</x:v>
      </x:c>
      <x:c r="H620" s="1" t="str">
        <x:v>0</x:v>
      </x:c>
      <x:c r="I620" s="1" t="str">
        <x:v>0</x:v>
      </x:c>
      <x:c r="J620" s="1" t="str">
        <x:v>no</x:v>
      </x:c>
      <x:c r="K620" s="1"/>
      <x:c r="L620" s="1"/>
      <x:c r="M620" s="1"/>
      <x:c r="N620" s="1"/>
      <x:c r="O620" s="1"/>
    </x:row>
    <x:row r="621">
      <x:c r="A621" s="1" t="str">
        <x:v>S0620</x:v>
      </x:c>
      <x:c r="B621" s="1" t="str">
        <x:v>2</x:v>
      </x:c>
      <x:c r="C621" s="1" t="str">
        <x:v>premium</x:v>
      </x:c>
      <x:c r="D621" s="1" t="str">
        <x:v>15.99</x:v>
      </x:c>
      <x:c r="E621" s="1" t="str">
        <x:v>0</x:v>
      </x:c>
      <x:c r="F621" s="1" t="str">
        <x:v>24</x:v>
      </x:c>
      <x:c r="G621" s="1" t="str">
        <x:v>1</x:v>
      </x:c>
      <x:c r="H621" s="1" t="str">
        <x:v>0</x:v>
      </x:c>
      <x:c r="I621" s="1" t="str">
        <x:v>1</x:v>
      </x:c>
      <x:c r="J621" s="1" t="str">
        <x:v>no</x:v>
      </x:c>
      <x:c r="K621" s="1"/>
      <x:c r="L621" s="1"/>
      <x:c r="M621" s="1"/>
      <x:c r="N621" s="1"/>
      <x:c r="O621" s="1"/>
    </x:row>
    <x:row r="622">
      <x:c r="A622" s="1" t="str">
        <x:v>S0621</x:v>
      </x:c>
      <x:c r="B622" s="1" t="str">
        <x:v>13</x:v>
      </x:c>
      <x:c r="C622" s="1" t="str">
        <x:v>premium</x:v>
      </x:c>
      <x:c r="D622" s="1" t="str">
        <x:v>15.99</x:v>
      </x:c>
      <x:c r="E622" s="1" t="str">
        <x:v>0</x:v>
      </x:c>
      <x:c r="F622" s="1" t="str">
        <x:v>0</x:v>
      </x:c>
      <x:c r="G622" s="1" t="str">
        <x:v>46</x:v>
      </x:c>
      <x:c r="H622" s="1" t="str">
        <x:v>0</x:v>
      </x:c>
      <x:c r="I622" s="1" t="str">
        <x:v>1</x:v>
      </x:c>
      <x:c r="J622" s="1" t="str">
        <x:v>yes</x:v>
      </x:c>
      <x:c r="K622" s="1"/>
      <x:c r="L622" s="1"/>
      <x:c r="M622" s="1"/>
      <x:c r="N622" s="1"/>
      <x:c r="O622" s="1"/>
    </x:row>
    <x:row r="623">
      <x:c r="A623" s="1" t="str">
        <x:v>S0622</x:v>
      </x:c>
      <x:c r="B623" s="1" t="str">
        <x:v>2</x:v>
      </x:c>
      <x:c r="C623" s="1" t="str">
        <x:v>basic</x:v>
      </x:c>
      <x:c r="D623" s="1" t="str">
        <x:v>9.99</x:v>
      </x:c>
      <x:c r="E623" s="1" t="str">
        <x:v>0</x:v>
      </x:c>
      <x:c r="F623" s="1" t="str">
        <x:v>8</x:v>
      </x:c>
      <x:c r="G623" s="1" t="str">
        <x:v>25</x:v>
      </x:c>
      <x:c r="H623" s="1" t="str">
        <x:v>1</x:v>
      </x:c>
      <x:c r="I623" s="1" t="str">
        <x:v>0</x:v>
      </x:c>
      <x:c r="J623" s="1" t="str">
        <x:v>yes</x:v>
      </x:c>
      <x:c r="K623" s="1"/>
      <x:c r="L623" s="1"/>
      <x:c r="M623" s="1"/>
      <x:c r="N623" s="1"/>
      <x:c r="O623" s="1"/>
    </x:row>
    <x:row r="624">
      <x:c r="A624" s="1" t="str">
        <x:v>S0623</x:v>
      </x:c>
      <x:c r="B624" s="1" t="str">
        <x:v>17</x:v>
      </x:c>
      <x:c r="C624" s="1" t="str">
        <x:v>premium</x:v>
      </x:c>
      <x:c r="D624" s="1" t="str">
        <x:v>15.99</x:v>
      </x:c>
      <x:c r="E624" s="1" t="str">
        <x:v>0</x:v>
      </x:c>
      <x:c r="F624" s="1" t="str">
        <x:v>13</x:v>
      </x:c>
      <x:c r="G624" s="1" t="str">
        <x:v>18</x:v>
      </x:c>
      <x:c r="H624" s="1" t="str">
        <x:v>0</x:v>
      </x:c>
      <x:c r="I624" s="1" t="str">
        <x:v>0</x:v>
      </x:c>
      <x:c r="J624" s="1" t="str">
        <x:v>no</x:v>
      </x:c>
      <x:c r="K624" s="1"/>
      <x:c r="L624" s="1"/>
      <x:c r="M624" s="1"/>
      <x:c r="N624" s="1"/>
      <x:c r="O624" s="1"/>
    </x:row>
    <x:row r="625">
      <x:c r="A625" s="1" t="str">
        <x:v>S0624</x:v>
      </x:c>
      <x:c r="B625" s="1" t="str">
        <x:v>10</x:v>
      </x:c>
      <x:c r="C625" s="1" t="str">
        <x:v>premium</x:v>
      </x:c>
      <x:c r="D625" s="1" t="str">
        <x:v>15.99</x:v>
      </x:c>
      <x:c r="E625" s="1" t="str">
        <x:v>0</x:v>
      </x:c>
      <x:c r="F625" s="1" t="str">
        <x:v>21</x:v>
      </x:c>
      <x:c r="G625" s="1" t="str">
        <x:v>21</x:v>
      </x:c>
      <x:c r="H625" s="1" t="str">
        <x:v>0</x:v>
      </x:c>
      <x:c r="I625" s="1" t="str">
        <x:v>1</x:v>
      </x:c>
      <x:c r="J625" s="1" t="str">
        <x:v>no</x:v>
      </x:c>
      <x:c r="K625" s="1"/>
      <x:c r="L625" s="1"/>
      <x:c r="M625" s="1"/>
      <x:c r="N625" s="1"/>
      <x:c r="O625" s="1"/>
    </x:row>
    <x:row r="626">
      <x:c r="A626" s="1" t="str">
        <x:v>S0625</x:v>
      </x:c>
      <x:c r="B626" s="1" t="str">
        <x:v>8</x:v>
      </x:c>
      <x:c r="C626" s="1" t="str">
        <x:v>basic</x:v>
      </x:c>
      <x:c r="D626" s="1" t="str">
        <x:v>9.99</x:v>
      </x:c>
      <x:c r="E626" s="1" t="str">
        <x:v>0</x:v>
      </x:c>
      <x:c r="F626" s="1" t="str">
        <x:v>17</x:v>
      </x:c>
      <x:c r="G626" s="1" t="str">
        <x:v>26</x:v>
      </x:c>
      <x:c r="H626" s="1" t="str">
        <x:v>0</x:v>
      </x:c>
      <x:c r="I626" s="1" t="str">
        <x:v>0</x:v>
      </x:c>
      <x:c r="J626" s="1" t="str">
        <x:v>no</x:v>
      </x:c>
      <x:c r="K626" s="1"/>
      <x:c r="L626" s="1"/>
      <x:c r="M626" s="1"/>
      <x:c r="N626" s="1"/>
      <x:c r="O626" s="1"/>
    </x:row>
    <x:row r="627">
      <x:c r="A627" s="1" t="str">
        <x:v>S0626</x:v>
      </x:c>
      <x:c r="B627" s="1" t="str">
        <x:v>32</x:v>
      </x:c>
      <x:c r="C627" s="1" t="str">
        <x:v>basic</x:v>
      </x:c>
      <x:c r="D627" s="1" t="str">
        <x:v>9.99</x:v>
      </x:c>
      <x:c r="E627" s="1" t="str">
        <x:v>1</x:v>
      </x:c>
      <x:c r="F627" s="1" t="str">
        <x:v>1</x:v>
      </x:c>
      <x:c r="G627" s="1" t="str">
        <x:v>26</x:v>
      </x:c>
      <x:c r="H627" s="1" t="str">
        <x:v>0</x:v>
      </x:c>
      <x:c r="I627" s="1" t="str">
        <x:v>0</x:v>
      </x:c>
      <x:c r="J627" s="1" t="str">
        <x:v>no</x:v>
      </x:c>
      <x:c r="K627" s="1"/>
      <x:c r="L627" s="1"/>
      <x:c r="M627" s="1"/>
      <x:c r="N627" s="1"/>
      <x:c r="O627" s="1"/>
    </x:row>
    <x:row r="628">
      <x:c r="A628" s="1" t="str">
        <x:v>S0627</x:v>
      </x:c>
      <x:c r="B628" s="1" t="str">
        <x:v>48</x:v>
      </x:c>
      <x:c r="C628" s="1" t="str">
        <x:v>premium</x:v>
      </x:c>
      <x:c r="D628" s="1" t="str">
        <x:v>15.99</x:v>
      </x:c>
      <x:c r="E628" s="1" t="str">
        <x:v>1</x:v>
      </x:c>
      <x:c r="F628" s="1" t="str">
        <x:v>18</x:v>
      </x:c>
      <x:c r="G628" s="1" t="str">
        <x:v>0</x:v>
      </x:c>
      <x:c r="H628" s="1" t="str">
        <x:v>2</x:v>
      </x:c>
      <x:c r="I628" s="1" t="str">
        <x:v>0</x:v>
      </x:c>
      <x:c r="J628" s="1" t="str">
        <x:v>no</x:v>
      </x:c>
      <x:c r="K628" s="1"/>
      <x:c r="L628" s="1"/>
      <x:c r="M628" s="1"/>
      <x:c r="N628" s="1"/>
      <x:c r="O628" s="1"/>
    </x:row>
    <x:row r="629">
      <x:c r="A629" s="1" t="str">
        <x:v>S0628</x:v>
      </x:c>
      <x:c r="B629" s="1" t="str">
        <x:v>6</x:v>
      </x:c>
      <x:c r="C629" s="1" t="str">
        <x:v>basic</x:v>
      </x:c>
      <x:c r="D629" s="1" t="str">
        <x:v>9.99</x:v>
      </x:c>
      <x:c r="E629" s="1" t="str">
        <x:v>0</x:v>
      </x:c>
      <x:c r="F629" s="1" t="str">
        <x:v>0</x:v>
      </x:c>
      <x:c r="G629" s="1" t="str">
        <x:v>39</x:v>
      </x:c>
      <x:c r="H629" s="1" t="str">
        <x:v>0</x:v>
      </x:c>
      <x:c r="I629" s="1" t="str">
        <x:v>0</x:v>
      </x:c>
      <x:c r="J629" s="1" t="str">
        <x:v>yes</x:v>
      </x:c>
      <x:c r="K629" s="1"/>
      <x:c r="L629" s="1"/>
      <x:c r="M629" s="1"/>
      <x:c r="N629" s="1"/>
      <x:c r="O629" s="1"/>
    </x:row>
    <x:row r="630">
      <x:c r="A630" s="1" t="str">
        <x:v>S0629</x:v>
      </x:c>
      <x:c r="B630" s="1" t="str">
        <x:v>22</x:v>
      </x:c>
      <x:c r="C630" s="1" t="str">
        <x:v>basic</x:v>
      </x:c>
      <x:c r="D630" s="1" t="str">
        <x:v>9.99</x:v>
      </x:c>
      <x:c r="E630" s="1" t="str">
        <x:v>0</x:v>
      </x:c>
      <x:c r="F630" s="1" t="str">
        <x:v>19</x:v>
      </x:c>
      <x:c r="G630" s="1" t="str">
        <x:v>4</x:v>
      </x:c>
      <x:c r="H630" s="1" t="str">
        <x:v>0</x:v>
      </x:c>
      <x:c r="I630" s="1" t="str">
        <x:v>1</x:v>
      </x:c>
      <x:c r="J630" s="1" t="str">
        <x:v>no</x:v>
      </x:c>
      <x:c r="K630" s="1"/>
      <x:c r="L630" s="1"/>
      <x:c r="M630" s="1"/>
      <x:c r="N630" s="1"/>
      <x:c r="O630" s="1"/>
    </x:row>
    <x:row r="631">
      <x:c r="A631" s="1" t="str">
        <x:v>S0630</x:v>
      </x:c>
      <x:c r="B631" s="1" t="str">
        <x:v>29</x:v>
      </x:c>
      <x:c r="C631" s="1" t="str">
        <x:v>basic</x:v>
      </x:c>
      <x:c r="D631" s="1" t="str">
        <x:v>9.99</x:v>
      </x:c>
      <x:c r="E631" s="1" t="str">
        <x:v>0</x:v>
      </x:c>
      <x:c r="F631" s="1" t="str">
        <x:v>0</x:v>
      </x:c>
      <x:c r="G631" s="1" t="str">
        <x:v>56</x:v>
      </x:c>
      <x:c r="H631" s="1" t="str">
        <x:v>0</x:v>
      </x:c>
      <x:c r="I631" s="1" t="str">
        <x:v>1</x:v>
      </x:c>
      <x:c r="J631" s="1" t="str">
        <x:v>yes</x:v>
      </x:c>
      <x:c r="K631" s="1"/>
      <x:c r="L631" s="1"/>
      <x:c r="M631" s="1"/>
      <x:c r="N631" s="1"/>
      <x:c r="O631" s="1"/>
    </x:row>
    <x:row r="632">
      <x:c r="A632" s="1" t="str">
        <x:v>S0631</x:v>
      </x:c>
      <x:c r="B632" s="1" t="str">
        <x:v>19</x:v>
      </x:c>
      <x:c r="C632" s="1" t="str">
        <x:v>basic</x:v>
      </x:c>
      <x:c r="D632" s="1" t="str">
        <x:v>9.99</x:v>
      </x:c>
      <x:c r="E632" s="1" t="str">
        <x:v>1</x:v>
      </x:c>
      <x:c r="F632" s="1" t="str">
        <x:v>25</x:v>
      </x:c>
      <x:c r="G632" s="1" t="str">
        <x:v>0</x:v>
      </x:c>
      <x:c r="H632" s="1" t="str">
        <x:v>0</x:v>
      </x:c>
      <x:c r="I632" s="1" t="str">
        <x:v>0</x:v>
      </x:c>
      <x:c r="J632" s="1" t="str">
        <x:v>no</x:v>
      </x:c>
      <x:c r="K632" s="1"/>
      <x:c r="L632" s="1"/>
      <x:c r="M632" s="1"/>
      <x:c r="N632" s="1"/>
      <x:c r="O632" s="1"/>
    </x:row>
    <x:row r="633">
      <x:c r="A633" s="1" t="str">
        <x:v>S0632</x:v>
      </x:c>
      <x:c r="B633" s="1" t="str">
        <x:v>46</x:v>
      </x:c>
      <x:c r="C633" s="1" t="str">
        <x:v>basic</x:v>
      </x:c>
      <x:c r="D633" s="1" t="str">
        <x:v>9.99</x:v>
      </x:c>
      <x:c r="E633" s="1" t="str">
        <x:v>3</x:v>
      </x:c>
      <x:c r="F633" s="1" t="str">
        <x:v>23</x:v>
      </x:c>
      <x:c r="G633" s="1" t="str">
        <x:v>22</x:v>
      </x:c>
      <x:c r="H633" s="1" t="str">
        <x:v>0</x:v>
      </x:c>
      <x:c r="I633" s="1" t="str">
        <x:v>0</x:v>
      </x:c>
      <x:c r="J633" s="1" t="str">
        <x:v>no</x:v>
      </x:c>
      <x:c r="K633" s="1"/>
      <x:c r="L633" s="1"/>
      <x:c r="M633" s="1"/>
      <x:c r="N633" s="1"/>
      <x:c r="O633" s="1"/>
    </x:row>
    <x:row r="634">
      <x:c r="A634" s="1" t="str">
        <x:v>S0633</x:v>
      </x:c>
      <x:c r="B634" s="1" t="str">
        <x:v>36</x:v>
      </x:c>
      <x:c r="C634" s="1" t="str">
        <x:v>basic</x:v>
      </x:c>
      <x:c r="D634" s="1" t="str">
        <x:v>9.99</x:v>
      </x:c>
      <x:c r="E634" s="1" t="str">
        <x:v>2</x:v>
      </x:c>
      <x:c r="F634" s="1" t="str">
        <x:v>0</x:v>
      </x:c>
      <x:c r="G634" s="1" t="str">
        <x:v>32</x:v>
      </x:c>
      <x:c r="H634" s="1" t="str">
        <x:v>1</x:v>
      </x:c>
      <x:c r="I634" s="1" t="str">
        <x:v>0</x:v>
      </x:c>
      <x:c r="J634" s="1" t="str">
        <x:v>yes</x:v>
      </x:c>
      <x:c r="K634" s="1"/>
      <x:c r="L634" s="1"/>
      <x:c r="M634" s="1"/>
      <x:c r="N634" s="1"/>
      <x:c r="O634" s="1"/>
    </x:row>
    <x:row r="635">
      <x:c r="A635" s="1" t="str">
        <x:v>S0634</x:v>
      </x:c>
      <x:c r="B635" s="1" t="str">
        <x:v>23</x:v>
      </x:c>
      <x:c r="C635" s="1" t="str">
        <x:v>basic</x:v>
      </x:c>
      <x:c r="D635" s="1" t="str">
        <x:v>9.99</x:v>
      </x:c>
      <x:c r="E635" s="1" t="str">
        <x:v>4</x:v>
      </x:c>
      <x:c r="F635" s="1" t="str">
        <x:v>32</x:v>
      </x:c>
      <x:c r="G635" s="1" t="str">
        <x:v>1</x:v>
      </x:c>
      <x:c r="H635" s="1" t="str">
        <x:v>0</x:v>
      </x:c>
      <x:c r="I635" s="1" t="str">
        <x:v>0</x:v>
      </x:c>
      <x:c r="J635" s="1" t="str">
        <x:v>no</x:v>
      </x:c>
      <x:c r="K635" s="1"/>
      <x:c r="L635" s="1"/>
      <x:c r="M635" s="1"/>
      <x:c r="N635" s="1"/>
      <x:c r="O635" s="1"/>
    </x:row>
    <x:row r="636">
      <x:c r="A636" s="1" t="str">
        <x:v>S0635</x:v>
      </x:c>
      <x:c r="B636" s="1" t="str">
        <x:v>5</x:v>
      </x:c>
      <x:c r="C636" s="1" t="str">
        <x:v>basic</x:v>
      </x:c>
      <x:c r="D636" s="1" t="str">
        <x:v>9.99</x:v>
      </x:c>
      <x:c r="E636" s="1" t="str">
        <x:v>0</x:v>
      </x:c>
      <x:c r="F636" s="1" t="str">
        <x:v>0</x:v>
      </x:c>
      <x:c r="G636" s="1" t="str">
        <x:v>49</x:v>
      </x:c>
      <x:c r="H636" s="1" t="str">
        <x:v>0</x:v>
      </x:c>
      <x:c r="I636" s="1" t="str">
        <x:v>0</x:v>
      </x:c>
      <x:c r="J636" s="1" t="str">
        <x:v>yes</x:v>
      </x:c>
      <x:c r="K636" s="1"/>
      <x:c r="L636" s="1"/>
      <x:c r="M636" s="1"/>
      <x:c r="N636" s="1"/>
      <x:c r="O636" s="1"/>
    </x:row>
    <x:row r="637">
      <x:c r="A637" s="1" t="str">
        <x:v>S0636</x:v>
      </x:c>
      <x:c r="B637" s="1" t="str">
        <x:v>32</x:v>
      </x:c>
      <x:c r="C637" s="1" t="str">
        <x:v>basic</x:v>
      </x:c>
      <x:c r="D637" s="1" t="str">
        <x:v>9.99</x:v>
      </x:c>
      <x:c r="E637" s="1" t="str">
        <x:v>0</x:v>
      </x:c>
      <x:c r="F637" s="1" t="str">
        <x:v>33</x:v>
      </x:c>
      <x:c r="G637" s="1" t="str">
        <x:v>4</x:v>
      </x:c>
      <x:c r="H637" s="1" t="str">
        <x:v>0</x:v>
      </x:c>
      <x:c r="I637" s="1" t="str">
        <x:v>1</x:v>
      </x:c>
      <x:c r="J637" s="1" t="str">
        <x:v>no</x:v>
      </x:c>
      <x:c r="K637" s="1"/>
      <x:c r="L637" s="1"/>
      <x:c r="M637" s="1"/>
      <x:c r="N637" s="1"/>
      <x:c r="O637" s="1"/>
    </x:row>
    <x:row r="638">
      <x:c r="A638" s="1" t="str">
        <x:v>S0637</x:v>
      </x:c>
      <x:c r="B638" s="1" t="str">
        <x:v>16</x:v>
      </x:c>
      <x:c r="C638" s="1" t="str">
        <x:v>basic</x:v>
      </x:c>
      <x:c r="D638" s="1" t="str">
        <x:v>9.99</x:v>
      </x:c>
      <x:c r="E638" s="1" t="str">
        <x:v>0</x:v>
      </x:c>
      <x:c r="F638" s="1" t="str">
        <x:v>0</x:v>
      </x:c>
      <x:c r="G638" s="1" t="str">
        <x:v>50</x:v>
      </x:c>
      <x:c r="H638" s="1" t="str">
        <x:v>0</x:v>
      </x:c>
      <x:c r="I638" s="1" t="str">
        <x:v>0</x:v>
      </x:c>
      <x:c r="J638" s="1" t="str">
        <x:v>yes</x:v>
      </x:c>
      <x:c r="K638" s="1"/>
      <x:c r="L638" s="1"/>
      <x:c r="M638" s="1"/>
      <x:c r="N638" s="1"/>
      <x:c r="O638" s="1"/>
    </x:row>
    <x:row r="639">
      <x:c r="A639" s="1" t="str">
        <x:v>S0638</x:v>
      </x:c>
      <x:c r="B639" s="1" t="str">
        <x:v>10</x:v>
      </x:c>
      <x:c r="C639" s="1" t="str">
        <x:v>basic</x:v>
      </x:c>
      <x:c r="D639" s="1" t="str">
        <x:v>9.99</x:v>
      </x:c>
      <x:c r="E639" s="1" t="str">
        <x:v>0</x:v>
      </x:c>
      <x:c r="F639" s="1" t="str">
        <x:v>14</x:v>
      </x:c>
      <x:c r="G639" s="1" t="str">
        <x:v>2</x:v>
      </x:c>
      <x:c r="H639" s="1" t="str">
        <x:v>0</x:v>
      </x:c>
      <x:c r="I639" s="1" t="str">
        <x:v>0</x:v>
      </x:c>
      <x:c r="J639" s="1" t="str">
        <x:v>no</x:v>
      </x:c>
      <x:c r="K639" s="1"/>
      <x:c r="L639" s="1"/>
      <x:c r="M639" s="1"/>
      <x:c r="N639" s="1"/>
      <x:c r="O639" s="1"/>
    </x:row>
    <x:row r="640">
      <x:c r="A640" s="1" t="str">
        <x:v>S0639</x:v>
      </x:c>
      <x:c r="B640" s="1" t="str">
        <x:v>46</x:v>
      </x:c>
      <x:c r="C640" s="1" t="str">
        <x:v>basic</x:v>
      </x:c>
      <x:c r="D640" s="1" t="str">
        <x:v>9.99</x:v>
      </x:c>
      <x:c r="E640" s="1" t="str">
        <x:v>0</x:v>
      </x:c>
      <x:c r="F640" s="1" t="str">
        <x:v>24</x:v>
      </x:c>
      <x:c r="G640" s="1" t="str">
        <x:v>6</x:v>
      </x:c>
      <x:c r="H640" s="1" t="str">
        <x:v>0</x:v>
      </x:c>
      <x:c r="I640" s="1" t="str">
        <x:v>0</x:v>
      </x:c>
      <x:c r="J640" s="1" t="str">
        <x:v>yes</x:v>
      </x:c>
      <x:c r="K640" s="1"/>
      <x:c r="L640" s="1"/>
      <x:c r="M640" s="1"/>
      <x:c r="N640" s="1"/>
      <x:c r="O640" s="1"/>
    </x:row>
    <x:row r="641">
      <x:c r="A641" s="1" t="str">
        <x:v>S0640</x:v>
      </x:c>
      <x:c r="B641" s="1" t="str">
        <x:v>39</x:v>
      </x:c>
      <x:c r="C641" s="1" t="str">
        <x:v>premium</x:v>
      </x:c>
      <x:c r="D641" s="1" t="str">
        <x:v>15.99</x:v>
      </x:c>
      <x:c r="E641" s="1" t="str">
        <x:v>0</x:v>
      </x:c>
      <x:c r="F641" s="1" t="str">
        <x:v>19</x:v>
      </x:c>
      <x:c r="G641" s="1" t="str">
        <x:v>4</x:v>
      </x:c>
      <x:c r="H641" s="1" t="str">
        <x:v>0</x:v>
      </x:c>
      <x:c r="I641" s="1" t="str">
        <x:v>0</x:v>
      </x:c>
      <x:c r="J641" s="1" t="str">
        <x:v>no</x:v>
      </x:c>
      <x:c r="K641" s="1"/>
      <x:c r="L641" s="1"/>
      <x:c r="M641" s="1"/>
      <x:c r="N641" s="1"/>
      <x:c r="O641" s="1"/>
    </x:row>
    <x:row r="642">
      <x:c r="A642" s="1" t="str">
        <x:v>S0641</x:v>
      </x:c>
      <x:c r="B642" s="1" t="str">
        <x:v>46</x:v>
      </x:c>
      <x:c r="C642" s="1" t="str">
        <x:v>basic</x:v>
      </x:c>
      <x:c r="D642" s="1" t="str">
        <x:v>9.99</x:v>
      </x:c>
      <x:c r="E642" s="1" t="str">
        <x:v>0</x:v>
      </x:c>
      <x:c r="F642" s="1" t="str">
        <x:v>25</x:v>
      </x:c>
      <x:c r="G642" s="1" t="str">
        <x:v>3</x:v>
      </x:c>
      <x:c r="H642" s="1" t="str">
        <x:v>0</x:v>
      </x:c>
      <x:c r="I642" s="1" t="str">
        <x:v>0</x:v>
      </x:c>
      <x:c r="J642" s="1" t="str">
        <x:v>no</x:v>
      </x:c>
      <x:c r="K642" s="1"/>
      <x:c r="L642" s="1"/>
      <x:c r="M642" s="1"/>
      <x:c r="N642" s="1"/>
      <x:c r="O642" s="1"/>
    </x:row>
    <x:row r="643">
      <x:c r="A643" s="1" t="str">
        <x:v>S0642</x:v>
      </x:c>
      <x:c r="B643" s="1" t="str">
        <x:v>28</x:v>
      </x:c>
      <x:c r="C643" s="1" t="str">
        <x:v>basic</x:v>
      </x:c>
      <x:c r="D643" s="1" t="str">
        <x:v>9.99</x:v>
      </x:c>
      <x:c r="E643" s="1" t="str">
        <x:v>0</x:v>
      </x:c>
      <x:c r="F643" s="1" t="str">
        <x:v>11</x:v>
      </x:c>
      <x:c r="G643" s="1" t="str">
        <x:v>17</x:v>
      </x:c>
      <x:c r="H643" s="1" t="str">
        <x:v>1</x:v>
      </x:c>
      <x:c r="I643" s="1" t="str">
        <x:v>0</x:v>
      </x:c>
      <x:c r="J643" s="1" t="str">
        <x:v>no</x:v>
      </x:c>
      <x:c r="K643" s="1"/>
      <x:c r="L643" s="1"/>
      <x:c r="M643" s="1"/>
      <x:c r="N643" s="1"/>
      <x:c r="O643" s="1"/>
    </x:row>
    <x:row r="644">
      <x:c r="A644" s="1" t="str">
        <x:v>S0643</x:v>
      </x:c>
      <x:c r="B644" s="1" t="str">
        <x:v>21</x:v>
      </x:c>
      <x:c r="C644" s="1" t="str">
        <x:v>basic</x:v>
      </x:c>
      <x:c r="D644" s="1" t="str">
        <x:v>9.99</x:v>
      </x:c>
      <x:c r="E644" s="1" t="str">
        <x:v>2</x:v>
      </x:c>
      <x:c r="F644" s="1" t="str">
        <x:v>14</x:v>
      </x:c>
      <x:c r="G644" s="1" t="str">
        <x:v>4</x:v>
      </x:c>
      <x:c r="H644" s="1" t="str">
        <x:v>0</x:v>
      </x:c>
      <x:c r="I644" s="1" t="str">
        <x:v>1</x:v>
      </x:c>
      <x:c r="J644" s="1" t="str">
        <x:v>no</x:v>
      </x:c>
      <x:c r="K644" s="1"/>
      <x:c r="L644" s="1"/>
      <x:c r="M644" s="1"/>
      <x:c r="N644" s="1"/>
      <x:c r="O644" s="1"/>
    </x:row>
    <x:row r="645">
      <x:c r="A645" s="1" t="str">
        <x:v>S0644</x:v>
      </x:c>
      <x:c r="B645" s="1" t="str">
        <x:v>34</x:v>
      </x:c>
      <x:c r="C645" s="1" t="str">
        <x:v>basic</x:v>
      </x:c>
      <x:c r="D645" s="1" t="str">
        <x:v>9.99</x:v>
      </x:c>
      <x:c r="E645" s="1" t="str">
        <x:v>1</x:v>
      </x:c>
      <x:c r="F645" s="1" t="str">
        <x:v>22</x:v>
      </x:c>
      <x:c r="G645" s="1" t="str">
        <x:v>2</x:v>
      </x:c>
      <x:c r="H645" s="1" t="str">
        <x:v>0</x:v>
      </x:c>
      <x:c r="I645" s="1" t="str">
        <x:v>0</x:v>
      </x:c>
      <x:c r="J645" s="1" t="str">
        <x:v>no</x:v>
      </x:c>
      <x:c r="K645" s="1"/>
      <x:c r="L645" s="1"/>
      <x:c r="M645" s="1"/>
      <x:c r="N645" s="1"/>
      <x:c r="O645" s="1"/>
    </x:row>
    <x:row r="646">
      <x:c r="A646" s="1" t="str">
        <x:v>S0645</x:v>
      </x:c>
      <x:c r="B646" s="1" t="str">
        <x:v>25</x:v>
      </x:c>
      <x:c r="C646" s="1" t="str">
        <x:v>premium</x:v>
      </x:c>
      <x:c r="D646" s="1" t="str">
        <x:v>15.99</x:v>
      </x:c>
      <x:c r="E646" s="1" t="str">
        <x:v>0</x:v>
      </x:c>
      <x:c r="F646" s="1" t="str">
        <x:v>7</x:v>
      </x:c>
      <x:c r="G646" s="1" t="str">
        <x:v>5</x:v>
      </x:c>
      <x:c r="H646" s="1" t="str">
        <x:v>0</x:v>
      </x:c>
      <x:c r="I646" s="1" t="str">
        <x:v>1</x:v>
      </x:c>
      <x:c r="J646" s="1" t="str">
        <x:v>no</x:v>
      </x:c>
      <x:c r="K646" s="1"/>
      <x:c r="L646" s="1"/>
      <x:c r="M646" s="1"/>
      <x:c r="N646" s="1"/>
      <x:c r="O646" s="1"/>
    </x:row>
    <x:row r="647">
      <x:c r="A647" s="1" t="str">
        <x:v>S0646</x:v>
      </x:c>
      <x:c r="B647" s="1" t="str">
        <x:v>26</x:v>
      </x:c>
      <x:c r="C647" s="1" t="str">
        <x:v>premium</x:v>
      </x:c>
      <x:c r="D647" s="1" t="str">
        <x:v>15.99</x:v>
      </x:c>
      <x:c r="E647" s="1" t="str">
        <x:v>0</x:v>
      </x:c>
      <x:c r="F647" s="1" t="str">
        <x:v>8</x:v>
      </x:c>
      <x:c r="G647" s="1" t="str">
        <x:v>4</x:v>
      </x:c>
      <x:c r="H647" s="1" t="str">
        <x:v>0</x:v>
      </x:c>
      <x:c r="I647" s="1" t="str">
        <x:v>1</x:v>
      </x:c>
      <x:c r="J647" s="1" t="str">
        <x:v>no</x:v>
      </x:c>
      <x:c r="K647" s="1"/>
      <x:c r="L647" s="1"/>
      <x:c r="M647" s="1"/>
      <x:c r="N647" s="1"/>
      <x:c r="O647" s="1"/>
    </x:row>
    <x:row r="648">
      <x:c r="A648" s="1" t="str">
        <x:v>S0647</x:v>
      </x:c>
      <x:c r="B648" s="1" t="str">
        <x:v>31</x:v>
      </x:c>
      <x:c r="C648" s="1" t="str">
        <x:v>basic</x:v>
      </x:c>
      <x:c r="D648" s="1" t="str">
        <x:v>9.99</x:v>
      </x:c>
      <x:c r="E648" s="1" t="str">
        <x:v>3</x:v>
      </x:c>
      <x:c r="F648" s="1" t="str">
        <x:v>9</x:v>
      </x:c>
      <x:c r="G648" s="1" t="str">
        <x:v>18</x:v>
      </x:c>
      <x:c r="H648" s="1" t="str">
        <x:v>0</x:v>
      </x:c>
      <x:c r="I648" s="1" t="str">
        <x:v>0</x:v>
      </x:c>
      <x:c r="J648" s="1" t="str">
        <x:v>no</x:v>
      </x:c>
      <x:c r="K648" s="1"/>
      <x:c r="L648" s="1"/>
      <x:c r="M648" s="1"/>
      <x:c r="N648" s="1"/>
      <x:c r="O648" s="1"/>
    </x:row>
    <x:row r="649">
      <x:c r="A649" s="1" t="str">
        <x:v>S0648</x:v>
      </x:c>
      <x:c r="B649" s="1" t="str">
        <x:v>21</x:v>
      </x:c>
      <x:c r="C649" s="1" t="str">
        <x:v>basic</x:v>
      </x:c>
      <x:c r="D649" s="1" t="str">
        <x:v>9.99</x:v>
      </x:c>
      <x:c r="E649" s="1" t="str">
        <x:v>1</x:v>
      </x:c>
      <x:c r="F649" s="1" t="str">
        <x:v>4</x:v>
      </x:c>
      <x:c r="G649" s="1" t="str">
        <x:v>20</x:v>
      </x:c>
      <x:c r="H649" s="1" t="str">
        <x:v>1</x:v>
      </x:c>
      <x:c r="I649" s="1" t="str">
        <x:v>0</x:v>
      </x:c>
      <x:c r="J649" s="1" t="str">
        <x:v>no</x:v>
      </x:c>
      <x:c r="K649" s="1"/>
      <x:c r="L649" s="1"/>
      <x:c r="M649" s="1"/>
      <x:c r="N649" s="1"/>
      <x:c r="O649" s="1"/>
    </x:row>
    <x:row r="650">
      <x:c r="A650" s="1" t="str">
        <x:v>S0649</x:v>
      </x:c>
      <x:c r="B650" s="1" t="str">
        <x:v>45</x:v>
      </x:c>
      <x:c r="C650" s="1" t="str">
        <x:v>basic</x:v>
      </x:c>
      <x:c r="D650" s="1" t="str">
        <x:v>9.99</x:v>
      </x:c>
      <x:c r="E650" s="1" t="str">
        <x:v>1</x:v>
      </x:c>
      <x:c r="F650" s="1" t="str">
        <x:v>27</x:v>
      </x:c>
      <x:c r="G650" s="1" t="str">
        <x:v>1</x:v>
      </x:c>
      <x:c r="H650" s="1" t="str">
        <x:v>0</x:v>
      </x:c>
      <x:c r="I650" s="1" t="str">
        <x:v>0</x:v>
      </x:c>
      <x:c r="J650" s="1" t="str">
        <x:v>no</x:v>
      </x:c>
      <x:c r="K650" s="1"/>
      <x:c r="L650" s="1"/>
      <x:c r="M650" s="1"/>
      <x:c r="N650" s="1"/>
      <x:c r="O650" s="1"/>
    </x:row>
    <x:row r="651">
      <x:c r="A651" s="1" t="str">
        <x:v>S0650</x:v>
      </x:c>
      <x:c r="B651" s="1" t="str">
        <x:v>39</x:v>
      </x:c>
      <x:c r="C651" s="1" t="str">
        <x:v>basic</x:v>
      </x:c>
      <x:c r="D651" s="1" t="str">
        <x:v>9.99</x:v>
      </x:c>
      <x:c r="E651" s="1" t="str">
        <x:v>0</x:v>
      </x:c>
      <x:c r="F651" s="1" t="str">
        <x:v>14</x:v>
      </x:c>
      <x:c r="G651" s="1" t="str">
        <x:v>3</x:v>
      </x:c>
      <x:c r="H651" s="1" t="str">
        <x:v>0</x:v>
      </x:c>
      <x:c r="I651" s="1" t="str">
        <x:v>1</x:v>
      </x:c>
      <x:c r="J651" s="1" t="str">
        <x:v>no</x:v>
      </x:c>
      <x:c r="K651" s="1"/>
      <x:c r="L651" s="1"/>
      <x:c r="M651" s="1"/>
      <x:c r="N651" s="1"/>
      <x:c r="O651" s="1"/>
    </x:row>
    <x:row r="652">
      <x:c r="A652" s="1" t="str">
        <x:v>S0651</x:v>
      </x:c>
      <x:c r="B652" s="1" t="str">
        <x:v>15</x:v>
      </x:c>
      <x:c r="C652" s="1" t="str">
        <x:v>basic</x:v>
      </x:c>
      <x:c r="D652" s="1" t="str">
        <x:v>9.99</x:v>
      </x:c>
      <x:c r="E652" s="1" t="str">
        <x:v>1</x:v>
      </x:c>
      <x:c r="F652" s="1" t="str">
        <x:v>24</x:v>
      </x:c>
      <x:c r="G652" s="1" t="str">
        <x:v>9</x:v>
      </x:c>
      <x:c r="H652" s="1" t="str">
        <x:v>0</x:v>
      </x:c>
      <x:c r="I652" s="1" t="str">
        <x:v>0</x:v>
      </x:c>
      <x:c r="J652" s="1" t="str">
        <x:v>no</x:v>
      </x:c>
      <x:c r="K652" s="1"/>
      <x:c r="L652" s="1"/>
      <x:c r="M652" s="1"/>
      <x:c r="N652" s="1"/>
      <x:c r="O652" s="1"/>
    </x:row>
    <x:row r="653">
      <x:c r="A653" s="1" t="str">
        <x:v>S0652</x:v>
      </x:c>
      <x:c r="B653" s="1" t="str">
        <x:v>9</x:v>
      </x:c>
      <x:c r="C653" s="1" t="str">
        <x:v>premium</x:v>
      </x:c>
      <x:c r="D653" s="1" t="str">
        <x:v>15.99</x:v>
      </x:c>
      <x:c r="E653" s="1" t="str">
        <x:v>0</x:v>
      </x:c>
      <x:c r="F653" s="1" t="str">
        <x:v>0</x:v>
      </x:c>
      <x:c r="G653" s="1" t="str">
        <x:v>44</x:v>
      </x:c>
      <x:c r="H653" s="1" t="str">
        <x:v>0</x:v>
      </x:c>
      <x:c r="I653" s="1" t="str">
        <x:v>0</x:v>
      </x:c>
      <x:c r="J653" s="1" t="str">
        <x:v>yes</x:v>
      </x:c>
      <x:c r="K653" s="1"/>
      <x:c r="L653" s="1"/>
      <x:c r="M653" s="1"/>
      <x:c r="N653" s="1"/>
      <x:c r="O653" s="1"/>
    </x:row>
    <x:row r="654">
      <x:c r="A654" s="1" t="str">
        <x:v>S0653</x:v>
      </x:c>
      <x:c r="B654" s="1" t="str">
        <x:v>33</x:v>
      </x:c>
      <x:c r="C654" s="1" t="str">
        <x:v>basic</x:v>
      </x:c>
      <x:c r="D654" s="1" t="str">
        <x:v>9.99</x:v>
      </x:c>
      <x:c r="E654" s="1" t="str">
        <x:v>1</x:v>
      </x:c>
      <x:c r="F654" s="1" t="str">
        <x:v>27</x:v>
      </x:c>
      <x:c r="G654" s="1" t="str">
        <x:v>4</x:v>
      </x:c>
      <x:c r="H654" s="1" t="str">
        <x:v>1</x:v>
      </x:c>
      <x:c r="I654" s="1" t="str">
        <x:v>0</x:v>
      </x:c>
      <x:c r="J654" s="1" t="str">
        <x:v>no</x:v>
      </x:c>
      <x:c r="K654" s="1"/>
      <x:c r="L654" s="1"/>
      <x:c r="M654" s="1"/>
      <x:c r="N654" s="1"/>
      <x:c r="O654" s="1"/>
    </x:row>
    <x:row r="655">
      <x:c r="A655" s="1" t="str">
        <x:v>S0654</x:v>
      </x:c>
      <x:c r="B655" s="1" t="str">
        <x:v>40</x:v>
      </x:c>
      <x:c r="C655" s="1" t="str">
        <x:v>basic</x:v>
      </x:c>
      <x:c r="D655" s="1" t="str">
        <x:v>9.99</x:v>
      </x:c>
      <x:c r="E655" s="1" t="str">
        <x:v>0</x:v>
      </x:c>
      <x:c r="F655" s="1" t="str">
        <x:v>20</x:v>
      </x:c>
      <x:c r="G655" s="1" t="str">
        <x:v>3</x:v>
      </x:c>
      <x:c r="H655" s="1" t="str">
        <x:v>0</x:v>
      </x:c>
      <x:c r="I655" s="1" t="str">
        <x:v>0</x:v>
      </x:c>
      <x:c r="J655" s="1" t="str">
        <x:v>no</x:v>
      </x:c>
      <x:c r="K655" s="1"/>
      <x:c r="L655" s="1"/>
      <x:c r="M655" s="1"/>
      <x:c r="N655" s="1"/>
      <x:c r="O655" s="1"/>
    </x:row>
    <x:row r="656">
      <x:c r="A656" s="1" t="str">
        <x:v>S0655</x:v>
      </x:c>
      <x:c r="B656" s="1" t="str">
        <x:v>4</x:v>
      </x:c>
      <x:c r="C656" s="1" t="str">
        <x:v>basic</x:v>
      </x:c>
      <x:c r="D656" s="1" t="str">
        <x:v>9.99</x:v>
      </x:c>
      <x:c r="E656" s="1" t="str">
        <x:v>3</x:v>
      </x:c>
      <x:c r="F656" s="1" t="str">
        <x:v>10</x:v>
      </x:c>
      <x:c r="G656" s="1" t="str">
        <x:v>20</x:v>
      </x:c>
      <x:c r="H656" s="1" t="str">
        <x:v>0</x:v>
      </x:c>
      <x:c r="I656" s="1" t="str">
        <x:v>0</x:v>
      </x:c>
      <x:c r="J656" s="1" t="str">
        <x:v>yes</x:v>
      </x:c>
      <x:c r="K656" s="1"/>
      <x:c r="L656" s="1"/>
      <x:c r="M656" s="1"/>
      <x:c r="N656" s="1"/>
      <x:c r="O656" s="1"/>
    </x:row>
    <x:row r="657">
      <x:c r="A657" s="1" t="str">
        <x:v>S0656</x:v>
      </x:c>
      <x:c r="B657" s="1" t="str">
        <x:v>9</x:v>
      </x:c>
      <x:c r="C657" s="1" t="str">
        <x:v>premium</x:v>
      </x:c>
      <x:c r="D657" s="1" t="str">
        <x:v>15.99</x:v>
      </x:c>
      <x:c r="E657" s="1" t="str">
        <x:v>2</x:v>
      </x:c>
      <x:c r="F657" s="1" t="str">
        <x:v>15</x:v>
      </x:c>
      <x:c r="G657" s="1" t="str">
        <x:v>5</x:v>
      </x:c>
      <x:c r="H657" s="1" t="str">
        <x:v>0</x:v>
      </x:c>
      <x:c r="I657" s="1" t="str">
        <x:v>0</x:v>
      </x:c>
      <x:c r="J657" s="1" t="str">
        <x:v>no</x:v>
      </x:c>
      <x:c r="K657" s="1"/>
      <x:c r="L657" s="1"/>
      <x:c r="M657" s="1"/>
      <x:c r="N657" s="1"/>
      <x:c r="O657" s="1"/>
    </x:row>
    <x:row r="658">
      <x:c r="A658" s="1" t="str">
        <x:v>S0657</x:v>
      </x:c>
      <x:c r="B658" s="1" t="str">
        <x:v>16</x:v>
      </x:c>
      <x:c r="C658" s="1" t="str">
        <x:v>basic</x:v>
      </x:c>
      <x:c r="D658" s="1" t="str">
        <x:v>9.99</x:v>
      </x:c>
      <x:c r="E658" s="1" t="str">
        <x:v>0</x:v>
      </x:c>
      <x:c r="F658" s="1" t="str">
        <x:v>19</x:v>
      </x:c>
      <x:c r="G658" s="1" t="str">
        <x:v>9</x:v>
      </x:c>
      <x:c r="H658" s="1" t="str">
        <x:v>0</x:v>
      </x:c>
      <x:c r="I658" s="1" t="str">
        <x:v>0</x:v>
      </x:c>
      <x:c r="J658" s="1" t="str">
        <x:v>yes</x:v>
      </x:c>
      <x:c r="K658" s="1"/>
      <x:c r="L658" s="1"/>
      <x:c r="M658" s="1"/>
      <x:c r="N658" s="1"/>
      <x:c r="O658" s="1"/>
    </x:row>
    <x:row r="659">
      <x:c r="A659" s="1" t="str">
        <x:v>S0658</x:v>
      </x:c>
      <x:c r="B659" s="1" t="str">
        <x:v>29</x:v>
      </x:c>
      <x:c r="C659" s="1" t="str">
        <x:v>basic</x:v>
      </x:c>
      <x:c r="D659" s="1" t="str">
        <x:v>9.99</x:v>
      </x:c>
      <x:c r="E659" s="1" t="str">
        <x:v>2</x:v>
      </x:c>
      <x:c r="F659" s="1" t="str">
        <x:v>10</x:v>
      </x:c>
      <x:c r="G659" s="1" t="str">
        <x:v>2</x:v>
      </x:c>
      <x:c r="H659" s="1" t="str">
        <x:v>0</x:v>
      </x:c>
      <x:c r="I659" s="1" t="str">
        <x:v>0</x:v>
      </x:c>
      <x:c r="J659" s="1" t="str">
        <x:v>no</x:v>
      </x:c>
      <x:c r="K659" s="1"/>
      <x:c r="L659" s="1"/>
      <x:c r="M659" s="1"/>
      <x:c r="N659" s="1"/>
      <x:c r="O659" s="1"/>
    </x:row>
    <x:row r="660">
      <x:c r="A660" s="1" t="str">
        <x:v>S0659</x:v>
      </x:c>
      <x:c r="B660" s="1" t="str">
        <x:v>42</x:v>
      </x:c>
      <x:c r="C660" s="1" t="str">
        <x:v>premium</x:v>
      </x:c>
      <x:c r="D660" s="1" t="str">
        <x:v>15.99</x:v>
      </x:c>
      <x:c r="E660" s="1" t="str">
        <x:v>1</x:v>
      </x:c>
      <x:c r="F660" s="1" t="str">
        <x:v>1</x:v>
      </x:c>
      <x:c r="G660" s="1" t="str">
        <x:v>16</x:v>
      </x:c>
      <x:c r="H660" s="1" t="str">
        <x:v>0</x:v>
      </x:c>
      <x:c r="I660" s="1" t="str">
        <x:v>0</x:v>
      </x:c>
      <x:c r="J660" s="1" t="str">
        <x:v>no</x:v>
      </x:c>
      <x:c r="K660" s="1"/>
      <x:c r="L660" s="1"/>
      <x:c r="M660" s="1"/>
      <x:c r="N660" s="1"/>
      <x:c r="O660" s="1"/>
    </x:row>
    <x:row r="661">
      <x:c r="A661" s="1" t="str">
        <x:v>S0660</x:v>
      </x:c>
      <x:c r="B661" s="1" t="str">
        <x:v>14</x:v>
      </x:c>
      <x:c r="C661" s="1" t="str">
        <x:v>basic</x:v>
      </x:c>
      <x:c r="D661" s="1" t="str">
        <x:v>9.99</x:v>
      </x:c>
      <x:c r="E661" s="1" t="str">
        <x:v>1</x:v>
      </x:c>
      <x:c r="F661" s="1" t="str">
        <x:v>7</x:v>
      </x:c>
      <x:c r="G661" s="1" t="str">
        <x:v>11</x:v>
      </x:c>
      <x:c r="H661" s="1" t="str">
        <x:v>0</x:v>
      </x:c>
      <x:c r="I661" s="1" t="str">
        <x:v>0</x:v>
      </x:c>
      <x:c r="J661" s="1" t="str">
        <x:v>no</x:v>
      </x:c>
      <x:c r="K661" s="1"/>
      <x:c r="L661" s="1"/>
      <x:c r="M661" s="1"/>
      <x:c r="N661" s="1"/>
      <x:c r="O661" s="1"/>
    </x:row>
    <x:row r="662">
      <x:c r="A662" s="1" t="str">
        <x:v>S0661</x:v>
      </x:c>
      <x:c r="B662" s="1" t="str">
        <x:v>40</x:v>
      </x:c>
      <x:c r="C662" s="1" t="str">
        <x:v>basic</x:v>
      </x:c>
      <x:c r="D662" s="1" t="str">
        <x:v>9.99</x:v>
      </x:c>
      <x:c r="E662" s="1" t="str">
        <x:v>0</x:v>
      </x:c>
      <x:c r="F662" s="1" t="str">
        <x:v>20</x:v>
      </x:c>
      <x:c r="G662" s="1" t="str">
        <x:v>6</x:v>
      </x:c>
      <x:c r="H662" s="1" t="str">
        <x:v>0</x:v>
      </x:c>
      <x:c r="I662" s="1" t="str">
        <x:v>1</x:v>
      </x:c>
      <x:c r="J662" s="1" t="str">
        <x:v>no</x:v>
      </x:c>
      <x:c r="K662" s="1"/>
      <x:c r="L662" s="1"/>
      <x:c r="M662" s="1"/>
      <x:c r="N662" s="1"/>
      <x:c r="O662" s="1"/>
    </x:row>
    <x:row r="663">
      <x:c r="A663" s="1" t="str">
        <x:v>S0662</x:v>
      </x:c>
      <x:c r="B663" s="1" t="str">
        <x:v>26</x:v>
      </x:c>
      <x:c r="C663" s="1" t="str">
        <x:v>basic</x:v>
      </x:c>
      <x:c r="D663" s="1" t="str">
        <x:v>9.99</x:v>
      </x:c>
      <x:c r="E663" s="1" t="str">
        <x:v>1</x:v>
      </x:c>
      <x:c r="F663" s="1" t="str">
        <x:v>25</x:v>
      </x:c>
      <x:c r="G663" s="1" t="str">
        <x:v>0</x:v>
      </x:c>
      <x:c r="H663" s="1" t="str">
        <x:v>0</x:v>
      </x:c>
      <x:c r="I663" s="1" t="str">
        <x:v>0</x:v>
      </x:c>
      <x:c r="J663" s="1" t="str">
        <x:v>no</x:v>
      </x:c>
      <x:c r="K663" s="1"/>
      <x:c r="L663" s="1"/>
      <x:c r="M663" s="1"/>
      <x:c r="N663" s="1"/>
      <x:c r="O663" s="1"/>
    </x:row>
    <x:row r="664">
      <x:c r="A664" s="1" t="str">
        <x:v>S0663</x:v>
      </x:c>
      <x:c r="B664" s="1" t="str">
        <x:v>2</x:v>
      </x:c>
      <x:c r="C664" s="1" t="str">
        <x:v>basic</x:v>
      </x:c>
      <x:c r="D664" s="1" t="str">
        <x:v>9.99</x:v>
      </x:c>
      <x:c r="E664" s="1" t="str">
        <x:v>0</x:v>
      </x:c>
      <x:c r="F664" s="1" t="str">
        <x:v>0</x:v>
      </x:c>
      <x:c r="G664" s="1" t="str">
        <x:v>38</x:v>
      </x:c>
      <x:c r="H664" s="1" t="str">
        <x:v>0</x:v>
      </x:c>
      <x:c r="I664" s="1" t="str">
        <x:v>0</x:v>
      </x:c>
      <x:c r="J664" s="1" t="str">
        <x:v>yes</x:v>
      </x:c>
      <x:c r="K664" s="1"/>
      <x:c r="L664" s="1"/>
      <x:c r="M664" s="1"/>
      <x:c r="N664" s="1"/>
      <x:c r="O664" s="1"/>
    </x:row>
    <x:row r="665">
      <x:c r="A665" s="1" t="str">
        <x:v>S0664</x:v>
      </x:c>
      <x:c r="B665" s="1" t="str">
        <x:v>8</x:v>
      </x:c>
      <x:c r="C665" s="1" t="str">
        <x:v>basic</x:v>
      </x:c>
      <x:c r="D665" s="1" t="str">
        <x:v>9.99</x:v>
      </x:c>
      <x:c r="E665" s="1" t="str">
        <x:v>2</x:v>
      </x:c>
      <x:c r="F665" s="1" t="str">
        <x:v>22</x:v>
      </x:c>
      <x:c r="G665" s="1" t="str">
        <x:v>14</x:v>
      </x:c>
      <x:c r="H665" s="1" t="str">
        <x:v>0</x:v>
      </x:c>
      <x:c r="I665" s="1" t="str">
        <x:v>1</x:v>
      </x:c>
      <x:c r="J665" s="1" t="str">
        <x:v>yes</x:v>
      </x:c>
      <x:c r="K665" s="1"/>
      <x:c r="L665" s="1"/>
      <x:c r="M665" s="1"/>
      <x:c r="N665" s="1"/>
      <x:c r="O665" s="1"/>
    </x:row>
    <x:row r="666">
      <x:c r="A666" s="1" t="str">
        <x:v>S0665</x:v>
      </x:c>
      <x:c r="B666" s="1" t="str">
        <x:v>43</x:v>
      </x:c>
      <x:c r="C666" s="1" t="str">
        <x:v>basic</x:v>
      </x:c>
      <x:c r="D666" s="1" t="str">
        <x:v>9.99</x:v>
      </x:c>
      <x:c r="E666" s="1" t="str">
        <x:v>1</x:v>
      </x:c>
      <x:c r="F666" s="1" t="str">
        <x:v>12</x:v>
      </x:c>
      <x:c r="G666" s="1" t="str">
        <x:v>26</x:v>
      </x:c>
      <x:c r="H666" s="1" t="str">
        <x:v>0</x:v>
      </x:c>
      <x:c r="I666" s="1" t="str">
        <x:v>0</x:v>
      </x:c>
      <x:c r="J666" s="1" t="str">
        <x:v>no</x:v>
      </x:c>
      <x:c r="K666" s="1"/>
      <x:c r="L666" s="1"/>
      <x:c r="M666" s="1"/>
      <x:c r="N666" s="1"/>
      <x:c r="O666" s="1"/>
    </x:row>
    <x:row r="667">
      <x:c r="A667" s="1" t="str">
        <x:v>S0666</x:v>
      </x:c>
      <x:c r="B667" s="1" t="str">
        <x:v>4</x:v>
      </x:c>
      <x:c r="C667" s="1" t="str">
        <x:v>premium</x:v>
      </x:c>
      <x:c r="D667" s="1" t="str">
        <x:v>15.99</x:v>
      </x:c>
      <x:c r="E667" s="1" t="str">
        <x:v>4</x:v>
      </x:c>
      <x:c r="F667" s="1" t="str">
        <x:v>18</x:v>
      </x:c>
      <x:c r="G667" s="1" t="str">
        <x:v>7</x:v>
      </x:c>
      <x:c r="H667" s="1" t="str">
        <x:v>0</x:v>
      </x:c>
      <x:c r="I667" s="1" t="str">
        <x:v>0</x:v>
      </x:c>
      <x:c r="J667" s="1" t="str">
        <x:v>no</x:v>
      </x:c>
      <x:c r="K667" s="1"/>
      <x:c r="L667" s="1"/>
      <x:c r="M667" s="1"/>
      <x:c r="N667" s="1"/>
      <x:c r="O667" s="1"/>
    </x:row>
    <x:row r="668">
      <x:c r="A668" s="1" t="str">
        <x:v>S0667</x:v>
      </x:c>
      <x:c r="B668" s="1" t="str">
        <x:v>46</x:v>
      </x:c>
      <x:c r="C668" s="1" t="str">
        <x:v>premium</x:v>
      </x:c>
      <x:c r="D668" s="1" t="str">
        <x:v>15.99</x:v>
      </x:c>
      <x:c r="E668" s="1" t="str">
        <x:v>0</x:v>
      </x:c>
      <x:c r="F668" s="1" t="str">
        <x:v>0</x:v>
      </x:c>
      <x:c r="G668" s="1" t="str">
        <x:v>34</x:v>
      </x:c>
      <x:c r="H668" s="1" t="str">
        <x:v>0</x:v>
      </x:c>
      <x:c r="I668" s="1" t="str">
        <x:v>0</x:v>
      </x:c>
      <x:c r="J668" s="1" t="str">
        <x:v>no</x:v>
      </x:c>
      <x:c r="K668" s="1"/>
      <x:c r="L668" s="1"/>
      <x:c r="M668" s="1"/>
      <x:c r="N668" s="1"/>
      <x:c r="O668" s="1"/>
    </x:row>
    <x:row r="669">
      <x:c r="A669" s="1" t="str">
        <x:v>S0668</x:v>
      </x:c>
      <x:c r="B669" s="1" t="str">
        <x:v>24</x:v>
      </x:c>
      <x:c r="C669" s="1" t="str">
        <x:v>basic</x:v>
      </x:c>
      <x:c r="D669" s="1" t="str">
        <x:v>9.99</x:v>
      </x:c>
      <x:c r="E669" s="1" t="str">
        <x:v>0</x:v>
      </x:c>
      <x:c r="F669" s="1" t="str">
        <x:v>33</x:v>
      </x:c>
      <x:c r="G669" s="1" t="str">
        <x:v>6</x:v>
      </x:c>
      <x:c r="H669" s="1" t="str">
        <x:v>0</x:v>
      </x:c>
      <x:c r="I669" s="1" t="str">
        <x:v>0</x:v>
      </x:c>
      <x:c r="J669" s="1" t="str">
        <x:v>no</x:v>
      </x:c>
      <x:c r="K669" s="1"/>
      <x:c r="L669" s="1"/>
      <x:c r="M669" s="1"/>
      <x:c r="N669" s="1"/>
      <x:c r="O669" s="1"/>
    </x:row>
    <x:row r="670">
      <x:c r="A670" s="1" t="str">
        <x:v>S0669</x:v>
      </x:c>
      <x:c r="B670" s="1" t="str">
        <x:v>11</x:v>
      </x:c>
      <x:c r="C670" s="1" t="str">
        <x:v>basic</x:v>
      </x:c>
      <x:c r="D670" s="1" t="str">
        <x:v>9.99</x:v>
      </x:c>
      <x:c r="E670" s="1" t="str">
        <x:v>2</x:v>
      </x:c>
      <x:c r="F670" s="1" t="str">
        <x:v>23</x:v>
      </x:c>
      <x:c r="G670" s="1" t="str">
        <x:v>3</x:v>
      </x:c>
      <x:c r="H670" s="1" t="str">
        <x:v>0</x:v>
      </x:c>
      <x:c r="I670" s="1" t="str">
        <x:v>0</x:v>
      </x:c>
      <x:c r="J670" s="1" t="str">
        <x:v>no</x:v>
      </x:c>
      <x:c r="K670" s="1"/>
      <x:c r="L670" s="1"/>
      <x:c r="M670" s="1"/>
      <x:c r="N670" s="1"/>
      <x:c r="O670" s="1"/>
    </x:row>
    <x:row r="671">
      <x:c r="A671" s="1" t="str">
        <x:v>S0670</x:v>
      </x:c>
      <x:c r="B671" s="1" t="str">
        <x:v>38</x:v>
      </x:c>
      <x:c r="C671" s="1" t="str">
        <x:v>premium</x:v>
      </x:c>
      <x:c r="D671" s="1" t="str">
        <x:v>15.99</x:v>
      </x:c>
      <x:c r="E671" s="1" t="str">
        <x:v>0</x:v>
      </x:c>
      <x:c r="F671" s="1" t="str">
        <x:v>2</x:v>
      </x:c>
      <x:c r="G671" s="1" t="str">
        <x:v>1</x:v>
      </x:c>
      <x:c r="H671" s="1" t="str">
        <x:v>0</x:v>
      </x:c>
      <x:c r="I671" s="1" t="str">
        <x:v>0</x:v>
      </x:c>
      <x:c r="J671" s="1" t="str">
        <x:v>no</x:v>
      </x:c>
      <x:c r="K671" s="1"/>
      <x:c r="L671" s="1"/>
      <x:c r="M671" s="1"/>
      <x:c r="N671" s="1"/>
      <x:c r="O671" s="1"/>
    </x:row>
    <x:row r="672">
      <x:c r="A672" s="1" t="str">
        <x:v>S0671</x:v>
      </x:c>
      <x:c r="B672" s="1" t="str">
        <x:v>27</x:v>
      </x:c>
      <x:c r="C672" s="1" t="str">
        <x:v>premium</x:v>
      </x:c>
      <x:c r="D672" s="1" t="str">
        <x:v>15.99</x:v>
      </x:c>
      <x:c r="E672" s="1" t="str">
        <x:v>1</x:v>
      </x:c>
      <x:c r="F672" s="1" t="str">
        <x:v>11</x:v>
      </x:c>
      <x:c r="G672" s="1" t="str">
        <x:v>25</x:v>
      </x:c>
      <x:c r="H672" s="1" t="str">
        <x:v>0</x:v>
      </x:c>
      <x:c r="I672" s="1" t="str">
        <x:v>0</x:v>
      </x:c>
      <x:c r="J672" s="1" t="str">
        <x:v>no</x:v>
      </x:c>
      <x:c r="K672" s="1"/>
      <x:c r="L672" s="1"/>
      <x:c r="M672" s="1"/>
      <x:c r="N672" s="1"/>
      <x:c r="O672" s="1"/>
    </x:row>
    <x:row r="673">
      <x:c r="A673" s="1" t="str">
        <x:v>S0672</x:v>
      </x:c>
      <x:c r="B673" s="1" t="str">
        <x:v>16</x:v>
      </x:c>
      <x:c r="C673" s="1" t="str">
        <x:v>basic</x:v>
      </x:c>
      <x:c r="D673" s="1" t="str">
        <x:v>9.99</x:v>
      </x:c>
      <x:c r="E673" s="1" t="str">
        <x:v>0</x:v>
      </x:c>
      <x:c r="F673" s="1" t="str">
        <x:v>37</x:v>
      </x:c>
      <x:c r="G673" s="1" t="str">
        <x:v>0</x:v>
      </x:c>
      <x:c r="H673" s="1" t="str">
        <x:v>0</x:v>
      </x:c>
      <x:c r="I673" s="1" t="str">
        <x:v>1</x:v>
      </x:c>
      <x:c r="J673" s="1" t="str">
        <x:v>no</x:v>
      </x:c>
      <x:c r="K673" s="1"/>
      <x:c r="L673" s="1"/>
      <x:c r="M673" s="1"/>
      <x:c r="N673" s="1"/>
      <x:c r="O673" s="1"/>
    </x:row>
    <x:row r="674">
      <x:c r="A674" s="1" t="str">
        <x:v>S0673</x:v>
      </x:c>
      <x:c r="B674" s="1" t="str">
        <x:v>8</x:v>
      </x:c>
      <x:c r="C674" s="1" t="str">
        <x:v>basic</x:v>
      </x:c>
      <x:c r="D674" s="1" t="str">
        <x:v>9.99</x:v>
      </x:c>
      <x:c r="E674" s="1" t="str">
        <x:v>2</x:v>
      </x:c>
      <x:c r="F674" s="1" t="str">
        <x:v>20</x:v>
      </x:c>
      <x:c r="G674" s="1" t="str">
        <x:v>1</x:v>
      </x:c>
      <x:c r="H674" s="1" t="str">
        <x:v>0</x:v>
      </x:c>
      <x:c r="I674" s="1" t="str">
        <x:v>1</x:v>
      </x:c>
      <x:c r="J674" s="1" t="str">
        <x:v>no</x:v>
      </x:c>
      <x:c r="K674" s="1"/>
      <x:c r="L674" s="1"/>
      <x:c r="M674" s="1"/>
      <x:c r="N674" s="1"/>
      <x:c r="O674" s="1"/>
    </x:row>
    <x:row r="675">
      <x:c r="A675" s="1" t="str">
        <x:v>S0674</x:v>
      </x:c>
      <x:c r="B675" s="1" t="str">
        <x:v>36</x:v>
      </x:c>
      <x:c r="C675" s="1" t="str">
        <x:v>basic</x:v>
      </x:c>
      <x:c r="D675" s="1" t="str">
        <x:v>9.99</x:v>
      </x:c>
      <x:c r="E675" s="1" t="str">
        <x:v>3</x:v>
      </x:c>
      <x:c r="F675" s="1" t="str">
        <x:v>22</x:v>
      </x:c>
      <x:c r="G675" s="1" t="str">
        <x:v>1</x:v>
      </x:c>
      <x:c r="H675" s="1" t="str">
        <x:v>0</x:v>
      </x:c>
      <x:c r="I675" s="1" t="str">
        <x:v>0</x:v>
      </x:c>
      <x:c r="J675" s="1" t="str">
        <x:v>no</x:v>
      </x:c>
      <x:c r="K675" s="1"/>
      <x:c r="L675" s="1"/>
      <x:c r="M675" s="1"/>
      <x:c r="N675" s="1"/>
      <x:c r="O675" s="1"/>
    </x:row>
    <x:row r="676">
      <x:c r="A676" s="1" t="str">
        <x:v>S0675</x:v>
      </x:c>
      <x:c r="B676" s="1" t="str">
        <x:v>19</x:v>
      </x:c>
      <x:c r="C676" s="1" t="str">
        <x:v>basic</x:v>
      </x:c>
      <x:c r="D676" s="1" t="str">
        <x:v>9.99</x:v>
      </x:c>
      <x:c r="E676" s="1" t="str">
        <x:v>0</x:v>
      </x:c>
      <x:c r="F676" s="1" t="str">
        <x:v>11</x:v>
      </x:c>
      <x:c r="G676" s="1" t="str">
        <x:v>3</x:v>
      </x:c>
      <x:c r="H676" s="1" t="str">
        <x:v>0</x:v>
      </x:c>
      <x:c r="I676" s="1" t="str">
        <x:v>0</x:v>
      </x:c>
      <x:c r="J676" s="1" t="str">
        <x:v>no</x:v>
      </x:c>
      <x:c r="K676" s="1"/>
      <x:c r="L676" s="1"/>
      <x:c r="M676" s="1"/>
      <x:c r="N676" s="1"/>
      <x:c r="O676" s="1"/>
    </x:row>
    <x:row r="677">
      <x:c r="A677" s="1" t="str">
        <x:v>S0676</x:v>
      </x:c>
      <x:c r="B677" s="1" t="str">
        <x:v>18</x:v>
      </x:c>
      <x:c r="C677" s="1" t="str">
        <x:v>premium</x:v>
      </x:c>
      <x:c r="D677" s="1" t="str">
        <x:v>15.99</x:v>
      </x:c>
      <x:c r="E677" s="1" t="str">
        <x:v>3</x:v>
      </x:c>
      <x:c r="F677" s="1" t="str">
        <x:v>12</x:v>
      </x:c>
      <x:c r="G677" s="1" t="str">
        <x:v>17</x:v>
      </x:c>
      <x:c r="H677" s="1" t="str">
        <x:v>0</x:v>
      </x:c>
      <x:c r="I677" s="1" t="str">
        <x:v>1</x:v>
      </x:c>
      <x:c r="J677" s="1" t="str">
        <x:v>no</x:v>
      </x:c>
      <x:c r="K677" s="1"/>
      <x:c r="L677" s="1"/>
      <x:c r="M677" s="1"/>
      <x:c r="N677" s="1"/>
      <x:c r="O677" s="1"/>
    </x:row>
    <x:row r="678">
      <x:c r="A678" s="1" t="str">
        <x:v>S0677</x:v>
      </x:c>
      <x:c r="B678" s="1" t="str">
        <x:v>36</x:v>
      </x:c>
      <x:c r="C678" s="1" t="str">
        <x:v>basic</x:v>
      </x:c>
      <x:c r="D678" s="1" t="str">
        <x:v>9.99</x:v>
      </x:c>
      <x:c r="E678" s="1" t="str">
        <x:v>2</x:v>
      </x:c>
      <x:c r="F678" s="1" t="str">
        <x:v>18</x:v>
      </x:c>
      <x:c r="G678" s="1" t="str">
        <x:v>2</x:v>
      </x:c>
      <x:c r="H678" s="1" t="str">
        <x:v>2</x:v>
      </x:c>
      <x:c r="I678" s="1" t="str">
        <x:v>0</x:v>
      </x:c>
      <x:c r="J678" s="1" t="str">
        <x:v>no</x:v>
      </x:c>
      <x:c r="K678" s="1"/>
      <x:c r="L678" s="1"/>
      <x:c r="M678" s="1"/>
      <x:c r="N678" s="1"/>
      <x:c r="O678" s="1"/>
    </x:row>
    <x:row r="679">
      <x:c r="A679" s="1" t="str">
        <x:v>S0678</x:v>
      </x:c>
      <x:c r="B679" s="1" t="str">
        <x:v>8</x:v>
      </x:c>
      <x:c r="C679" s="1" t="str">
        <x:v>premium</x:v>
      </x:c>
      <x:c r="D679" s="1" t="str">
        <x:v>15.99</x:v>
      </x:c>
      <x:c r="E679" s="1" t="str">
        <x:v>0</x:v>
      </x:c>
      <x:c r="F679" s="1" t="str">
        <x:v>0</x:v>
      </x:c>
      <x:c r="G679" s="1" t="str">
        <x:v>34</x:v>
      </x:c>
      <x:c r="H679" s="1" t="str">
        <x:v>0</x:v>
      </x:c>
      <x:c r="I679" s="1" t="str">
        <x:v>0</x:v>
      </x:c>
      <x:c r="J679" s="1" t="str">
        <x:v>yes</x:v>
      </x:c>
      <x:c r="K679" s="1"/>
      <x:c r="L679" s="1"/>
      <x:c r="M679" s="1"/>
      <x:c r="N679" s="1"/>
      <x:c r="O679" s="1"/>
    </x:row>
    <x:row r="680">
      <x:c r="A680" s="1" t="str">
        <x:v>S0679</x:v>
      </x:c>
      <x:c r="B680" s="1" t="str">
        <x:v>26</x:v>
      </x:c>
      <x:c r="C680" s="1" t="str">
        <x:v>basic</x:v>
      </x:c>
      <x:c r="D680" s="1" t="str">
        <x:v>9.99</x:v>
      </x:c>
      <x:c r="E680" s="1" t="str">
        <x:v>4</x:v>
      </x:c>
      <x:c r="F680" s="1" t="str">
        <x:v>25</x:v>
      </x:c>
      <x:c r="G680" s="1" t="str">
        <x:v>3</x:v>
      </x:c>
      <x:c r="H680" s="1" t="str">
        <x:v>0</x:v>
      </x:c>
      <x:c r="I680" s="1" t="str">
        <x:v>1</x:v>
      </x:c>
      <x:c r="J680" s="1" t="str">
        <x:v>yes</x:v>
      </x:c>
      <x:c r="K680" s="1"/>
      <x:c r="L680" s="1"/>
      <x:c r="M680" s="1"/>
      <x:c r="N680" s="1"/>
      <x:c r="O680" s="1"/>
    </x:row>
    <x:row r="681">
      <x:c r="A681" s="1" t="str">
        <x:v>S0680</x:v>
      </x:c>
      <x:c r="B681" s="1" t="str">
        <x:v>22</x:v>
      </x:c>
      <x:c r="C681" s="1" t="str">
        <x:v>basic</x:v>
      </x:c>
      <x:c r="D681" s="1" t="str">
        <x:v>9.99</x:v>
      </x:c>
      <x:c r="E681" s="1" t="str">
        <x:v>0</x:v>
      </x:c>
      <x:c r="F681" s="1" t="str">
        <x:v>0</x:v>
      </x:c>
      <x:c r="G681" s="1" t="str">
        <x:v>60</x:v>
      </x:c>
      <x:c r="H681" s="1" t="str">
        <x:v>0</x:v>
      </x:c>
      <x:c r="I681" s="1" t="str">
        <x:v>0</x:v>
      </x:c>
      <x:c r="J681" s="1" t="str">
        <x:v>yes</x:v>
      </x:c>
      <x:c r="K681" s="1"/>
      <x:c r="L681" s="1"/>
      <x:c r="M681" s="1"/>
      <x:c r="N681" s="1"/>
      <x:c r="O681" s="1"/>
    </x:row>
    <x:row r="682">
      <x:c r="A682" s="1" t="str">
        <x:v>S0681</x:v>
      </x:c>
      <x:c r="B682" s="1" t="str">
        <x:v>8</x:v>
      </x:c>
      <x:c r="C682" s="1" t="str">
        <x:v>basic</x:v>
      </x:c>
      <x:c r="D682" s="1" t="str">
        <x:v>9.99</x:v>
      </x:c>
      <x:c r="E682" s="1" t="str">
        <x:v>0</x:v>
      </x:c>
      <x:c r="F682" s="1" t="str">
        <x:v>0</x:v>
      </x:c>
      <x:c r="G682" s="1" t="str">
        <x:v>57</x:v>
      </x:c>
      <x:c r="H682" s="1" t="str">
        <x:v>1</x:v>
      </x:c>
      <x:c r="I682" s="1" t="str">
        <x:v>1</x:v>
      </x:c>
      <x:c r="J682" s="1" t="str">
        <x:v>yes</x:v>
      </x:c>
      <x:c r="K682" s="1"/>
      <x:c r="L682" s="1"/>
      <x:c r="M682" s="1"/>
      <x:c r="N682" s="1"/>
      <x:c r="O682" s="1"/>
    </x:row>
    <x:row r="683">
      <x:c r="A683" s="1" t="str">
        <x:v>S0682</x:v>
      </x:c>
      <x:c r="B683" s="1" t="str">
        <x:v>33</x:v>
      </x:c>
      <x:c r="C683" s="1" t="str">
        <x:v>premium</x:v>
      </x:c>
      <x:c r="D683" s="1" t="str">
        <x:v>15.99</x:v>
      </x:c>
      <x:c r="E683" s="1" t="str">
        <x:v>0</x:v>
      </x:c>
      <x:c r="F683" s="1" t="str">
        <x:v>41</x:v>
      </x:c>
      <x:c r="G683" s="1" t="str">
        <x:v>5</x:v>
      </x:c>
      <x:c r="H683" s="1" t="str">
        <x:v>0</x:v>
      </x:c>
      <x:c r="I683" s="1" t="str">
        <x:v>1</x:v>
      </x:c>
      <x:c r="J683" s="1" t="str">
        <x:v>no</x:v>
      </x:c>
      <x:c r="K683" s="1"/>
      <x:c r="L683" s="1"/>
      <x:c r="M683" s="1"/>
      <x:c r="N683" s="1"/>
      <x:c r="O683" s="1"/>
    </x:row>
    <x:row r="684">
      <x:c r="A684" s="1" t="str">
        <x:v>S0683</x:v>
      </x:c>
      <x:c r="B684" s="1" t="str">
        <x:v>1</x:v>
      </x:c>
      <x:c r="C684" s="1" t="str">
        <x:v>basic</x:v>
      </x:c>
      <x:c r="D684" s="1" t="str">
        <x:v>9.99</x:v>
      </x:c>
      <x:c r="E684" s="1" t="str">
        <x:v>2</x:v>
      </x:c>
      <x:c r="F684" s="1" t="str">
        <x:v>14</x:v>
      </x:c>
      <x:c r="G684" s="1" t="str">
        <x:v>6</x:v>
      </x:c>
      <x:c r="H684" s="1" t="str">
        <x:v>1</x:v>
      </x:c>
      <x:c r="I684" s="1" t="str">
        <x:v>1</x:v>
      </x:c>
      <x:c r="J684" s="1" t="str">
        <x:v>no</x:v>
      </x:c>
      <x:c r="K684" s="1"/>
      <x:c r="L684" s="1"/>
      <x:c r="M684" s="1"/>
      <x:c r="N684" s="1"/>
      <x:c r="O684" s="1"/>
    </x:row>
    <x:row r="685">
      <x:c r="A685" s="1" t="str">
        <x:v>S0684</x:v>
      </x:c>
      <x:c r="B685" s="1" t="str">
        <x:v>15</x:v>
      </x:c>
      <x:c r="C685" s="1" t="str">
        <x:v>basic</x:v>
      </x:c>
      <x:c r="D685" s="1" t="str">
        <x:v>9.99</x:v>
      </x:c>
      <x:c r="E685" s="1" t="str">
        <x:v>3</x:v>
      </x:c>
      <x:c r="F685" s="1" t="str">
        <x:v>19</x:v>
      </x:c>
      <x:c r="G685" s="1" t="str">
        <x:v>20</x:v>
      </x:c>
      <x:c r="H685" s="1" t="str">
        <x:v>0</x:v>
      </x:c>
      <x:c r="I685" s="1" t="str">
        <x:v>1</x:v>
      </x:c>
      <x:c r="J685" s="1" t="str">
        <x:v>no</x:v>
      </x:c>
      <x:c r="K685" s="1"/>
      <x:c r="L685" s="1"/>
      <x:c r="M685" s="1"/>
      <x:c r="N685" s="1"/>
      <x:c r="O685" s="1"/>
    </x:row>
    <x:row r="686">
      <x:c r="A686" s="1" t="str">
        <x:v>S0685</x:v>
      </x:c>
      <x:c r="B686" s="1" t="str">
        <x:v>31</x:v>
      </x:c>
      <x:c r="C686" s="1" t="str">
        <x:v>basic</x:v>
      </x:c>
      <x:c r="D686" s="1" t="str">
        <x:v>9.99</x:v>
      </x:c>
      <x:c r="E686" s="1" t="str">
        <x:v>0</x:v>
      </x:c>
      <x:c r="F686" s="1" t="str">
        <x:v>15</x:v>
      </x:c>
      <x:c r="G686" s="1" t="str">
        <x:v>26</x:v>
      </x:c>
      <x:c r="H686" s="1" t="str">
        <x:v>0</x:v>
      </x:c>
      <x:c r="I686" s="1" t="str">
        <x:v>0</x:v>
      </x:c>
      <x:c r="J686" s="1" t="str">
        <x:v>no</x:v>
      </x:c>
      <x:c r="K686" s="1"/>
      <x:c r="L686" s="1"/>
      <x:c r="M686" s="1"/>
      <x:c r="N686" s="1"/>
      <x:c r="O686" s="1"/>
    </x:row>
    <x:row r="687">
      <x:c r="A687" s="1" t="str">
        <x:v>S0686</x:v>
      </x:c>
      <x:c r="B687" s="1" t="str">
        <x:v>2</x:v>
      </x:c>
      <x:c r="C687" s="1" t="str">
        <x:v>premium</x:v>
      </x:c>
      <x:c r="D687" s="1" t="str">
        <x:v>15.99</x:v>
      </x:c>
      <x:c r="E687" s="1" t="str">
        <x:v>2</x:v>
      </x:c>
      <x:c r="F687" s="1" t="str">
        <x:v>17</x:v>
      </x:c>
      <x:c r="G687" s="1" t="str">
        <x:v>1</x:v>
      </x:c>
      <x:c r="H687" s="1" t="str">
        <x:v>2</x:v>
      </x:c>
      <x:c r="I687" s="1" t="str">
        <x:v>1</x:v>
      </x:c>
      <x:c r="J687" s="1" t="str">
        <x:v>yes</x:v>
      </x:c>
      <x:c r="K687" s="1"/>
      <x:c r="L687" s="1"/>
      <x:c r="M687" s="1"/>
      <x:c r="N687" s="1"/>
      <x:c r="O687" s="1"/>
    </x:row>
    <x:row r="688">
      <x:c r="A688" s="1" t="str">
        <x:v>S0687</x:v>
      </x:c>
      <x:c r="B688" s="1" t="str">
        <x:v>21</x:v>
      </x:c>
      <x:c r="C688" s="1" t="str">
        <x:v>basic</x:v>
      </x:c>
      <x:c r="D688" s="1" t="str">
        <x:v>9.99</x:v>
      </x:c>
      <x:c r="E688" s="1" t="str">
        <x:v>2</x:v>
      </x:c>
      <x:c r="F688" s="1" t="str">
        <x:v>1</x:v>
      </x:c>
      <x:c r="G688" s="1" t="str">
        <x:v>29</x:v>
      </x:c>
      <x:c r="H688" s="1" t="str">
        <x:v>1</x:v>
      </x:c>
      <x:c r="I688" s="1" t="str">
        <x:v>0</x:v>
      </x:c>
      <x:c r="J688" s="1" t="str">
        <x:v>yes</x:v>
      </x:c>
      <x:c r="K688" s="1"/>
      <x:c r="L688" s="1"/>
      <x:c r="M688" s="1"/>
      <x:c r="N688" s="1"/>
      <x:c r="O688" s="1"/>
    </x:row>
    <x:row r="689">
      <x:c r="A689" s="1" t="str">
        <x:v>S0688</x:v>
      </x:c>
      <x:c r="B689" s="1" t="str">
        <x:v>28</x:v>
      </x:c>
      <x:c r="C689" s="1" t="str">
        <x:v>basic</x:v>
      </x:c>
      <x:c r="D689" s="1" t="str">
        <x:v>9.99</x:v>
      </x:c>
      <x:c r="E689" s="1" t="str">
        <x:v>0</x:v>
      </x:c>
      <x:c r="F689" s="1" t="str">
        <x:v>10</x:v>
      </x:c>
      <x:c r="G689" s="1" t="str">
        <x:v>4</x:v>
      </x:c>
      <x:c r="H689" s="1" t="str">
        <x:v>0</x:v>
      </x:c>
      <x:c r="I689" s="1" t="str">
        <x:v>0</x:v>
      </x:c>
      <x:c r="J689" s="1" t="str">
        <x:v>no</x:v>
      </x:c>
      <x:c r="K689" s="1"/>
      <x:c r="L689" s="1"/>
      <x:c r="M689" s="1"/>
      <x:c r="N689" s="1"/>
      <x:c r="O689" s="1"/>
    </x:row>
    <x:row r="690">
      <x:c r="A690" s="1" t="str">
        <x:v>S0689</x:v>
      </x:c>
      <x:c r="B690" s="1" t="str">
        <x:v>43</x:v>
      </x:c>
      <x:c r="C690" s="1" t="str">
        <x:v>basic</x:v>
      </x:c>
      <x:c r="D690" s="1" t="str">
        <x:v>9.99</x:v>
      </x:c>
      <x:c r="E690" s="1" t="str">
        <x:v>0</x:v>
      </x:c>
      <x:c r="F690" s="1" t="str">
        <x:v>24</x:v>
      </x:c>
      <x:c r="G690" s="1" t="str">
        <x:v>3</x:v>
      </x:c>
      <x:c r="H690" s="1" t="str">
        <x:v>0</x:v>
      </x:c>
      <x:c r="I690" s="1" t="str">
        <x:v>0</x:v>
      </x:c>
      <x:c r="J690" s="1" t="str">
        <x:v>no</x:v>
      </x:c>
      <x:c r="K690" s="1"/>
      <x:c r="L690" s="1"/>
      <x:c r="M690" s="1"/>
      <x:c r="N690" s="1"/>
      <x:c r="O690" s="1"/>
    </x:row>
    <x:row r="691">
      <x:c r="A691" s="1" t="str">
        <x:v>S0690</x:v>
      </x:c>
      <x:c r="B691" s="1" t="str">
        <x:v>13</x:v>
      </x:c>
      <x:c r="C691" s="1" t="str">
        <x:v>premium</x:v>
      </x:c>
      <x:c r="D691" s="1" t="str">
        <x:v>15.99</x:v>
      </x:c>
      <x:c r="E691" s="1" t="str">
        <x:v>3</x:v>
      </x:c>
      <x:c r="F691" s="1" t="str">
        <x:v>27</x:v>
      </x:c>
      <x:c r="G691" s="1" t="str">
        <x:v>2</x:v>
      </x:c>
      <x:c r="H691" s="1" t="str">
        <x:v>0</x:v>
      </x:c>
      <x:c r="I691" s="1" t="str">
        <x:v>1</x:v>
      </x:c>
      <x:c r="J691" s="1" t="str">
        <x:v>yes</x:v>
      </x:c>
      <x:c r="K691" s="1"/>
      <x:c r="L691" s="1"/>
      <x:c r="M691" s="1"/>
      <x:c r="N691" s="1"/>
      <x:c r="O691" s="1"/>
    </x:row>
    <x:row r="692">
      <x:c r="A692" s="1" t="str">
        <x:v>S0691</x:v>
      </x:c>
      <x:c r="B692" s="1" t="str">
        <x:v>45</x:v>
      </x:c>
      <x:c r="C692" s="1" t="str">
        <x:v>premium</x:v>
      </x:c>
      <x:c r="D692" s="1" t="str">
        <x:v>15.99</x:v>
      </x:c>
      <x:c r="E692" s="1" t="str">
        <x:v>0</x:v>
      </x:c>
      <x:c r="F692" s="1" t="str">
        <x:v>11</x:v>
      </x:c>
      <x:c r="G692" s="1" t="str">
        <x:v>5</x:v>
      </x:c>
      <x:c r="H692" s="1" t="str">
        <x:v>0</x:v>
      </x:c>
      <x:c r="I692" s="1" t="str">
        <x:v>0</x:v>
      </x:c>
      <x:c r="J692" s="1" t="str">
        <x:v>no</x:v>
      </x:c>
      <x:c r="K692" s="1"/>
      <x:c r="L692" s="1"/>
      <x:c r="M692" s="1"/>
      <x:c r="N692" s="1"/>
      <x:c r="O692" s="1"/>
    </x:row>
    <x:row r="693">
      <x:c r="A693" s="1" t="str">
        <x:v>S0692</x:v>
      </x:c>
      <x:c r="B693" s="1" t="str">
        <x:v>23</x:v>
      </x:c>
      <x:c r="C693" s="1" t="str">
        <x:v>premium</x:v>
      </x:c>
      <x:c r="D693" s="1" t="str">
        <x:v>15.99</x:v>
      </x:c>
      <x:c r="E693" s="1" t="str">
        <x:v>0</x:v>
      </x:c>
      <x:c r="F693" s="1" t="str">
        <x:v>9</x:v>
      </x:c>
      <x:c r="G693" s="1" t="str">
        <x:v>4</x:v>
      </x:c>
      <x:c r="H693" s="1" t="str">
        <x:v>0</x:v>
      </x:c>
      <x:c r="I693" s="1" t="str">
        <x:v>0</x:v>
      </x:c>
      <x:c r="J693" s="1" t="str">
        <x:v>no</x:v>
      </x:c>
      <x:c r="K693" s="1"/>
      <x:c r="L693" s="1"/>
      <x:c r="M693" s="1"/>
      <x:c r="N693" s="1"/>
      <x:c r="O693" s="1"/>
    </x:row>
    <x:row r="694">
      <x:c r="A694" s="1" t="str">
        <x:v>S0693</x:v>
      </x:c>
      <x:c r="B694" s="1" t="str">
        <x:v>23</x:v>
      </x:c>
      <x:c r="C694" s="1" t="str">
        <x:v>basic</x:v>
      </x:c>
      <x:c r="D694" s="1" t="str">
        <x:v>9.99</x:v>
      </x:c>
      <x:c r="E694" s="1" t="str">
        <x:v>0</x:v>
      </x:c>
      <x:c r="F694" s="1" t="str">
        <x:v>15</x:v>
      </x:c>
      <x:c r="G694" s="1" t="str">
        <x:v>4</x:v>
      </x:c>
      <x:c r="H694" s="1" t="str">
        <x:v>0</x:v>
      </x:c>
      <x:c r="I694" s="1" t="str">
        <x:v>0</x:v>
      </x:c>
      <x:c r="J694" s="1" t="str">
        <x:v>no</x:v>
      </x:c>
      <x:c r="K694" s="1"/>
      <x:c r="L694" s="1"/>
      <x:c r="M694" s="1"/>
      <x:c r="N694" s="1"/>
      <x:c r="O694" s="1"/>
    </x:row>
    <x:row r="695">
      <x:c r="A695" s="1" t="str">
        <x:v>S0694</x:v>
      </x:c>
      <x:c r="B695" s="1" t="str">
        <x:v>15</x:v>
      </x:c>
      <x:c r="C695" s="1" t="str">
        <x:v>premium</x:v>
      </x:c>
      <x:c r="D695" s="1" t="str">
        <x:v>15.99</x:v>
      </x:c>
      <x:c r="E695" s="1" t="str">
        <x:v>2</x:v>
      </x:c>
      <x:c r="F695" s="1" t="str">
        <x:v>15</x:v>
      </x:c>
      <x:c r="G695" s="1" t="str">
        <x:v>6</x:v>
      </x:c>
      <x:c r="H695" s="1" t="str">
        <x:v>0</x:v>
      </x:c>
      <x:c r="I695" s="1" t="str">
        <x:v>1</x:v>
      </x:c>
      <x:c r="J695" s="1" t="str">
        <x:v>no</x:v>
      </x:c>
      <x:c r="K695" s="1"/>
      <x:c r="L695" s="1"/>
      <x:c r="M695" s="1"/>
      <x:c r="N695" s="1"/>
      <x:c r="O695" s="1"/>
    </x:row>
    <x:row r="696">
      <x:c r="A696" s="1" t="str">
        <x:v>S0695</x:v>
      </x:c>
      <x:c r="B696" s="1" t="str">
        <x:v>33</x:v>
      </x:c>
      <x:c r="C696" s="1" t="str">
        <x:v>premium</x:v>
      </x:c>
      <x:c r="D696" s="1" t="str">
        <x:v>15.99</x:v>
      </x:c>
      <x:c r="E696" s="1" t="str">
        <x:v>0</x:v>
      </x:c>
      <x:c r="F696" s="1" t="str">
        <x:v>19</x:v>
      </x:c>
      <x:c r="G696" s="1" t="str">
        <x:v>2</x:v>
      </x:c>
      <x:c r="H696" s="1" t="str">
        <x:v>0</x:v>
      </x:c>
      <x:c r="I696" s="1" t="str">
        <x:v>0</x:v>
      </x:c>
      <x:c r="J696" s="1" t="str">
        <x:v>no</x:v>
      </x:c>
      <x:c r="K696" s="1"/>
      <x:c r="L696" s="1"/>
      <x:c r="M696" s="1"/>
      <x:c r="N696" s="1"/>
      <x:c r="O696" s="1"/>
    </x:row>
    <x:row r="697">
      <x:c r="A697" s="1" t="str">
        <x:v>S0696</x:v>
      </x:c>
      <x:c r="B697" s="1" t="str">
        <x:v>9</x:v>
      </x:c>
      <x:c r="C697" s="1" t="str">
        <x:v>basic</x:v>
      </x:c>
      <x:c r="D697" s="1" t="str">
        <x:v>9.99</x:v>
      </x:c>
      <x:c r="E697" s="1" t="str">
        <x:v>1</x:v>
      </x:c>
      <x:c r="F697" s="1" t="str">
        <x:v>0</x:v>
      </x:c>
      <x:c r="G697" s="1" t="str">
        <x:v>57</x:v>
      </x:c>
      <x:c r="H697" s="1" t="str">
        <x:v>2</x:v>
      </x:c>
      <x:c r="I697" s="1" t="str">
        <x:v>1</x:v>
      </x:c>
      <x:c r="J697" s="1" t="str">
        <x:v>yes</x:v>
      </x:c>
      <x:c r="K697" s="1"/>
      <x:c r="L697" s="1"/>
      <x:c r="M697" s="1"/>
      <x:c r="N697" s="1"/>
      <x:c r="O697" s="1"/>
    </x:row>
    <x:row r="698">
      <x:c r="A698" s="1" t="str">
        <x:v>S0697</x:v>
      </x:c>
      <x:c r="B698" s="1" t="str">
        <x:v>48</x:v>
      </x:c>
      <x:c r="C698" s="1" t="str">
        <x:v>premium</x:v>
      </x:c>
      <x:c r="D698" s="1" t="str">
        <x:v>15.99</x:v>
      </x:c>
      <x:c r="E698" s="1" t="str">
        <x:v>0</x:v>
      </x:c>
      <x:c r="F698" s="1" t="str">
        <x:v>2</x:v>
      </x:c>
      <x:c r="G698" s="1" t="str">
        <x:v>22</x:v>
      </x:c>
      <x:c r="H698" s="1" t="str">
        <x:v>1</x:v>
      </x:c>
      <x:c r="I698" s="1" t="str">
        <x:v>0</x:v>
      </x:c>
      <x:c r="J698" s="1" t="str">
        <x:v>no</x:v>
      </x:c>
      <x:c r="K698" s="1"/>
      <x:c r="L698" s="1"/>
      <x:c r="M698" s="1"/>
      <x:c r="N698" s="1"/>
      <x:c r="O698" s="1"/>
    </x:row>
    <x:row r="699">
      <x:c r="A699" s="1" t="str">
        <x:v>S0698</x:v>
      </x:c>
      <x:c r="B699" s="1" t="str">
        <x:v>8</x:v>
      </x:c>
      <x:c r="C699" s="1" t="str">
        <x:v>basic</x:v>
      </x:c>
      <x:c r="D699" s="1" t="str">
        <x:v>9.99</x:v>
      </x:c>
      <x:c r="E699" s="1" t="str">
        <x:v>1</x:v>
      </x:c>
      <x:c r="F699" s="1" t="str">
        <x:v>13</x:v>
      </x:c>
      <x:c r="G699" s="1" t="str">
        <x:v>4</x:v>
      </x:c>
      <x:c r="H699" s="1" t="str">
        <x:v>0</x:v>
      </x:c>
      <x:c r="I699" s="1" t="str">
        <x:v>1</x:v>
      </x:c>
      <x:c r="J699" s="1" t="str">
        <x:v>no</x:v>
      </x:c>
      <x:c r="K699" s="1"/>
      <x:c r="L699" s="1"/>
      <x:c r="M699" s="1"/>
      <x:c r="N699" s="1"/>
      <x:c r="O699" s="1"/>
    </x:row>
    <x:row r="700">
      <x:c r="A700" s="1" t="str">
        <x:v>S0699</x:v>
      </x:c>
      <x:c r="B700" s="1" t="str">
        <x:v>21</x:v>
      </x:c>
      <x:c r="C700" s="1" t="str">
        <x:v>basic</x:v>
      </x:c>
      <x:c r="D700" s="1" t="str">
        <x:v>9.99</x:v>
      </x:c>
      <x:c r="E700" s="1" t="str">
        <x:v>1</x:v>
      </x:c>
      <x:c r="F700" s="1" t="str">
        <x:v>13</x:v>
      </x:c>
      <x:c r="G700" s="1" t="str">
        <x:v>13</x:v>
      </x:c>
      <x:c r="H700" s="1" t="str">
        <x:v>0</x:v>
      </x:c>
      <x:c r="I700" s="1" t="str">
        <x:v>0</x:v>
      </x:c>
      <x:c r="J700" s="1" t="str">
        <x:v>no</x:v>
      </x:c>
      <x:c r="K700" s="1"/>
      <x:c r="L700" s="1"/>
      <x:c r="M700" s="1"/>
      <x:c r="N700" s="1"/>
      <x:c r="O700" s="1"/>
    </x:row>
    <x:row r="701">
      <x:c r="A701" s="1" t="str">
        <x:v>S0700</x:v>
      </x:c>
      <x:c r="B701" s="1" t="str">
        <x:v>13</x:v>
      </x:c>
      <x:c r="C701" s="1" t="str">
        <x:v>basic</x:v>
      </x:c>
      <x:c r="D701" s="1" t="str">
        <x:v>9.99</x:v>
      </x:c>
      <x:c r="E701" s="1" t="str">
        <x:v>0</x:v>
      </x:c>
      <x:c r="F701" s="1" t="str">
        <x:v>21</x:v>
      </x:c>
      <x:c r="G701" s="1" t="str">
        <x:v>4</x:v>
      </x:c>
      <x:c r="H701" s="1" t="str">
        <x:v>0</x:v>
      </x:c>
      <x:c r="I701" s="1" t="str">
        <x:v>0</x:v>
      </x:c>
      <x:c r="J701" s="1" t="str">
        <x:v>no</x:v>
      </x:c>
      <x:c r="K701" s="1"/>
      <x:c r="L701" s="1"/>
      <x:c r="M701" s="1"/>
      <x:c r="N701" s="1"/>
      <x:c r="O701" s="1"/>
    </x:row>
    <x:row r="702">
      <x:c r="A702" s="1" t="str">
        <x:v>S0701</x:v>
      </x:c>
      <x:c r="B702" s="1" t="str">
        <x:v>43</x:v>
      </x:c>
      <x:c r="C702" s="1" t="str">
        <x:v>basic</x:v>
      </x:c>
      <x:c r="D702" s="1" t="str">
        <x:v>9.99</x:v>
      </x:c>
      <x:c r="E702" s="1" t="str">
        <x:v>0</x:v>
      </x:c>
      <x:c r="F702" s="1" t="str">
        <x:v>27</x:v>
      </x:c>
      <x:c r="G702" s="1" t="str">
        <x:v>0</x:v>
      </x:c>
      <x:c r="H702" s="1" t="str">
        <x:v>0</x:v>
      </x:c>
      <x:c r="I702" s="1" t="str">
        <x:v>0</x:v>
      </x:c>
      <x:c r="J702" s="1" t="str">
        <x:v>no</x:v>
      </x:c>
      <x:c r="K702" s="1"/>
      <x:c r="L702" s="1"/>
      <x:c r="M702" s="1"/>
      <x:c r="N702" s="1"/>
      <x:c r="O702" s="1"/>
    </x:row>
    <x:row r="703">
      <x:c r="A703" s="1" t="str">
        <x:v>S0702</x:v>
      </x:c>
      <x:c r="B703" s="1" t="str">
        <x:v>4</x:v>
      </x:c>
      <x:c r="C703" s="1" t="str">
        <x:v>basic</x:v>
      </x:c>
      <x:c r="D703" s="1" t="str">
        <x:v>9.99</x:v>
      </x:c>
      <x:c r="E703" s="1" t="str">
        <x:v>1</x:v>
      </x:c>
      <x:c r="F703" s="1" t="str">
        <x:v>22</x:v>
      </x:c>
      <x:c r="G703" s="1" t="str">
        <x:v>0</x:v>
      </x:c>
      <x:c r="H703" s="1" t="str">
        <x:v>0</x:v>
      </x:c>
      <x:c r="I703" s="1" t="str">
        <x:v>0</x:v>
      </x:c>
      <x:c r="J703" s="1" t="str">
        <x:v>no</x:v>
      </x:c>
      <x:c r="K703" s="1"/>
      <x:c r="L703" s="1"/>
      <x:c r="M703" s="1"/>
      <x:c r="N703" s="1"/>
      <x:c r="O703" s="1"/>
    </x:row>
    <x:row r="704">
      <x:c r="A704" s="1" t="str">
        <x:v>S0703</x:v>
      </x:c>
      <x:c r="B704" s="1" t="str">
        <x:v>16</x:v>
      </x:c>
      <x:c r="C704" s="1" t="str">
        <x:v>basic</x:v>
      </x:c>
      <x:c r="D704" s="1" t="str">
        <x:v>9.99</x:v>
      </x:c>
      <x:c r="E704" s="1" t="str">
        <x:v>3</x:v>
      </x:c>
      <x:c r="F704" s="1" t="str">
        <x:v>15</x:v>
      </x:c>
      <x:c r="G704" s="1" t="str">
        <x:v>26</x:v>
      </x:c>
      <x:c r="H704" s="1" t="str">
        <x:v>0</x:v>
      </x:c>
      <x:c r="I704" s="1" t="str">
        <x:v>1</x:v>
      </x:c>
      <x:c r="J704" s="1" t="str">
        <x:v>no</x:v>
      </x:c>
      <x:c r="K704" s="1"/>
      <x:c r="L704" s="1"/>
      <x:c r="M704" s="1"/>
      <x:c r="N704" s="1"/>
      <x:c r="O704" s="1"/>
    </x:row>
    <x:row r="705">
      <x:c r="A705" s="1" t="str">
        <x:v>S0704</x:v>
      </x:c>
      <x:c r="B705" s="1" t="str">
        <x:v>35</x:v>
      </x:c>
      <x:c r="C705" s="1" t="str">
        <x:v>basic</x:v>
      </x:c>
      <x:c r="D705" s="1" t="str">
        <x:v>9.99</x:v>
      </x:c>
      <x:c r="E705" s="1" t="str">
        <x:v>0</x:v>
      </x:c>
      <x:c r="F705" s="1" t="str">
        <x:v>17</x:v>
      </x:c>
      <x:c r="G705" s="1" t="str">
        <x:v>6</x:v>
      </x:c>
      <x:c r="H705" s="1" t="str">
        <x:v>0</x:v>
      </x:c>
      <x:c r="I705" s="1" t="str">
        <x:v>0</x:v>
      </x:c>
      <x:c r="J705" s="1" t="str">
        <x:v>no</x:v>
      </x:c>
      <x:c r="K705" s="1"/>
      <x:c r="L705" s="1"/>
      <x:c r="M705" s="1"/>
      <x:c r="N705" s="1"/>
      <x:c r="O705" s="1"/>
    </x:row>
    <x:row r="706">
      <x:c r="A706" s="1" t="str">
        <x:v>S0705</x:v>
      </x:c>
      <x:c r="B706" s="1" t="str">
        <x:v>30</x:v>
      </x:c>
      <x:c r="C706" s="1" t="str">
        <x:v>basic</x:v>
      </x:c>
      <x:c r="D706" s="1" t="str">
        <x:v>9.99</x:v>
      </x:c>
      <x:c r="E706" s="1" t="str">
        <x:v>0</x:v>
      </x:c>
      <x:c r="F706" s="1" t="str">
        <x:v>15</x:v>
      </x:c>
      <x:c r="G706" s="1" t="str">
        <x:v>5</x:v>
      </x:c>
      <x:c r="H706" s="1" t="str">
        <x:v>0</x:v>
      </x:c>
      <x:c r="I706" s="1" t="str">
        <x:v>0</x:v>
      </x:c>
      <x:c r="J706" s="1" t="str">
        <x:v>no</x:v>
      </x:c>
      <x:c r="K706" s="1"/>
      <x:c r="L706" s="1"/>
      <x:c r="M706" s="1"/>
      <x:c r="N706" s="1"/>
      <x:c r="O706" s="1"/>
    </x:row>
    <x:row r="707">
      <x:c r="A707" s="1" t="str">
        <x:v>S0706</x:v>
      </x:c>
      <x:c r="B707" s="1" t="str">
        <x:v>46</x:v>
      </x:c>
      <x:c r="C707" s="1" t="str">
        <x:v>premium</x:v>
      </x:c>
      <x:c r="D707" s="1" t="str">
        <x:v>15.99</x:v>
      </x:c>
      <x:c r="E707" s="1" t="str">
        <x:v>0</x:v>
      </x:c>
      <x:c r="F707" s="1" t="str">
        <x:v>20</x:v>
      </x:c>
      <x:c r="G707" s="1" t="str">
        <x:v>12</x:v>
      </x:c>
      <x:c r="H707" s="1" t="str">
        <x:v>0</x:v>
      </x:c>
      <x:c r="I707" s="1" t="str">
        <x:v>0</x:v>
      </x:c>
      <x:c r="J707" s="1" t="str">
        <x:v>no</x:v>
      </x:c>
      <x:c r="K707" s="1"/>
      <x:c r="L707" s="1"/>
      <x:c r="M707" s="1"/>
      <x:c r="N707" s="1"/>
      <x:c r="O707" s="1"/>
    </x:row>
    <x:row r="708">
      <x:c r="A708" s="1" t="str">
        <x:v>S0707</x:v>
      </x:c>
      <x:c r="B708" s="1" t="str">
        <x:v>39</x:v>
      </x:c>
      <x:c r="C708" s="1" t="str">
        <x:v>premium</x:v>
      </x:c>
      <x:c r="D708" s="1" t="str">
        <x:v>15.99</x:v>
      </x:c>
      <x:c r="E708" s="1" t="str">
        <x:v>0</x:v>
      </x:c>
      <x:c r="F708" s="1" t="str">
        <x:v>3</x:v>
      </x:c>
      <x:c r="G708" s="1" t="str">
        <x:v>0</x:v>
      </x:c>
      <x:c r="H708" s="1" t="str">
        <x:v>0</x:v>
      </x:c>
      <x:c r="I708" s="1" t="str">
        <x:v>1</x:v>
      </x:c>
      <x:c r="J708" s="1" t="str">
        <x:v>no</x:v>
      </x:c>
      <x:c r="K708" s="1"/>
      <x:c r="L708" s="1"/>
      <x:c r="M708" s="1"/>
      <x:c r="N708" s="1"/>
      <x:c r="O708" s="1"/>
    </x:row>
    <x:row r="709">
      <x:c r="A709" s="1" t="str">
        <x:v>S0708</x:v>
      </x:c>
      <x:c r="B709" s="1" t="str">
        <x:v>38</x:v>
      </x:c>
      <x:c r="C709" s="1" t="str">
        <x:v>basic</x:v>
      </x:c>
      <x:c r="D709" s="1" t="str">
        <x:v>9.99</x:v>
      </x:c>
      <x:c r="E709" s="1" t="str">
        <x:v>0</x:v>
      </x:c>
      <x:c r="F709" s="1" t="str">
        <x:v>12</x:v>
      </x:c>
      <x:c r="G709" s="1" t="str">
        <x:v>2</x:v>
      </x:c>
      <x:c r="H709" s="1" t="str">
        <x:v>1</x:v>
      </x:c>
      <x:c r="I709" s="1" t="str">
        <x:v>0</x:v>
      </x:c>
      <x:c r="J709" s="1" t="str">
        <x:v>no</x:v>
      </x:c>
      <x:c r="K709" s="1"/>
      <x:c r="L709" s="1"/>
      <x:c r="M709" s="1"/>
      <x:c r="N709" s="1"/>
      <x:c r="O709" s="1"/>
    </x:row>
    <x:row r="710">
      <x:c r="A710" s="1" t="str">
        <x:v>S0709</x:v>
      </x:c>
      <x:c r="B710" s="1" t="str">
        <x:v>26</x:v>
      </x:c>
      <x:c r="C710" s="1" t="str">
        <x:v>basic</x:v>
      </x:c>
      <x:c r="D710" s="1" t="str">
        <x:v>9.99</x:v>
      </x:c>
      <x:c r="E710" s="1" t="str">
        <x:v>1</x:v>
      </x:c>
      <x:c r="F710" s="1" t="str">
        <x:v>20</x:v>
      </x:c>
      <x:c r="G710" s="1" t="str">
        <x:v>5</x:v>
      </x:c>
      <x:c r="H710" s="1" t="str">
        <x:v>0</x:v>
      </x:c>
      <x:c r="I710" s="1" t="str">
        <x:v>0</x:v>
      </x:c>
      <x:c r="J710" s="1" t="str">
        <x:v>no</x:v>
      </x:c>
      <x:c r="K710" s="1"/>
      <x:c r="L710" s="1"/>
      <x:c r="M710" s="1"/>
      <x:c r="N710" s="1"/>
      <x:c r="O710" s="1"/>
    </x:row>
    <x:row r="711">
      <x:c r="A711" s="1" t="str">
        <x:v>S0710</x:v>
      </x:c>
      <x:c r="B711" s="1" t="str">
        <x:v>27</x:v>
      </x:c>
      <x:c r="C711" s="1" t="str">
        <x:v>basic</x:v>
      </x:c>
      <x:c r="D711" s="1" t="str">
        <x:v>9.99</x:v>
      </x:c>
      <x:c r="E711" s="1" t="str">
        <x:v>0</x:v>
      </x:c>
      <x:c r="F711" s="1" t="str">
        <x:v>2</x:v>
      </x:c>
      <x:c r="G711" s="1" t="str">
        <x:v>28</x:v>
      </x:c>
      <x:c r="H711" s="1" t="str">
        <x:v>0</x:v>
      </x:c>
      <x:c r="I711" s="1" t="str">
        <x:v>0</x:v>
      </x:c>
      <x:c r="J711" s="1" t="str">
        <x:v>yes</x:v>
      </x:c>
      <x:c r="K711" s="1"/>
      <x:c r="L711" s="1"/>
      <x:c r="M711" s="1"/>
      <x:c r="N711" s="1"/>
      <x:c r="O711" s="1"/>
    </x:row>
    <x:row r="712">
      <x:c r="A712" s="1" t="str">
        <x:v>S0711</x:v>
      </x:c>
      <x:c r="B712" s="1" t="str">
        <x:v>33</x:v>
      </x:c>
      <x:c r="C712" s="1" t="str">
        <x:v>premium</x:v>
      </x:c>
      <x:c r="D712" s="1" t="str">
        <x:v>15.99</x:v>
      </x:c>
      <x:c r="E712" s="1" t="str">
        <x:v>1</x:v>
      </x:c>
      <x:c r="F712" s="1" t="str">
        <x:v>14</x:v>
      </x:c>
      <x:c r="G712" s="1" t="str">
        <x:v>10</x:v>
      </x:c>
      <x:c r="H712" s="1" t="str">
        <x:v>0</x:v>
      </x:c>
      <x:c r="I712" s="1" t="str">
        <x:v>0</x:v>
      </x:c>
      <x:c r="J712" s="1" t="str">
        <x:v>no</x:v>
      </x:c>
      <x:c r="K712" s="1"/>
      <x:c r="L712" s="1"/>
      <x:c r="M712" s="1"/>
      <x:c r="N712" s="1"/>
      <x:c r="O712" s="1"/>
    </x:row>
    <x:row r="713">
      <x:c r="A713" s="1" t="str">
        <x:v>S0712</x:v>
      </x:c>
      <x:c r="B713" s="1" t="str">
        <x:v>28</x:v>
      </x:c>
      <x:c r="C713" s="1" t="str">
        <x:v>basic</x:v>
      </x:c>
      <x:c r="D713" s="1" t="str">
        <x:v>9.99</x:v>
      </x:c>
      <x:c r="E713" s="1" t="str">
        <x:v>0</x:v>
      </x:c>
      <x:c r="F713" s="1" t="str">
        <x:v>17</x:v>
      </x:c>
      <x:c r="G713" s="1" t="str">
        <x:v>5</x:v>
      </x:c>
      <x:c r="H713" s="1" t="str">
        <x:v>0</x:v>
      </x:c>
      <x:c r="I713" s="1" t="str">
        <x:v>0</x:v>
      </x:c>
      <x:c r="J713" s="1" t="str">
        <x:v>no</x:v>
      </x:c>
      <x:c r="K713" s="1"/>
      <x:c r="L713" s="1"/>
      <x:c r="M713" s="1"/>
      <x:c r="N713" s="1"/>
      <x:c r="O713" s="1"/>
    </x:row>
    <x:row r="714">
      <x:c r="A714" s="1" t="str">
        <x:v>S0713</x:v>
      </x:c>
      <x:c r="B714" s="1" t="str">
        <x:v>19</x:v>
      </x:c>
      <x:c r="C714" s="1" t="str">
        <x:v>basic</x:v>
      </x:c>
      <x:c r="D714" s="1" t="str">
        <x:v>9.99</x:v>
      </x:c>
      <x:c r="E714" s="1" t="str">
        <x:v>2</x:v>
      </x:c>
      <x:c r="F714" s="1" t="str">
        <x:v>28</x:v>
      </x:c>
      <x:c r="G714" s="1" t="str">
        <x:v>6</x:v>
      </x:c>
      <x:c r="H714" s="1" t="str">
        <x:v>0</x:v>
      </x:c>
      <x:c r="I714" s="1" t="str">
        <x:v>0</x:v>
      </x:c>
      <x:c r="J714" s="1" t="str">
        <x:v>no</x:v>
      </x:c>
      <x:c r="K714" s="1"/>
      <x:c r="L714" s="1"/>
      <x:c r="M714" s="1"/>
      <x:c r="N714" s="1"/>
      <x:c r="O714" s="1"/>
    </x:row>
    <x:row r="715">
      <x:c r="A715" s="1" t="str">
        <x:v>S0714</x:v>
      </x:c>
      <x:c r="B715" s="1" t="str">
        <x:v>1</x:v>
      </x:c>
      <x:c r="C715" s="1" t="str">
        <x:v>basic</x:v>
      </x:c>
      <x:c r="D715" s="1" t="str">
        <x:v>9.99</x:v>
      </x:c>
      <x:c r="E715" s="1" t="str">
        <x:v>0</x:v>
      </x:c>
      <x:c r="F715" s="1" t="str">
        <x:v>22</x:v>
      </x:c>
      <x:c r="G715" s="1" t="str">
        <x:v>0</x:v>
      </x:c>
      <x:c r="H715" s="1" t="str">
        <x:v>0</x:v>
      </x:c>
      <x:c r="I715" s="1" t="str">
        <x:v>0</x:v>
      </x:c>
      <x:c r="J715" s="1" t="str">
        <x:v>no</x:v>
      </x:c>
      <x:c r="K715" s="1"/>
      <x:c r="L715" s="1"/>
      <x:c r="M715" s="1"/>
      <x:c r="N715" s="1"/>
      <x:c r="O715" s="1"/>
    </x:row>
    <x:row r="716">
      <x:c r="A716" s="1" t="str">
        <x:v>S0715</x:v>
      </x:c>
      <x:c r="B716" s="1" t="str">
        <x:v>34</x:v>
      </x:c>
      <x:c r="C716" s="1" t="str">
        <x:v>premium</x:v>
      </x:c>
      <x:c r="D716" s="1" t="str">
        <x:v>15.99</x:v>
      </x:c>
      <x:c r="E716" s="1" t="str">
        <x:v>0</x:v>
      </x:c>
      <x:c r="F716" s="1" t="str">
        <x:v>20</x:v>
      </x:c>
      <x:c r="G716" s="1" t="str">
        <x:v>6</x:v>
      </x:c>
      <x:c r="H716" s="1" t="str">
        <x:v>0</x:v>
      </x:c>
      <x:c r="I716" s="1" t="str">
        <x:v>0</x:v>
      </x:c>
      <x:c r="J716" s="1" t="str">
        <x:v>no</x:v>
      </x:c>
      <x:c r="K716" s="1"/>
      <x:c r="L716" s="1"/>
      <x:c r="M716" s="1"/>
      <x:c r="N716" s="1"/>
      <x:c r="O716" s="1"/>
    </x:row>
    <x:row r="717">
      <x:c r="A717" s="1" t="str">
        <x:v>S0716</x:v>
      </x:c>
      <x:c r="B717" s="1" t="str">
        <x:v>3</x:v>
      </x:c>
      <x:c r="C717" s="1" t="str">
        <x:v>premium</x:v>
      </x:c>
      <x:c r="D717" s="1" t="str">
        <x:v>15.99</x:v>
      </x:c>
      <x:c r="E717" s="1" t="str">
        <x:v>2</x:v>
      </x:c>
      <x:c r="F717" s="1" t="str">
        <x:v>30</x:v>
      </x:c>
      <x:c r="G717" s="1" t="str">
        <x:v>4</x:v>
      </x:c>
      <x:c r="H717" s="1" t="str">
        <x:v>0</x:v>
      </x:c>
      <x:c r="I717" s="1" t="str">
        <x:v>0</x:v>
      </x:c>
      <x:c r="J717" s="1" t="str">
        <x:v>yes</x:v>
      </x:c>
      <x:c r="K717" s="1"/>
      <x:c r="L717" s="1"/>
      <x:c r="M717" s="1"/>
      <x:c r="N717" s="1"/>
      <x:c r="O717" s="1"/>
    </x:row>
    <x:row r="718">
      <x:c r="A718" s="1" t="str">
        <x:v>S0717</x:v>
      </x:c>
      <x:c r="B718" s="1" t="str">
        <x:v>22</x:v>
      </x:c>
      <x:c r="C718" s="1" t="str">
        <x:v>basic</x:v>
      </x:c>
      <x:c r="D718" s="1" t="str">
        <x:v>9.99</x:v>
      </x:c>
      <x:c r="E718" s="1" t="str">
        <x:v>1</x:v>
      </x:c>
      <x:c r="F718" s="1" t="str">
        <x:v>12</x:v>
      </x:c>
      <x:c r="G718" s="1" t="str">
        <x:v>22</x:v>
      </x:c>
      <x:c r="H718" s="1" t="str">
        <x:v>0</x:v>
      </x:c>
      <x:c r="I718" s="1" t="str">
        <x:v>0</x:v>
      </x:c>
      <x:c r="J718" s="1" t="str">
        <x:v>yes</x:v>
      </x:c>
      <x:c r="K718" s="1"/>
      <x:c r="L718" s="1"/>
      <x:c r="M718" s="1"/>
      <x:c r="N718" s="1"/>
      <x:c r="O718" s="1"/>
    </x:row>
    <x:row r="719">
      <x:c r="A719" s="1" t="str">
        <x:v>S0718</x:v>
      </x:c>
      <x:c r="B719" s="1" t="str">
        <x:v>21</x:v>
      </x:c>
      <x:c r="C719" s="1" t="str">
        <x:v>premium</x:v>
      </x:c>
      <x:c r="D719" s="1" t="str">
        <x:v>15.99</x:v>
      </x:c>
      <x:c r="E719" s="1" t="str">
        <x:v>0</x:v>
      </x:c>
      <x:c r="F719" s="1" t="str">
        <x:v>16</x:v>
      </x:c>
      <x:c r="G719" s="1" t="str">
        <x:v>21</x:v>
      </x:c>
      <x:c r="H719" s="1" t="str">
        <x:v>0</x:v>
      </x:c>
      <x:c r="I719" s="1" t="str">
        <x:v>1</x:v>
      </x:c>
      <x:c r="J719" s="1" t="str">
        <x:v>no</x:v>
      </x:c>
      <x:c r="K719" s="1"/>
      <x:c r="L719" s="1"/>
      <x:c r="M719" s="1"/>
      <x:c r="N719" s="1"/>
      <x:c r="O719" s="1"/>
    </x:row>
    <x:row r="720">
      <x:c r="A720" s="1" t="str">
        <x:v>S0719</x:v>
      </x:c>
      <x:c r="B720" s="1" t="str">
        <x:v>12</x:v>
      </x:c>
      <x:c r="C720" s="1" t="str">
        <x:v>basic</x:v>
      </x:c>
      <x:c r="D720" s="1" t="str">
        <x:v>9.99</x:v>
      </x:c>
      <x:c r="E720" s="1" t="str">
        <x:v>0</x:v>
      </x:c>
      <x:c r="F720" s="1" t="str">
        <x:v>16</x:v>
      </x:c>
      <x:c r="G720" s="1" t="str">
        <x:v>27</x:v>
      </x:c>
      <x:c r="H720" s="1" t="str">
        <x:v>0</x:v>
      </x:c>
      <x:c r="I720" s="1" t="str">
        <x:v>0</x:v>
      </x:c>
      <x:c r="J720" s="1" t="str">
        <x:v>no</x:v>
      </x:c>
      <x:c r="K720" s="1"/>
      <x:c r="L720" s="1"/>
      <x:c r="M720" s="1"/>
      <x:c r="N720" s="1"/>
      <x:c r="O720" s="1"/>
    </x:row>
    <x:row r="721">
      <x:c r="A721" s="1" t="str">
        <x:v>S0720</x:v>
      </x:c>
      <x:c r="B721" s="1" t="str">
        <x:v>46</x:v>
      </x:c>
      <x:c r="C721" s="1" t="str">
        <x:v>basic</x:v>
      </x:c>
      <x:c r="D721" s="1" t="str">
        <x:v>9.99</x:v>
      </x:c>
      <x:c r="E721" s="1" t="str">
        <x:v>0</x:v>
      </x:c>
      <x:c r="F721" s="1" t="str">
        <x:v>0</x:v>
      </x:c>
      <x:c r="G721" s="1" t="str">
        <x:v>38</x:v>
      </x:c>
      <x:c r="H721" s="1" t="str">
        <x:v>0</x:v>
      </x:c>
      <x:c r="I721" s="1" t="str">
        <x:v>0</x:v>
      </x:c>
      <x:c r="J721" s="1" t="str">
        <x:v>no</x:v>
      </x:c>
      <x:c r="K721" s="1"/>
      <x:c r="L721" s="1"/>
      <x:c r="M721" s="1"/>
      <x:c r="N721" s="1"/>
      <x:c r="O721" s="1"/>
    </x:row>
    <x:row r="722">
      <x:c r="A722" s="1" t="str">
        <x:v>S0721</x:v>
      </x:c>
      <x:c r="B722" s="1" t="str">
        <x:v>25</x:v>
      </x:c>
      <x:c r="C722" s="1" t="str">
        <x:v>basic</x:v>
      </x:c>
      <x:c r="D722" s="1" t="str">
        <x:v>9.99</x:v>
      </x:c>
      <x:c r="E722" s="1" t="str">
        <x:v>2</x:v>
      </x:c>
      <x:c r="F722" s="1" t="str">
        <x:v>0</x:v>
      </x:c>
      <x:c r="G722" s="1" t="str">
        <x:v>52</x:v>
      </x:c>
      <x:c r="H722" s="1" t="str">
        <x:v>1</x:v>
      </x:c>
      <x:c r="I722" s="1" t="str">
        <x:v>0</x:v>
      </x:c>
      <x:c r="J722" s="1" t="str">
        <x:v>yes</x:v>
      </x:c>
      <x:c r="K722" s="1"/>
      <x:c r="L722" s="1"/>
      <x:c r="M722" s="1"/>
      <x:c r="N722" s="1"/>
      <x:c r="O722" s="1"/>
    </x:row>
    <x:row r="723">
      <x:c r="A723" s="1" t="str">
        <x:v>S0722</x:v>
      </x:c>
      <x:c r="B723" s="1" t="str">
        <x:v>36</x:v>
      </x:c>
      <x:c r="C723" s="1" t="str">
        <x:v>premium</x:v>
      </x:c>
      <x:c r="D723" s="1" t="str">
        <x:v>15.99</x:v>
      </x:c>
      <x:c r="E723" s="1" t="str">
        <x:v>0</x:v>
      </x:c>
      <x:c r="F723" s="1" t="str">
        <x:v>1</x:v>
      </x:c>
      <x:c r="G723" s="1" t="str">
        <x:v>27</x:v>
      </x:c>
      <x:c r="H723" s="1" t="str">
        <x:v>0</x:v>
      </x:c>
      <x:c r="I723" s="1" t="str">
        <x:v>1</x:v>
      </x:c>
      <x:c r="J723" s="1" t="str">
        <x:v>no</x:v>
      </x:c>
      <x:c r="K723" s="1"/>
      <x:c r="L723" s="1"/>
      <x:c r="M723" s="1"/>
      <x:c r="N723" s="1"/>
      <x:c r="O723" s="1"/>
    </x:row>
    <x:row r="724">
      <x:c r="A724" s="1" t="str">
        <x:v>S0723</x:v>
      </x:c>
      <x:c r="B724" s="1" t="str">
        <x:v>14</x:v>
      </x:c>
      <x:c r="C724" s="1" t="str">
        <x:v>basic</x:v>
      </x:c>
      <x:c r="D724" s="1" t="str">
        <x:v>9.99</x:v>
      </x:c>
      <x:c r="E724" s="1" t="str">
        <x:v>3</x:v>
      </x:c>
      <x:c r="F724" s="1" t="str">
        <x:v>19</x:v>
      </x:c>
      <x:c r="G724" s="1" t="str">
        <x:v>1</x:v>
      </x:c>
      <x:c r="H724" s="1" t="str">
        <x:v>0</x:v>
      </x:c>
      <x:c r="I724" s="1" t="str">
        <x:v>0</x:v>
      </x:c>
      <x:c r="J724" s="1" t="str">
        <x:v>no</x:v>
      </x:c>
      <x:c r="K724" s="1"/>
      <x:c r="L724" s="1"/>
      <x:c r="M724" s="1"/>
      <x:c r="N724" s="1"/>
      <x:c r="O724" s="1"/>
    </x:row>
    <x:row r="725">
      <x:c r="A725" s="1" t="str">
        <x:v>S0724</x:v>
      </x:c>
      <x:c r="B725" s="1" t="str">
        <x:v>24</x:v>
      </x:c>
      <x:c r="C725" s="1" t="str">
        <x:v>basic</x:v>
      </x:c>
      <x:c r="D725" s="1" t="str">
        <x:v>9.99</x:v>
      </x:c>
      <x:c r="E725" s="1" t="str">
        <x:v>0</x:v>
      </x:c>
      <x:c r="F725" s="1" t="str">
        <x:v>15</x:v>
      </x:c>
      <x:c r="G725" s="1" t="str">
        <x:v>19</x:v>
      </x:c>
      <x:c r="H725" s="1" t="str">
        <x:v>0</x:v>
      </x:c>
      <x:c r="I725" s="1" t="str">
        <x:v>0</x:v>
      </x:c>
      <x:c r="J725" s="1" t="str">
        <x:v>no</x:v>
      </x:c>
      <x:c r="K725" s="1"/>
      <x:c r="L725" s="1"/>
      <x:c r="M725" s="1"/>
      <x:c r="N725" s="1"/>
      <x:c r="O725" s="1"/>
    </x:row>
    <x:row r="726">
      <x:c r="A726" s="1" t="str">
        <x:v>S0725</x:v>
      </x:c>
      <x:c r="B726" s="1" t="str">
        <x:v>1</x:v>
      </x:c>
      <x:c r="C726" s="1" t="str">
        <x:v>premium</x:v>
      </x:c>
      <x:c r="D726" s="1" t="str">
        <x:v>15.99</x:v>
      </x:c>
      <x:c r="E726" s="1" t="str">
        <x:v>0</x:v>
      </x:c>
      <x:c r="F726" s="1" t="str">
        <x:v>20</x:v>
      </x:c>
      <x:c r="G726" s="1" t="str">
        <x:v>7</x:v>
      </x:c>
      <x:c r="H726" s="1" t="str">
        <x:v>0</x:v>
      </x:c>
      <x:c r="I726" s="1" t="str">
        <x:v>0</x:v>
      </x:c>
      <x:c r="J726" s="1" t="str">
        <x:v>no</x:v>
      </x:c>
      <x:c r="K726" s="1"/>
      <x:c r="L726" s="1"/>
      <x:c r="M726" s="1"/>
      <x:c r="N726" s="1"/>
      <x:c r="O726" s="1"/>
    </x:row>
    <x:row r="727">
      <x:c r="A727" s="1" t="str">
        <x:v>S0726</x:v>
      </x:c>
      <x:c r="B727" s="1" t="str">
        <x:v>25</x:v>
      </x:c>
      <x:c r="C727" s="1" t="str">
        <x:v>basic</x:v>
      </x:c>
      <x:c r="D727" s="1" t="str">
        <x:v>9.99</x:v>
      </x:c>
      <x:c r="E727" s="1" t="str">
        <x:v>1</x:v>
      </x:c>
      <x:c r="F727" s="1" t="str">
        <x:v>0</x:v>
      </x:c>
      <x:c r="G727" s="1" t="str">
        <x:v>51</x:v>
      </x:c>
      <x:c r="H727" s="1" t="str">
        <x:v>0</x:v>
      </x:c>
      <x:c r="I727" s="1" t="str">
        <x:v>0</x:v>
      </x:c>
      <x:c r="J727" s="1" t="str">
        <x:v>no</x:v>
      </x:c>
      <x:c r="K727" s="1"/>
      <x:c r="L727" s="1"/>
      <x:c r="M727" s="1"/>
      <x:c r="N727" s="1"/>
      <x:c r="O727" s="1"/>
    </x:row>
    <x:row r="728">
      <x:c r="A728" s="1" t="str">
        <x:v>S0727</x:v>
      </x:c>
      <x:c r="B728" s="1" t="str">
        <x:v>47</x:v>
      </x:c>
      <x:c r="C728" s="1" t="str">
        <x:v>premium</x:v>
      </x:c>
      <x:c r="D728" s="1" t="str">
        <x:v>15.99</x:v>
      </x:c>
      <x:c r="E728" s="1" t="str">
        <x:v>0</x:v>
      </x:c>
      <x:c r="F728" s="1" t="str">
        <x:v>26</x:v>
      </x:c>
      <x:c r="G728" s="1" t="str">
        <x:v>3</x:v>
      </x:c>
      <x:c r="H728" s="1" t="str">
        <x:v>0</x:v>
      </x:c>
      <x:c r="I728" s="1" t="str">
        <x:v>1</x:v>
      </x:c>
      <x:c r="J728" s="1" t="str">
        <x:v>no</x:v>
      </x:c>
      <x:c r="K728" s="1"/>
      <x:c r="L728" s="1"/>
      <x:c r="M728" s="1"/>
      <x:c r="N728" s="1"/>
      <x:c r="O728" s="1"/>
    </x:row>
    <x:row r="729">
      <x:c r="A729" s="1" t="str">
        <x:v>S0728</x:v>
      </x:c>
      <x:c r="B729" s="1" t="str">
        <x:v>6</x:v>
      </x:c>
      <x:c r="C729" s="1" t="str">
        <x:v>basic</x:v>
      </x:c>
      <x:c r="D729" s="1" t="str">
        <x:v>9.99</x:v>
      </x:c>
      <x:c r="E729" s="1" t="str">
        <x:v>1</x:v>
      </x:c>
      <x:c r="F729" s="1" t="str">
        <x:v>20</x:v>
      </x:c>
      <x:c r="G729" s="1" t="str">
        <x:v>28</x:v>
      </x:c>
      <x:c r="H729" s="1" t="str">
        <x:v>0</x:v>
      </x:c>
      <x:c r="I729" s="1" t="str">
        <x:v>0</x:v>
      </x:c>
      <x:c r="J729" s="1" t="str">
        <x:v>no</x:v>
      </x:c>
      <x:c r="K729" s="1"/>
      <x:c r="L729" s="1"/>
      <x:c r="M729" s="1"/>
      <x:c r="N729" s="1"/>
      <x:c r="O729" s="1"/>
    </x:row>
    <x:row r="730">
      <x:c r="A730" s="1" t="str">
        <x:v>S0729</x:v>
      </x:c>
      <x:c r="B730" s="1" t="str">
        <x:v>45</x:v>
      </x:c>
      <x:c r="C730" s="1" t="str">
        <x:v>basic</x:v>
      </x:c>
      <x:c r="D730" s="1" t="str">
        <x:v>9.99</x:v>
      </x:c>
      <x:c r="E730" s="1" t="str">
        <x:v>0</x:v>
      </x:c>
      <x:c r="F730" s="1" t="str">
        <x:v>14</x:v>
      </x:c>
      <x:c r="G730" s="1" t="str">
        <x:v>7</x:v>
      </x:c>
      <x:c r="H730" s="1" t="str">
        <x:v>0</x:v>
      </x:c>
      <x:c r="I730" s="1" t="str">
        <x:v>0</x:v>
      </x:c>
      <x:c r="J730" s="1" t="str">
        <x:v>no</x:v>
      </x:c>
      <x:c r="K730" s="1"/>
      <x:c r="L730" s="1"/>
      <x:c r="M730" s="1"/>
      <x:c r="N730" s="1"/>
      <x:c r="O730" s="1"/>
    </x:row>
    <x:row r="731">
      <x:c r="A731" s="1" t="str">
        <x:v>S0730</x:v>
      </x:c>
      <x:c r="B731" s="1" t="str">
        <x:v>31</x:v>
      </x:c>
      <x:c r="C731" s="1" t="str">
        <x:v>premium</x:v>
      </x:c>
      <x:c r="D731" s="1" t="str">
        <x:v>15.99</x:v>
      </x:c>
      <x:c r="E731" s="1" t="str">
        <x:v>0</x:v>
      </x:c>
      <x:c r="F731" s="1" t="str">
        <x:v>32</x:v>
      </x:c>
      <x:c r="G731" s="1" t="str">
        <x:v>5</x:v>
      </x:c>
      <x:c r="H731" s="1" t="str">
        <x:v>0</x:v>
      </x:c>
      <x:c r="I731" s="1" t="str">
        <x:v>1</x:v>
      </x:c>
      <x:c r="J731" s="1" t="str">
        <x:v>no</x:v>
      </x:c>
      <x:c r="K731" s="1"/>
      <x:c r="L731" s="1"/>
      <x:c r="M731" s="1"/>
      <x:c r="N731" s="1"/>
      <x:c r="O731" s="1"/>
    </x:row>
    <x:row r="732">
      <x:c r="A732" s="1" t="str">
        <x:v>S0731</x:v>
      </x:c>
      <x:c r="B732" s="1" t="str">
        <x:v>2</x:v>
      </x:c>
      <x:c r="C732" s="1" t="str">
        <x:v>basic</x:v>
      </x:c>
      <x:c r="D732" s="1" t="str">
        <x:v>9.99</x:v>
      </x:c>
      <x:c r="E732" s="1" t="str">
        <x:v>1</x:v>
      </x:c>
      <x:c r="F732" s="1" t="str">
        <x:v>15</x:v>
      </x:c>
      <x:c r="G732" s="1" t="str">
        <x:v>22</x:v>
      </x:c>
      <x:c r="H732" s="1" t="str">
        <x:v>0</x:v>
      </x:c>
      <x:c r="I732" s="1" t="str">
        <x:v>1</x:v>
      </x:c>
      <x:c r="J732" s="1" t="str">
        <x:v>no</x:v>
      </x:c>
      <x:c r="K732" s="1"/>
      <x:c r="L732" s="1"/>
      <x:c r="M732" s="1"/>
      <x:c r="N732" s="1"/>
      <x:c r="O732" s="1"/>
    </x:row>
    <x:row r="733">
      <x:c r="A733" s="1" t="str">
        <x:v>S0732</x:v>
      </x:c>
      <x:c r="B733" s="1" t="str">
        <x:v>34</x:v>
      </x:c>
      <x:c r="C733" s="1" t="str">
        <x:v>basic</x:v>
      </x:c>
      <x:c r="D733" s="1" t="str">
        <x:v>9.99</x:v>
      </x:c>
      <x:c r="E733" s="1" t="str">
        <x:v>0</x:v>
      </x:c>
      <x:c r="F733" s="1" t="str">
        <x:v>9</x:v>
      </x:c>
      <x:c r="G733" s="1" t="str">
        <x:v>21</x:v>
      </x:c>
      <x:c r="H733" s="1" t="str">
        <x:v>0</x:v>
      </x:c>
      <x:c r="I733" s="1" t="str">
        <x:v>0</x:v>
      </x:c>
      <x:c r="J733" s="1" t="str">
        <x:v>no</x:v>
      </x:c>
      <x:c r="K733" s="1"/>
      <x:c r="L733" s="1"/>
      <x:c r="M733" s="1"/>
      <x:c r="N733" s="1"/>
      <x:c r="O733" s="1"/>
    </x:row>
    <x:row r="734">
      <x:c r="A734" s="1" t="str">
        <x:v>S0733</x:v>
      </x:c>
      <x:c r="B734" s="1" t="str">
        <x:v>48</x:v>
      </x:c>
      <x:c r="C734" s="1" t="str">
        <x:v>basic</x:v>
      </x:c>
      <x:c r="D734" s="1" t="str">
        <x:v>9.99</x:v>
      </x:c>
      <x:c r="E734" s="1" t="str">
        <x:v>1</x:v>
      </x:c>
      <x:c r="F734" s="1" t="str">
        <x:v>0</x:v>
      </x:c>
      <x:c r="G734" s="1" t="str">
        <x:v>47</x:v>
      </x:c>
      <x:c r="H734" s="1" t="str">
        <x:v>0</x:v>
      </x:c>
      <x:c r="I734" s="1" t="str">
        <x:v>0</x:v>
      </x:c>
      <x:c r="J734" s="1" t="str">
        <x:v>yes</x:v>
      </x:c>
      <x:c r="K734" s="1"/>
      <x:c r="L734" s="1"/>
      <x:c r="M734" s="1"/>
      <x:c r="N734" s="1"/>
      <x:c r="O734" s="1"/>
    </x:row>
    <x:row r="735">
      <x:c r="A735" s="1" t="str">
        <x:v>S0734</x:v>
      </x:c>
      <x:c r="B735" s="1" t="str">
        <x:v>32</x:v>
      </x:c>
      <x:c r="C735" s="1" t="str">
        <x:v>basic</x:v>
      </x:c>
      <x:c r="D735" s="1" t="str">
        <x:v>9.99</x:v>
      </x:c>
      <x:c r="E735" s="1" t="str">
        <x:v>4</x:v>
      </x:c>
      <x:c r="F735" s="1" t="str">
        <x:v>8</x:v>
      </x:c>
      <x:c r="G735" s="1" t="str">
        <x:v>16</x:v>
      </x:c>
      <x:c r="H735" s="1" t="str">
        <x:v>0</x:v>
      </x:c>
      <x:c r="I735" s="1" t="str">
        <x:v>1</x:v>
      </x:c>
      <x:c r="J735" s="1" t="str">
        <x:v>no</x:v>
      </x:c>
      <x:c r="K735" s="1"/>
      <x:c r="L735" s="1"/>
      <x:c r="M735" s="1"/>
      <x:c r="N735" s="1"/>
      <x:c r="O735" s="1"/>
    </x:row>
    <x:row r="736">
      <x:c r="A736" s="1" t="str">
        <x:v>S0735</x:v>
      </x:c>
      <x:c r="B736" s="1" t="str">
        <x:v>38</x:v>
      </x:c>
      <x:c r="C736" s="1" t="str">
        <x:v>basic</x:v>
      </x:c>
      <x:c r="D736" s="1" t="str">
        <x:v>9.99</x:v>
      </x:c>
      <x:c r="E736" s="1" t="str">
        <x:v>2</x:v>
      </x:c>
      <x:c r="F736" s="1" t="str">
        <x:v>19</x:v>
      </x:c>
      <x:c r="G736" s="1" t="str">
        <x:v>0</x:v>
      </x:c>
      <x:c r="H736" s="1" t="str">
        <x:v>0</x:v>
      </x:c>
      <x:c r="I736" s="1" t="str">
        <x:v>0</x:v>
      </x:c>
      <x:c r="J736" s="1" t="str">
        <x:v>no</x:v>
      </x:c>
      <x:c r="K736" s="1"/>
      <x:c r="L736" s="1"/>
      <x:c r="M736" s="1"/>
      <x:c r="N736" s="1"/>
      <x:c r="O736" s="1"/>
    </x:row>
    <x:row r="737">
      <x:c r="A737" s="1" t="str">
        <x:v>S0736</x:v>
      </x:c>
      <x:c r="B737" s="1" t="str">
        <x:v>2</x:v>
      </x:c>
      <x:c r="C737" s="1" t="str">
        <x:v>basic</x:v>
      </x:c>
      <x:c r="D737" s="1" t="str">
        <x:v>9.99</x:v>
      </x:c>
      <x:c r="E737" s="1" t="str">
        <x:v>0</x:v>
      </x:c>
      <x:c r="F737" s="1" t="str">
        <x:v>19</x:v>
      </x:c>
      <x:c r="G737" s="1" t="str">
        <x:v>3</x:v>
      </x:c>
      <x:c r="H737" s="1" t="str">
        <x:v>0</x:v>
      </x:c>
      <x:c r="I737" s="1" t="str">
        <x:v>1</x:v>
      </x:c>
      <x:c r="J737" s="1" t="str">
        <x:v>no</x:v>
      </x:c>
      <x:c r="K737" s="1"/>
      <x:c r="L737" s="1"/>
      <x:c r="M737" s="1"/>
      <x:c r="N737" s="1"/>
      <x:c r="O737" s="1"/>
    </x:row>
    <x:row r="738">
      <x:c r="A738" s="1" t="str">
        <x:v>S0737</x:v>
      </x:c>
      <x:c r="B738" s="1" t="str">
        <x:v>19</x:v>
      </x:c>
      <x:c r="C738" s="1" t="str">
        <x:v>basic</x:v>
      </x:c>
      <x:c r="D738" s="1" t="str">
        <x:v>9.99</x:v>
      </x:c>
      <x:c r="E738" s="1" t="str">
        <x:v>0</x:v>
      </x:c>
      <x:c r="F738" s="1" t="str">
        <x:v>1</x:v>
      </x:c>
      <x:c r="G738" s="1" t="str">
        <x:v>18</x:v>
      </x:c>
      <x:c r="H738" s="1" t="str">
        <x:v>0</x:v>
      </x:c>
      <x:c r="I738" s="1" t="str">
        <x:v>1</x:v>
      </x:c>
      <x:c r="J738" s="1" t="str">
        <x:v>yes</x:v>
      </x:c>
      <x:c r="K738" s="1"/>
      <x:c r="L738" s="1"/>
      <x:c r="M738" s="1"/>
      <x:c r="N738" s="1"/>
      <x:c r="O738" s="1"/>
    </x:row>
    <x:row r="739">
      <x:c r="A739" s="1" t="str">
        <x:v>S0738</x:v>
      </x:c>
      <x:c r="B739" s="1" t="str">
        <x:v>42</x:v>
      </x:c>
      <x:c r="C739" s="1" t="str">
        <x:v>basic</x:v>
      </x:c>
      <x:c r="D739" s="1" t="str">
        <x:v>9.99</x:v>
      </x:c>
      <x:c r="E739" s="1" t="str">
        <x:v>0</x:v>
      </x:c>
      <x:c r="F739" s="1" t="str">
        <x:v>0</x:v>
      </x:c>
      <x:c r="G739" s="1" t="str">
        <x:v>38</x:v>
      </x:c>
      <x:c r="H739" s="1" t="str">
        <x:v>1</x:v>
      </x:c>
      <x:c r="I739" s="1" t="str">
        <x:v>0</x:v>
      </x:c>
      <x:c r="J739" s="1" t="str">
        <x:v>yes</x:v>
      </x:c>
      <x:c r="K739" s="1"/>
      <x:c r="L739" s="1"/>
      <x:c r="M739" s="1"/>
      <x:c r="N739" s="1"/>
      <x:c r="O739" s="1"/>
    </x:row>
    <x:row r="740">
      <x:c r="A740" s="1" t="str">
        <x:v>S0739</x:v>
      </x:c>
      <x:c r="B740" s="1" t="str">
        <x:v>42</x:v>
      </x:c>
      <x:c r="C740" s="1" t="str">
        <x:v>premium</x:v>
      </x:c>
      <x:c r="D740" s="1" t="str">
        <x:v>15.99</x:v>
      </x:c>
      <x:c r="E740" s="1" t="str">
        <x:v>2</x:v>
      </x:c>
      <x:c r="F740" s="1" t="str">
        <x:v>25</x:v>
      </x:c>
      <x:c r="G740" s="1" t="str">
        <x:v>2</x:v>
      </x:c>
      <x:c r="H740" s="1" t="str">
        <x:v>0</x:v>
      </x:c>
      <x:c r="I740" s="1" t="str">
        <x:v>0</x:v>
      </x:c>
      <x:c r="J740" s="1" t="str">
        <x:v>no</x:v>
      </x:c>
      <x:c r="K740" s="1"/>
      <x:c r="L740" s="1"/>
      <x:c r="M740" s="1"/>
      <x:c r="N740" s="1"/>
      <x:c r="O740" s="1"/>
    </x:row>
    <x:row r="741">
      <x:c r="A741" s="1" t="str">
        <x:v>S0740</x:v>
      </x:c>
      <x:c r="B741" s="1" t="str">
        <x:v>22</x:v>
      </x:c>
      <x:c r="C741" s="1" t="str">
        <x:v>premium</x:v>
      </x:c>
      <x:c r="D741" s="1" t="str">
        <x:v>15.99</x:v>
      </x:c>
      <x:c r="E741" s="1" t="str">
        <x:v>0</x:v>
      </x:c>
      <x:c r="F741" s="1" t="str">
        <x:v>0</x:v>
      </x:c>
      <x:c r="G741" s="1" t="str">
        <x:v>36</x:v>
      </x:c>
      <x:c r="H741" s="1" t="str">
        <x:v>2</x:v>
      </x:c>
      <x:c r="I741" s="1" t="str">
        <x:v>1</x:v>
      </x:c>
      <x:c r="J741" s="1" t="str">
        <x:v>yes</x:v>
      </x:c>
      <x:c r="K741" s="1"/>
      <x:c r="L741" s="1"/>
      <x:c r="M741" s="1"/>
      <x:c r="N741" s="1"/>
      <x:c r="O741" s="1"/>
    </x:row>
    <x:row r="742">
      <x:c r="A742" s="1" t="str">
        <x:v>S0741</x:v>
      </x:c>
      <x:c r="B742" s="1" t="str">
        <x:v>25</x:v>
      </x:c>
      <x:c r="C742" s="1" t="str">
        <x:v>premium</x:v>
      </x:c>
      <x:c r="D742" s="1" t="str">
        <x:v>15.99</x:v>
      </x:c>
      <x:c r="E742" s="1" t="str">
        <x:v>0</x:v>
      </x:c>
      <x:c r="F742" s="1" t="str">
        <x:v>12</x:v>
      </x:c>
      <x:c r="G742" s="1" t="str">
        <x:v>27</x:v>
      </x:c>
      <x:c r="H742" s="1" t="str">
        <x:v>0</x:v>
      </x:c>
      <x:c r="I742" s="1" t="str">
        <x:v>0</x:v>
      </x:c>
      <x:c r="J742" s="1" t="str">
        <x:v>no</x:v>
      </x:c>
      <x:c r="K742" s="1"/>
      <x:c r="L742" s="1"/>
      <x:c r="M742" s="1"/>
      <x:c r="N742" s="1"/>
      <x:c r="O742" s="1"/>
    </x:row>
    <x:row r="743">
      <x:c r="A743" s="1" t="str">
        <x:v>S0742</x:v>
      </x:c>
      <x:c r="B743" s="1" t="str">
        <x:v>36</x:v>
      </x:c>
      <x:c r="C743" s="1" t="str">
        <x:v>basic</x:v>
      </x:c>
      <x:c r="D743" s="1" t="str">
        <x:v>9.99</x:v>
      </x:c>
      <x:c r="E743" s="1" t="str">
        <x:v>1</x:v>
      </x:c>
      <x:c r="F743" s="1" t="str">
        <x:v>6</x:v>
      </x:c>
      <x:c r="G743" s="1" t="str">
        <x:v>29</x:v>
      </x:c>
      <x:c r="H743" s="1" t="str">
        <x:v>0</x:v>
      </x:c>
      <x:c r="I743" s="1" t="str">
        <x:v>0</x:v>
      </x:c>
      <x:c r="J743" s="1" t="str">
        <x:v>no</x:v>
      </x:c>
      <x:c r="K743" s="1"/>
      <x:c r="L743" s="1"/>
      <x:c r="M743" s="1"/>
      <x:c r="N743" s="1"/>
      <x:c r="O743" s="1"/>
    </x:row>
    <x:row r="744">
      <x:c r="A744" s="1" t="str">
        <x:v>S0743</x:v>
      </x:c>
      <x:c r="B744" s="1" t="str">
        <x:v>37</x:v>
      </x:c>
      <x:c r="C744" s="1" t="str">
        <x:v>premium</x:v>
      </x:c>
      <x:c r="D744" s="1" t="str">
        <x:v>15.99</x:v>
      </x:c>
      <x:c r="E744" s="1" t="str">
        <x:v>0</x:v>
      </x:c>
      <x:c r="F744" s="1" t="str">
        <x:v>20</x:v>
      </x:c>
      <x:c r="G744" s="1" t="str">
        <x:v>2</x:v>
      </x:c>
      <x:c r="H744" s="1" t="str">
        <x:v>0</x:v>
      </x:c>
      <x:c r="I744" s="1" t="str">
        <x:v>0</x:v>
      </x:c>
      <x:c r="J744" s="1" t="str">
        <x:v>no</x:v>
      </x:c>
      <x:c r="K744" s="1"/>
      <x:c r="L744" s="1"/>
      <x:c r="M744" s="1"/>
      <x:c r="N744" s="1"/>
      <x:c r="O744" s="1"/>
    </x:row>
    <x:row r="745">
      <x:c r="A745" s="1" t="str">
        <x:v>S0744</x:v>
      </x:c>
      <x:c r="B745" s="1" t="str">
        <x:v>41</x:v>
      </x:c>
      <x:c r="C745" s="1" t="str">
        <x:v>basic</x:v>
      </x:c>
      <x:c r="D745" s="1" t="str">
        <x:v>9.99</x:v>
      </x:c>
      <x:c r="E745" s="1" t="str">
        <x:v>0</x:v>
      </x:c>
      <x:c r="F745" s="1" t="str">
        <x:v>15</x:v>
      </x:c>
      <x:c r="G745" s="1" t="str">
        <x:v>17</x:v>
      </x:c>
      <x:c r="H745" s="1" t="str">
        <x:v>1</x:v>
      </x:c>
      <x:c r="I745" s="1" t="str">
        <x:v>0</x:v>
      </x:c>
      <x:c r="J745" s="1" t="str">
        <x:v>yes</x:v>
      </x:c>
      <x:c r="K745" s="1"/>
      <x:c r="L745" s="1"/>
      <x:c r="M745" s="1"/>
      <x:c r="N745" s="1"/>
      <x:c r="O745" s="1"/>
    </x:row>
    <x:row r="746">
      <x:c r="A746" s="1" t="str">
        <x:v>S0745</x:v>
      </x:c>
      <x:c r="B746" s="1" t="str">
        <x:v>42</x:v>
      </x:c>
      <x:c r="C746" s="1" t="str">
        <x:v>basic</x:v>
      </x:c>
      <x:c r="D746" s="1" t="str">
        <x:v>9.99</x:v>
      </x:c>
      <x:c r="E746" s="1" t="str">
        <x:v>0</x:v>
      </x:c>
      <x:c r="F746" s="1" t="str">
        <x:v>19</x:v>
      </x:c>
      <x:c r="G746" s="1" t="str">
        <x:v>2</x:v>
      </x:c>
      <x:c r="H746" s="1" t="str">
        <x:v>0</x:v>
      </x:c>
      <x:c r="I746" s="1" t="str">
        <x:v>1</x:v>
      </x:c>
      <x:c r="J746" s="1" t="str">
        <x:v>no</x:v>
      </x:c>
      <x:c r="K746" s="1"/>
      <x:c r="L746" s="1"/>
      <x:c r="M746" s="1"/>
      <x:c r="N746" s="1"/>
      <x:c r="O746" s="1"/>
    </x:row>
    <x:row r="747">
      <x:c r="A747" s="1" t="str">
        <x:v>S0746</x:v>
      </x:c>
      <x:c r="B747" s="1" t="str">
        <x:v>48</x:v>
      </x:c>
      <x:c r="C747" s="1" t="str">
        <x:v>basic</x:v>
      </x:c>
      <x:c r="D747" s="1" t="str">
        <x:v>9.99</x:v>
      </x:c>
      <x:c r="E747" s="1" t="str">
        <x:v>2</x:v>
      </x:c>
      <x:c r="F747" s="1" t="str">
        <x:v>16</x:v>
      </x:c>
      <x:c r="G747" s="1" t="str">
        <x:v>4</x:v>
      </x:c>
      <x:c r="H747" s="1" t="str">
        <x:v>0</x:v>
      </x:c>
      <x:c r="I747" s="1" t="str">
        <x:v>0</x:v>
      </x:c>
      <x:c r="J747" s="1" t="str">
        <x:v>no</x:v>
      </x:c>
      <x:c r="K747" s="1"/>
      <x:c r="L747" s="1"/>
      <x:c r="M747" s="1"/>
      <x:c r="N747" s="1"/>
      <x:c r="O747" s="1"/>
    </x:row>
    <x:row r="748">
      <x:c r="A748" s="1" t="str">
        <x:v>S0747</x:v>
      </x:c>
      <x:c r="B748" s="1" t="str">
        <x:v>36</x:v>
      </x:c>
      <x:c r="C748" s="1" t="str">
        <x:v>basic</x:v>
      </x:c>
      <x:c r="D748" s="1" t="str">
        <x:v>9.99</x:v>
      </x:c>
      <x:c r="E748" s="1" t="str">
        <x:v>0</x:v>
      </x:c>
      <x:c r="F748" s="1" t="str">
        <x:v>17</x:v>
      </x:c>
      <x:c r="G748" s="1" t="str">
        <x:v>11</x:v>
      </x:c>
      <x:c r="H748" s="1" t="str">
        <x:v>0</x:v>
      </x:c>
      <x:c r="I748" s="1" t="str">
        <x:v>0</x:v>
      </x:c>
      <x:c r="J748" s="1" t="str">
        <x:v>no</x:v>
      </x:c>
      <x:c r="K748" s="1"/>
      <x:c r="L748" s="1"/>
      <x:c r="M748" s="1"/>
      <x:c r="N748" s="1"/>
      <x:c r="O748" s="1"/>
    </x:row>
    <x:row r="749">
      <x:c r="A749" s="1" t="str">
        <x:v>S0748</x:v>
      </x:c>
      <x:c r="B749" s="1" t="str">
        <x:v>13</x:v>
      </x:c>
      <x:c r="C749" s="1" t="str">
        <x:v>basic</x:v>
      </x:c>
      <x:c r="D749" s="1" t="str">
        <x:v>9.99</x:v>
      </x:c>
      <x:c r="E749" s="1" t="str">
        <x:v>1</x:v>
      </x:c>
      <x:c r="F749" s="1" t="str">
        <x:v>8</x:v>
      </x:c>
      <x:c r="G749" s="1" t="str">
        <x:v>26</x:v>
      </x:c>
      <x:c r="H749" s="1" t="str">
        <x:v>0</x:v>
      </x:c>
      <x:c r="I749" s="1" t="str">
        <x:v>1</x:v>
      </x:c>
      <x:c r="J749" s="1" t="str">
        <x:v>yes</x:v>
      </x:c>
      <x:c r="K749" s="1"/>
      <x:c r="L749" s="1"/>
      <x:c r="M749" s="1"/>
      <x:c r="N749" s="1"/>
      <x:c r="O749" s="1"/>
    </x:row>
    <x:row r="750">
      <x:c r="A750" s="1" t="str">
        <x:v>S0749</x:v>
      </x:c>
      <x:c r="B750" s="1" t="str">
        <x:v>46</x:v>
      </x:c>
      <x:c r="C750" s="1" t="str">
        <x:v>basic</x:v>
      </x:c>
      <x:c r="D750" s="1" t="str">
        <x:v>9.99</x:v>
      </x:c>
      <x:c r="E750" s="1" t="str">
        <x:v>1</x:v>
      </x:c>
      <x:c r="F750" s="1" t="str">
        <x:v>0</x:v>
      </x:c>
      <x:c r="G750" s="1" t="str">
        <x:v>55</x:v>
      </x:c>
      <x:c r="H750" s="1" t="str">
        <x:v>0</x:v>
      </x:c>
      <x:c r="I750" s="1" t="str">
        <x:v>0</x:v>
      </x:c>
      <x:c r="J750" s="1" t="str">
        <x:v>no</x:v>
      </x:c>
      <x:c r="K750" s="1"/>
      <x:c r="L750" s="1"/>
      <x:c r="M750" s="1"/>
      <x:c r="N750" s="1"/>
      <x:c r="O750" s="1"/>
    </x:row>
    <x:row r="751">
      <x:c r="A751" s="1" t="str">
        <x:v>S0750</x:v>
      </x:c>
      <x:c r="B751" s="1" t="str">
        <x:v>35</x:v>
      </x:c>
      <x:c r="C751" s="1" t="str">
        <x:v>premium</x:v>
      </x:c>
      <x:c r="D751" s="1" t="str">
        <x:v>15.99</x:v>
      </x:c>
      <x:c r="E751" s="1" t="str">
        <x:v>2</x:v>
      </x:c>
      <x:c r="F751" s="1" t="str">
        <x:v>0</x:v>
      </x:c>
      <x:c r="G751" s="1" t="str">
        <x:v>59</x:v>
      </x:c>
      <x:c r="H751" s="1" t="str">
        <x:v>0</x:v>
      </x:c>
      <x:c r="I751" s="1" t="str">
        <x:v>0</x:v>
      </x:c>
      <x:c r="J751" s="1" t="str">
        <x:v>no</x:v>
      </x:c>
      <x:c r="K751" s="1"/>
      <x:c r="L751" s="1"/>
      <x:c r="M751" s="1"/>
      <x:c r="N751" s="1"/>
      <x:c r="O751" s="1"/>
    </x:row>
    <x:row r="752">
      <x:c r="A752" s="1" t="str">
        <x:v>S0751</x:v>
      </x:c>
      <x:c r="B752" s="1" t="str">
        <x:v>9</x:v>
      </x:c>
      <x:c r="C752" s="1" t="str">
        <x:v>basic</x:v>
      </x:c>
      <x:c r="D752" s="1" t="str">
        <x:v>9.99</x:v>
      </x:c>
      <x:c r="E752" s="1" t="str">
        <x:v>0</x:v>
      </x:c>
      <x:c r="F752" s="1" t="str">
        <x:v>15</x:v>
      </x:c>
      <x:c r="G752" s="1" t="str">
        <x:v>16</x:v>
      </x:c>
      <x:c r="H752" s="1" t="str">
        <x:v>0</x:v>
      </x:c>
      <x:c r="I752" s="1" t="str">
        <x:v>0</x:v>
      </x:c>
      <x:c r="J752" s="1" t="str">
        <x:v>no</x:v>
      </x:c>
      <x:c r="K752" s="1"/>
      <x:c r="L752" s="1"/>
      <x:c r="M752" s="1"/>
      <x:c r="N752" s="1"/>
      <x:c r="O752" s="1"/>
    </x:row>
    <x:row r="753">
      <x:c r="A753" s="1" t="str">
        <x:v>S0752</x:v>
      </x:c>
      <x:c r="B753" s="1" t="str">
        <x:v>42</x:v>
      </x:c>
      <x:c r="C753" s="1" t="str">
        <x:v>basic</x:v>
      </x:c>
      <x:c r="D753" s="1" t="str">
        <x:v>9.99</x:v>
      </x:c>
      <x:c r="E753" s="1" t="str">
        <x:v>0</x:v>
      </x:c>
      <x:c r="F753" s="1" t="str">
        <x:v>12</x:v>
      </x:c>
      <x:c r="G753" s="1" t="str">
        <x:v>14</x:v>
      </x:c>
      <x:c r="H753" s="1" t="str">
        <x:v>0</x:v>
      </x:c>
      <x:c r="I753" s="1" t="str">
        <x:v>1</x:v>
      </x:c>
      <x:c r="J753" s="1" t="str">
        <x:v>no</x:v>
      </x:c>
      <x:c r="K753" s="1"/>
      <x:c r="L753" s="1"/>
      <x:c r="M753" s="1"/>
      <x:c r="N753" s="1"/>
      <x:c r="O753" s="1"/>
    </x:row>
    <x:row r="754">
      <x:c r="A754" s="1" t="str">
        <x:v>S0753</x:v>
      </x:c>
      <x:c r="B754" s="1" t="str">
        <x:v>23</x:v>
      </x:c>
      <x:c r="C754" s="1" t="str">
        <x:v>basic</x:v>
      </x:c>
      <x:c r="D754" s="1" t="str">
        <x:v>9.99</x:v>
      </x:c>
      <x:c r="E754" s="1" t="str">
        <x:v>0</x:v>
      </x:c>
      <x:c r="F754" s="1" t="str">
        <x:v>12</x:v>
      </x:c>
      <x:c r="G754" s="1" t="str">
        <x:v>2</x:v>
      </x:c>
      <x:c r="H754" s="1" t="str">
        <x:v>0</x:v>
      </x:c>
      <x:c r="I754" s="1" t="str">
        <x:v>0</x:v>
      </x:c>
      <x:c r="J754" s="1" t="str">
        <x:v>no</x:v>
      </x:c>
      <x:c r="K754" s="1"/>
      <x:c r="L754" s="1"/>
      <x:c r="M754" s="1"/>
      <x:c r="N754" s="1"/>
      <x:c r="O754" s="1"/>
    </x:row>
    <x:row r="755">
      <x:c r="A755" s="1" t="str">
        <x:v>S0754</x:v>
      </x:c>
      <x:c r="B755" s="1" t="str">
        <x:v>21</x:v>
      </x:c>
      <x:c r="C755" s="1" t="str">
        <x:v>basic</x:v>
      </x:c>
      <x:c r="D755" s="1" t="str">
        <x:v>9.99</x:v>
      </x:c>
      <x:c r="E755" s="1" t="str">
        <x:v>2</x:v>
      </x:c>
      <x:c r="F755" s="1" t="str">
        <x:v>17</x:v>
      </x:c>
      <x:c r="G755" s="1" t="str">
        <x:v>6</x:v>
      </x:c>
      <x:c r="H755" s="1" t="str">
        <x:v>0</x:v>
      </x:c>
      <x:c r="I755" s="1" t="str">
        <x:v>0</x:v>
      </x:c>
      <x:c r="J755" s="1" t="str">
        <x:v>no</x:v>
      </x:c>
      <x:c r="K755" s="1"/>
      <x:c r="L755" s="1"/>
      <x:c r="M755" s="1"/>
      <x:c r="N755" s="1"/>
      <x:c r="O755" s="1"/>
    </x:row>
    <x:row r="756">
      <x:c r="A756" s="1" t="str">
        <x:v>S0755</x:v>
      </x:c>
      <x:c r="B756" s="1" t="str">
        <x:v>35</x:v>
      </x:c>
      <x:c r="C756" s="1" t="str">
        <x:v>basic</x:v>
      </x:c>
      <x:c r="D756" s="1" t="str">
        <x:v>9.99</x:v>
      </x:c>
      <x:c r="E756" s="1" t="str">
        <x:v>0</x:v>
      </x:c>
      <x:c r="F756" s="1" t="str">
        <x:v>0</x:v>
      </x:c>
      <x:c r="G756" s="1" t="str">
        <x:v>57</x:v>
      </x:c>
      <x:c r="H756" s="1" t="str">
        <x:v>0</x:v>
      </x:c>
      <x:c r="I756" s="1" t="str">
        <x:v>0</x:v>
      </x:c>
      <x:c r="J756" s="1" t="str">
        <x:v>no</x:v>
      </x:c>
      <x:c r="K756" s="1"/>
      <x:c r="L756" s="1"/>
      <x:c r="M756" s="1"/>
      <x:c r="N756" s="1"/>
      <x:c r="O756" s="1"/>
    </x:row>
    <x:row r="757">
      <x:c r="A757" s="1" t="str">
        <x:v>S0756</x:v>
      </x:c>
      <x:c r="B757" s="1" t="str">
        <x:v>13</x:v>
      </x:c>
      <x:c r="C757" s="1" t="str">
        <x:v>premium</x:v>
      </x:c>
      <x:c r="D757" s="1" t="str">
        <x:v>15.99</x:v>
      </x:c>
      <x:c r="E757" s="1" t="str">
        <x:v>1</x:v>
      </x:c>
      <x:c r="F757" s="1" t="str">
        <x:v>0</x:v>
      </x:c>
      <x:c r="G757" s="1" t="str">
        <x:v>35</x:v>
      </x:c>
      <x:c r="H757" s="1" t="str">
        <x:v>0</x:v>
      </x:c>
      <x:c r="I757" s="1" t="str">
        <x:v>0</x:v>
      </x:c>
      <x:c r="J757" s="1" t="str">
        <x:v>yes</x:v>
      </x:c>
      <x:c r="K757" s="1"/>
      <x:c r="L757" s="1"/>
      <x:c r="M757" s="1"/>
      <x:c r="N757" s="1"/>
      <x:c r="O757" s="1"/>
    </x:row>
    <x:row r="758">
      <x:c r="A758" s="1" t="str">
        <x:v>S0757</x:v>
      </x:c>
      <x:c r="B758" s="1" t="str">
        <x:v>28</x:v>
      </x:c>
      <x:c r="C758" s="1" t="str">
        <x:v>basic</x:v>
      </x:c>
      <x:c r="D758" s="1" t="str">
        <x:v>9.99</x:v>
      </x:c>
      <x:c r="E758" s="1" t="str">
        <x:v>1</x:v>
      </x:c>
      <x:c r="F758" s="1" t="str">
        <x:v>0</x:v>
      </x:c>
      <x:c r="G758" s="1" t="str">
        <x:v>50</x:v>
      </x:c>
      <x:c r="H758" s="1" t="str">
        <x:v>0</x:v>
      </x:c>
      <x:c r="I758" s="1" t="str">
        <x:v>0</x:v>
      </x:c>
      <x:c r="J758" s="1" t="str">
        <x:v>yes</x:v>
      </x:c>
      <x:c r="K758" s="1"/>
      <x:c r="L758" s="1"/>
      <x:c r="M758" s="1"/>
      <x:c r="N758" s="1"/>
      <x:c r="O758" s="1"/>
    </x:row>
    <x:row r="759">
      <x:c r="A759" s="1" t="str">
        <x:v>S0758</x:v>
      </x:c>
      <x:c r="B759" s="1" t="str">
        <x:v>30</x:v>
      </x:c>
      <x:c r="C759" s="1" t="str">
        <x:v>basic</x:v>
      </x:c>
      <x:c r="D759" s="1" t="str">
        <x:v>9.99</x:v>
      </x:c>
      <x:c r="E759" s="1" t="str">
        <x:v>3</x:v>
      </x:c>
      <x:c r="F759" s="1" t="str">
        <x:v>18</x:v>
      </x:c>
      <x:c r="G759" s="1" t="str">
        <x:v>4</x:v>
      </x:c>
      <x:c r="H759" s="1" t="str">
        <x:v>1</x:v>
      </x:c>
      <x:c r="I759" s="1" t="str">
        <x:v>0</x:v>
      </x:c>
      <x:c r="J759" s="1" t="str">
        <x:v>yes</x:v>
      </x:c>
      <x:c r="K759" s="1"/>
      <x:c r="L759" s="1"/>
      <x:c r="M759" s="1"/>
      <x:c r="N759" s="1"/>
      <x:c r="O759" s="1"/>
    </x:row>
    <x:row r="760">
      <x:c r="A760" s="1" t="str">
        <x:v>S0759</x:v>
      </x:c>
      <x:c r="B760" s="1" t="str">
        <x:v>25</x:v>
      </x:c>
      <x:c r="C760" s="1" t="str">
        <x:v>basic</x:v>
      </x:c>
      <x:c r="D760" s="1" t="str">
        <x:v>9.99</x:v>
      </x:c>
      <x:c r="E760" s="1" t="str">
        <x:v>0</x:v>
      </x:c>
      <x:c r="F760" s="1" t="str">
        <x:v>13</x:v>
      </x:c>
      <x:c r="G760" s="1" t="str">
        <x:v>21</x:v>
      </x:c>
      <x:c r="H760" s="1" t="str">
        <x:v>0</x:v>
      </x:c>
      <x:c r="I760" s="1" t="str">
        <x:v>0</x:v>
      </x:c>
      <x:c r="J760" s="1" t="str">
        <x:v>no</x:v>
      </x:c>
      <x:c r="K760" s="1"/>
      <x:c r="L760" s="1"/>
      <x:c r="M760" s="1"/>
      <x:c r="N760" s="1"/>
      <x:c r="O760" s="1"/>
    </x:row>
    <x:row r="761">
      <x:c r="A761" s="1" t="str">
        <x:v>S0760</x:v>
      </x:c>
      <x:c r="B761" s="1" t="str">
        <x:v>22</x:v>
      </x:c>
      <x:c r="C761" s="1" t="str">
        <x:v>premium</x:v>
      </x:c>
      <x:c r="D761" s="1" t="str">
        <x:v>15.99</x:v>
      </x:c>
      <x:c r="E761" s="1" t="str">
        <x:v>0</x:v>
      </x:c>
      <x:c r="F761" s="1" t="str">
        <x:v>14</x:v>
      </x:c>
      <x:c r="G761" s="1" t="str">
        <x:v>7</x:v>
      </x:c>
      <x:c r="H761" s="1" t="str">
        <x:v>0</x:v>
      </x:c>
      <x:c r="I761" s="1" t="str">
        <x:v>0</x:v>
      </x:c>
      <x:c r="J761" s="1" t="str">
        <x:v>no</x:v>
      </x:c>
      <x:c r="K761" s="1"/>
      <x:c r="L761" s="1"/>
      <x:c r="M761" s="1"/>
      <x:c r="N761" s="1"/>
      <x:c r="O761" s="1"/>
    </x:row>
    <x:row r="762">
      <x:c r="A762" s="1" t="str">
        <x:v>S0761</x:v>
      </x:c>
      <x:c r="B762" s="1" t="str">
        <x:v>14</x:v>
      </x:c>
      <x:c r="C762" s="1" t="str">
        <x:v>basic</x:v>
      </x:c>
      <x:c r="D762" s="1" t="str">
        <x:v>9.99</x:v>
      </x:c>
      <x:c r="E762" s="1" t="str">
        <x:v>0</x:v>
      </x:c>
      <x:c r="F762" s="1" t="str">
        <x:v>23</x:v>
      </x:c>
      <x:c r="G762" s="1" t="str">
        <x:v>7</x:v>
      </x:c>
      <x:c r="H762" s="1" t="str">
        <x:v>0</x:v>
      </x:c>
      <x:c r="I762" s="1" t="str">
        <x:v>1</x:v>
      </x:c>
      <x:c r="J762" s="1" t="str">
        <x:v>no</x:v>
      </x:c>
      <x:c r="K762" s="1"/>
      <x:c r="L762" s="1"/>
      <x:c r="M762" s="1"/>
      <x:c r="N762" s="1"/>
      <x:c r="O762" s="1"/>
    </x:row>
    <x:row r="763">
      <x:c r="A763" s="1" t="str">
        <x:v>S0762</x:v>
      </x:c>
      <x:c r="B763" s="1" t="str">
        <x:v>21</x:v>
      </x:c>
      <x:c r="C763" s="1" t="str">
        <x:v>premium</x:v>
      </x:c>
      <x:c r="D763" s="1" t="str">
        <x:v>15.99</x:v>
      </x:c>
      <x:c r="E763" s="1" t="str">
        <x:v>0</x:v>
      </x:c>
      <x:c r="F763" s="1" t="str">
        <x:v>28</x:v>
      </x:c>
      <x:c r="G763" s="1" t="str">
        <x:v>2</x:v>
      </x:c>
      <x:c r="H763" s="1" t="str">
        <x:v>0</x:v>
      </x:c>
      <x:c r="I763" s="1" t="str">
        <x:v>0</x:v>
      </x:c>
      <x:c r="J763" s="1" t="str">
        <x:v>no</x:v>
      </x:c>
      <x:c r="K763" s="1"/>
      <x:c r="L763" s="1"/>
      <x:c r="M763" s="1"/>
      <x:c r="N763" s="1"/>
      <x:c r="O763" s="1"/>
    </x:row>
    <x:row r="764">
      <x:c r="A764" s="1" t="str">
        <x:v>S0763</x:v>
      </x:c>
      <x:c r="B764" s="1" t="str">
        <x:v>44</x:v>
      </x:c>
      <x:c r="C764" s="1" t="str">
        <x:v>premium</x:v>
      </x:c>
      <x:c r="D764" s="1" t="str">
        <x:v>15.99</x:v>
      </x:c>
      <x:c r="E764" s="1" t="str">
        <x:v>0</x:v>
      </x:c>
      <x:c r="F764" s="1" t="str">
        <x:v>12</x:v>
      </x:c>
      <x:c r="G764" s="1" t="str">
        <x:v>27</x:v>
      </x:c>
      <x:c r="H764" s="1" t="str">
        <x:v>0</x:v>
      </x:c>
      <x:c r="I764" s="1" t="str">
        <x:v>0</x:v>
      </x:c>
      <x:c r="J764" s="1" t="str">
        <x:v>no</x:v>
      </x:c>
      <x:c r="K764" s="1"/>
      <x:c r="L764" s="1"/>
      <x:c r="M764" s="1"/>
      <x:c r="N764" s="1"/>
      <x:c r="O764" s="1"/>
    </x:row>
    <x:row r="765">
      <x:c r="A765" s="1" t="str">
        <x:v>S0764</x:v>
      </x:c>
      <x:c r="B765" s="1" t="str">
        <x:v>43</x:v>
      </x:c>
      <x:c r="C765" s="1" t="str">
        <x:v>basic</x:v>
      </x:c>
      <x:c r="D765" s="1" t="str">
        <x:v>9.99</x:v>
      </x:c>
      <x:c r="E765" s="1" t="str">
        <x:v>4</x:v>
      </x:c>
      <x:c r="F765" s="1" t="str">
        <x:v>12</x:v>
      </x:c>
      <x:c r="G765" s="1" t="str">
        <x:v>3</x:v>
      </x:c>
      <x:c r="H765" s="1" t="str">
        <x:v>0</x:v>
      </x:c>
      <x:c r="I765" s="1" t="str">
        <x:v>1</x:v>
      </x:c>
      <x:c r="J765" s="1" t="str">
        <x:v>no</x:v>
      </x:c>
      <x:c r="K765" s="1"/>
      <x:c r="L765" s="1"/>
      <x:c r="M765" s="1"/>
      <x:c r="N765" s="1"/>
      <x:c r="O765" s="1"/>
    </x:row>
    <x:row r="766">
      <x:c r="A766" s="1" t="str">
        <x:v>S0765</x:v>
      </x:c>
      <x:c r="B766" s="1" t="str">
        <x:v>11</x:v>
      </x:c>
      <x:c r="C766" s="1" t="str">
        <x:v>basic</x:v>
      </x:c>
      <x:c r="D766" s="1" t="str">
        <x:v>9.99</x:v>
      </x:c>
      <x:c r="E766" s="1" t="str">
        <x:v>2</x:v>
      </x:c>
      <x:c r="F766" s="1" t="str">
        <x:v>29</x:v>
      </x:c>
      <x:c r="G766" s="1" t="str">
        <x:v>18</x:v>
      </x:c>
      <x:c r="H766" s="1" t="str">
        <x:v>0</x:v>
      </x:c>
      <x:c r="I766" s="1" t="str">
        <x:v>0</x:v>
      </x:c>
      <x:c r="J766" s="1" t="str">
        <x:v>no</x:v>
      </x:c>
      <x:c r="K766" s="1"/>
      <x:c r="L766" s="1"/>
      <x:c r="M766" s="1"/>
      <x:c r="N766" s="1"/>
      <x:c r="O766" s="1"/>
    </x:row>
    <x:row r="767">
      <x:c r="A767" s="1" t="str">
        <x:v>S0766</x:v>
      </x:c>
      <x:c r="B767" s="1" t="str">
        <x:v>8</x:v>
      </x:c>
      <x:c r="C767" s="1" t="str">
        <x:v>premium</x:v>
      </x:c>
      <x:c r="D767" s="1" t="str">
        <x:v>15.99</x:v>
      </x:c>
      <x:c r="E767" s="1" t="str">
        <x:v>4</x:v>
      </x:c>
      <x:c r="F767" s="1" t="str">
        <x:v>24</x:v>
      </x:c>
      <x:c r="G767" s="1" t="str">
        <x:v>9</x:v>
      </x:c>
      <x:c r="H767" s="1" t="str">
        <x:v>1</x:v>
      </x:c>
      <x:c r="I767" s="1" t="str">
        <x:v>0</x:v>
      </x:c>
      <x:c r="J767" s="1" t="str">
        <x:v>yes</x:v>
      </x:c>
      <x:c r="K767" s="1"/>
      <x:c r="L767" s="1"/>
      <x:c r="M767" s="1"/>
      <x:c r="N767" s="1"/>
      <x:c r="O767" s="1"/>
    </x:row>
    <x:row r="768">
      <x:c r="A768" s="1" t="str">
        <x:v>S0767</x:v>
      </x:c>
      <x:c r="B768" s="1" t="str">
        <x:v>38</x:v>
      </x:c>
      <x:c r="C768" s="1" t="str">
        <x:v>basic</x:v>
      </x:c>
      <x:c r="D768" s="1" t="str">
        <x:v>9.99</x:v>
      </x:c>
      <x:c r="E768" s="1" t="str">
        <x:v>0</x:v>
      </x:c>
      <x:c r="F768" s="1" t="str">
        <x:v>15</x:v>
      </x:c>
      <x:c r="G768" s="1" t="str">
        <x:v>0</x:v>
      </x:c>
      <x:c r="H768" s="1" t="str">
        <x:v>0</x:v>
      </x:c>
      <x:c r="I768" s="1" t="str">
        <x:v>0</x:v>
      </x:c>
      <x:c r="J768" s="1" t="str">
        <x:v>no</x:v>
      </x:c>
      <x:c r="K768" s="1"/>
      <x:c r="L768" s="1"/>
      <x:c r="M768" s="1"/>
      <x:c r="N768" s="1"/>
      <x:c r="O768" s="1"/>
    </x:row>
    <x:row r="769">
      <x:c r="A769" s="1" t="str">
        <x:v>S0768</x:v>
      </x:c>
      <x:c r="B769" s="1" t="str">
        <x:v>46</x:v>
      </x:c>
      <x:c r="C769" s="1" t="str">
        <x:v>premium</x:v>
      </x:c>
      <x:c r="D769" s="1" t="str">
        <x:v>15.99</x:v>
      </x:c>
      <x:c r="E769" s="1" t="str">
        <x:v>3</x:v>
      </x:c>
      <x:c r="F769" s="1" t="str">
        <x:v>25</x:v>
      </x:c>
      <x:c r="G769" s="1" t="str">
        <x:v>4</x:v>
      </x:c>
      <x:c r="H769" s="1" t="str">
        <x:v>0</x:v>
      </x:c>
      <x:c r="I769" s="1" t="str">
        <x:v>1</x:v>
      </x:c>
      <x:c r="J769" s="1" t="str">
        <x:v>no</x:v>
      </x:c>
      <x:c r="K769" s="1"/>
      <x:c r="L769" s="1"/>
      <x:c r="M769" s="1"/>
      <x:c r="N769" s="1"/>
      <x:c r="O769" s="1"/>
    </x:row>
    <x:row r="770">
      <x:c r="A770" s="1" t="str">
        <x:v>S0769</x:v>
      </x:c>
      <x:c r="B770" s="1" t="str">
        <x:v>35</x:v>
      </x:c>
      <x:c r="C770" s="1" t="str">
        <x:v>premium</x:v>
      </x:c>
      <x:c r="D770" s="1" t="str">
        <x:v>15.99</x:v>
      </x:c>
      <x:c r="E770" s="1" t="str">
        <x:v>3</x:v>
      </x:c>
      <x:c r="F770" s="1" t="str">
        <x:v>14</x:v>
      </x:c>
      <x:c r="G770" s="1" t="str">
        <x:v>1</x:v>
      </x:c>
      <x:c r="H770" s="1" t="str">
        <x:v>1</x:v>
      </x:c>
      <x:c r="I770" s="1" t="str">
        <x:v>0</x:v>
      </x:c>
      <x:c r="J770" s="1" t="str">
        <x:v>no</x:v>
      </x:c>
      <x:c r="K770" s="1"/>
      <x:c r="L770" s="1"/>
      <x:c r="M770" s="1"/>
      <x:c r="N770" s="1"/>
      <x:c r="O770" s="1"/>
    </x:row>
    <x:row r="771">
      <x:c r="A771" s="1" t="str">
        <x:v>S0770</x:v>
      </x:c>
      <x:c r="B771" s="1" t="str">
        <x:v>2</x:v>
      </x:c>
      <x:c r="C771" s="1" t="str">
        <x:v>basic</x:v>
      </x:c>
      <x:c r="D771" s="1" t="str">
        <x:v>9.99</x:v>
      </x:c>
      <x:c r="E771" s="1" t="str">
        <x:v>0</x:v>
      </x:c>
      <x:c r="F771" s="1" t="str">
        <x:v>4</x:v>
      </x:c>
      <x:c r="G771" s="1" t="str">
        <x:v>4</x:v>
      </x:c>
      <x:c r="H771" s="1" t="str">
        <x:v>0</x:v>
      </x:c>
      <x:c r="I771" s="1" t="str">
        <x:v>0</x:v>
      </x:c>
      <x:c r="J771" s="1" t="str">
        <x:v>no</x:v>
      </x:c>
      <x:c r="K771" s="1"/>
      <x:c r="L771" s="1"/>
      <x:c r="M771" s="1"/>
      <x:c r="N771" s="1"/>
      <x:c r="O771" s="1"/>
    </x:row>
    <x:row r="772">
      <x:c r="A772" s="1" t="str">
        <x:v>S0771</x:v>
      </x:c>
      <x:c r="B772" s="1" t="str">
        <x:v>1</x:v>
      </x:c>
      <x:c r="C772" s="1" t="str">
        <x:v>basic</x:v>
      </x:c>
      <x:c r="D772" s="1" t="str">
        <x:v>9.99</x:v>
      </x:c>
      <x:c r="E772" s="1" t="str">
        <x:v>2</x:v>
      </x:c>
      <x:c r="F772" s="1" t="str">
        <x:v>22</x:v>
      </x:c>
      <x:c r="G772" s="1" t="str">
        <x:v>1</x:v>
      </x:c>
      <x:c r="H772" s="1" t="str">
        <x:v>0</x:v>
      </x:c>
      <x:c r="I772" s="1" t="str">
        <x:v>0</x:v>
      </x:c>
      <x:c r="J772" s="1" t="str">
        <x:v>no</x:v>
      </x:c>
      <x:c r="K772" s="1"/>
      <x:c r="L772" s="1"/>
      <x:c r="M772" s="1"/>
      <x:c r="N772" s="1"/>
      <x:c r="O772" s="1"/>
    </x:row>
    <x:row r="773">
      <x:c r="A773" s="1" t="str">
        <x:v>S0772</x:v>
      </x:c>
      <x:c r="B773" s="1" t="str">
        <x:v>22</x:v>
      </x:c>
      <x:c r="C773" s="1" t="str">
        <x:v>basic</x:v>
      </x:c>
      <x:c r="D773" s="1" t="str">
        <x:v>9.99</x:v>
      </x:c>
      <x:c r="E773" s="1" t="str">
        <x:v>1</x:v>
      </x:c>
      <x:c r="F773" s="1" t="str">
        <x:v>0</x:v>
      </x:c>
      <x:c r="G773" s="1" t="str">
        <x:v>52</x:v>
      </x:c>
      <x:c r="H773" s="1" t="str">
        <x:v>0</x:v>
      </x:c>
      <x:c r="I773" s="1" t="str">
        <x:v>0</x:v>
      </x:c>
      <x:c r="J773" s="1" t="str">
        <x:v>yes</x:v>
      </x:c>
      <x:c r="K773" s="1"/>
      <x:c r="L773" s="1"/>
      <x:c r="M773" s="1"/>
      <x:c r="N773" s="1"/>
      <x:c r="O773" s="1"/>
    </x:row>
    <x:row r="774">
      <x:c r="A774" s="1" t="str">
        <x:v>S0773</x:v>
      </x:c>
      <x:c r="B774" s="1" t="str">
        <x:v>47</x:v>
      </x:c>
      <x:c r="C774" s="1" t="str">
        <x:v>basic</x:v>
      </x:c>
      <x:c r="D774" s="1" t="str">
        <x:v>9.99</x:v>
      </x:c>
      <x:c r="E774" s="1" t="str">
        <x:v>0</x:v>
      </x:c>
      <x:c r="F774" s="1" t="str">
        <x:v>14</x:v>
      </x:c>
      <x:c r="G774" s="1" t="str">
        <x:v>13</x:v>
      </x:c>
      <x:c r="H774" s="1" t="str">
        <x:v>0</x:v>
      </x:c>
      <x:c r="I774" s="1" t="str">
        <x:v>0</x:v>
      </x:c>
      <x:c r="J774" s="1" t="str">
        <x:v>no</x:v>
      </x:c>
      <x:c r="K774" s="1"/>
      <x:c r="L774" s="1"/>
      <x:c r="M774" s="1"/>
      <x:c r="N774" s="1"/>
      <x:c r="O774" s="1"/>
    </x:row>
    <x:row r="775">
      <x:c r="A775" s="1" t="str">
        <x:v>S0774</x:v>
      </x:c>
      <x:c r="B775" s="1" t="str">
        <x:v>19</x:v>
      </x:c>
      <x:c r="C775" s="1" t="str">
        <x:v>basic</x:v>
      </x:c>
      <x:c r="D775" s="1" t="str">
        <x:v>9.99</x:v>
      </x:c>
      <x:c r="E775" s="1" t="str">
        <x:v>0</x:v>
      </x:c>
      <x:c r="F775" s="1" t="str">
        <x:v>21</x:v>
      </x:c>
      <x:c r="G775" s="1" t="str">
        <x:v>5</x:v>
      </x:c>
      <x:c r="H775" s="1" t="str">
        <x:v>0</x:v>
      </x:c>
      <x:c r="I775" s="1" t="str">
        <x:v>0</x:v>
      </x:c>
      <x:c r="J775" s="1" t="str">
        <x:v>no</x:v>
      </x:c>
      <x:c r="K775" s="1"/>
      <x:c r="L775" s="1"/>
      <x:c r="M775" s="1"/>
      <x:c r="N775" s="1"/>
      <x:c r="O775" s="1"/>
    </x:row>
    <x:row r="776">
      <x:c r="A776" s="1" t="str">
        <x:v>S0775</x:v>
      </x:c>
      <x:c r="B776" s="1" t="str">
        <x:v>1</x:v>
      </x:c>
      <x:c r="C776" s="1" t="str">
        <x:v>premium</x:v>
      </x:c>
      <x:c r="D776" s="1" t="str">
        <x:v>15.99</x:v>
      </x:c>
      <x:c r="E776" s="1" t="str">
        <x:v>0</x:v>
      </x:c>
      <x:c r="F776" s="1" t="str">
        <x:v>15</x:v>
      </x:c>
      <x:c r="G776" s="1" t="str">
        <x:v>4</x:v>
      </x:c>
      <x:c r="H776" s="1" t="str">
        <x:v>0</x:v>
      </x:c>
      <x:c r="I776" s="1" t="str">
        <x:v>1</x:v>
      </x:c>
      <x:c r="J776" s="1" t="str">
        <x:v>no</x:v>
      </x:c>
      <x:c r="K776" s="1"/>
      <x:c r="L776" s="1"/>
      <x:c r="M776" s="1"/>
      <x:c r="N776" s="1"/>
      <x:c r="O776" s="1"/>
    </x:row>
    <x:row r="777">
      <x:c r="A777" s="1" t="str">
        <x:v>S0776</x:v>
      </x:c>
      <x:c r="B777" s="1" t="str">
        <x:v>41</x:v>
      </x:c>
      <x:c r="C777" s="1" t="str">
        <x:v>premium</x:v>
      </x:c>
      <x:c r="D777" s="1" t="str">
        <x:v>15.99</x:v>
      </x:c>
      <x:c r="E777" s="1" t="str">
        <x:v>0</x:v>
      </x:c>
      <x:c r="F777" s="1" t="str">
        <x:v>4</x:v>
      </x:c>
      <x:c r="G777" s="1" t="str">
        <x:v>27</x:v>
      </x:c>
      <x:c r="H777" s="1" t="str">
        <x:v>0</x:v>
      </x:c>
      <x:c r="I777" s="1" t="str">
        <x:v>0</x:v>
      </x:c>
      <x:c r="J777" s="1" t="str">
        <x:v>no</x:v>
      </x:c>
      <x:c r="K777" s="1"/>
      <x:c r="L777" s="1"/>
      <x:c r="M777" s="1"/>
      <x:c r="N777" s="1"/>
      <x:c r="O777" s="1"/>
    </x:row>
    <x:row r="778">
      <x:c r="A778" s="1" t="str">
        <x:v>S0777</x:v>
      </x:c>
      <x:c r="B778" s="1" t="str">
        <x:v>20</x:v>
      </x:c>
      <x:c r="C778" s="1" t="str">
        <x:v>basic</x:v>
      </x:c>
      <x:c r="D778" s="1" t="str">
        <x:v>9.99</x:v>
      </x:c>
      <x:c r="E778" s="1" t="str">
        <x:v>0</x:v>
      </x:c>
      <x:c r="F778" s="1" t="str">
        <x:v>2</x:v>
      </x:c>
      <x:c r="G778" s="1" t="str">
        <x:v>20</x:v>
      </x:c>
      <x:c r="H778" s="1" t="str">
        <x:v>0</x:v>
      </x:c>
      <x:c r="I778" s="1" t="str">
        <x:v>0</x:v>
      </x:c>
      <x:c r="J778" s="1" t="str">
        <x:v>yes</x:v>
      </x:c>
      <x:c r="K778" s="1"/>
      <x:c r="L778" s="1"/>
      <x:c r="M778" s="1"/>
      <x:c r="N778" s="1"/>
      <x:c r="O778" s="1"/>
    </x:row>
    <x:row r="779">
      <x:c r="A779" s="1" t="str">
        <x:v>S0778</x:v>
      </x:c>
      <x:c r="B779" s="1" t="str">
        <x:v>7</x:v>
      </x:c>
      <x:c r="C779" s="1" t="str">
        <x:v>basic</x:v>
      </x:c>
      <x:c r="D779" s="1" t="str">
        <x:v>9.99</x:v>
      </x:c>
      <x:c r="E779" s="1" t="str">
        <x:v>0</x:v>
      </x:c>
      <x:c r="F779" s="1" t="str">
        <x:v>6</x:v>
      </x:c>
      <x:c r="G779" s="1" t="str">
        <x:v>4</x:v>
      </x:c>
      <x:c r="H779" s="1" t="str">
        <x:v>0</x:v>
      </x:c>
      <x:c r="I779" s="1" t="str">
        <x:v>0</x:v>
      </x:c>
      <x:c r="J779" s="1" t="str">
        <x:v>no</x:v>
      </x:c>
      <x:c r="K779" s="1"/>
      <x:c r="L779" s="1"/>
      <x:c r="M779" s="1"/>
      <x:c r="N779" s="1"/>
      <x:c r="O779" s="1"/>
    </x:row>
    <x:row r="780">
      <x:c r="A780" s="1" t="str">
        <x:v>S0779</x:v>
      </x:c>
      <x:c r="B780" s="1" t="str">
        <x:v>26</x:v>
      </x:c>
      <x:c r="C780" s="1" t="str">
        <x:v>basic</x:v>
      </x:c>
      <x:c r="D780" s="1" t="str">
        <x:v>9.99</x:v>
      </x:c>
      <x:c r="E780" s="1" t="str">
        <x:v>2</x:v>
      </x:c>
      <x:c r="F780" s="1" t="str">
        <x:v>13</x:v>
      </x:c>
      <x:c r="G780" s="1" t="str">
        <x:v>26</x:v>
      </x:c>
      <x:c r="H780" s="1" t="str">
        <x:v>0</x:v>
      </x:c>
      <x:c r="I780" s="1" t="str">
        <x:v>1</x:v>
      </x:c>
      <x:c r="J780" s="1" t="str">
        <x:v>yes</x:v>
      </x:c>
      <x:c r="K780" s="1"/>
      <x:c r="L780" s="1"/>
      <x:c r="M780" s="1"/>
      <x:c r="N780" s="1"/>
      <x:c r="O780" s="1"/>
    </x:row>
    <x:row r="781">
      <x:c r="A781" s="1" t="str">
        <x:v>S0780</x:v>
      </x:c>
      <x:c r="B781" s="1" t="str">
        <x:v>36</x:v>
      </x:c>
      <x:c r="C781" s="1" t="str">
        <x:v>basic</x:v>
      </x:c>
      <x:c r="D781" s="1" t="str">
        <x:v>9.99</x:v>
      </x:c>
      <x:c r="E781" s="1" t="str">
        <x:v>2</x:v>
      </x:c>
      <x:c r="F781" s="1" t="str">
        <x:v>14</x:v>
      </x:c>
      <x:c r="G781" s="1" t="str">
        <x:v>5</x:v>
      </x:c>
      <x:c r="H781" s="1" t="str">
        <x:v>0</x:v>
      </x:c>
      <x:c r="I781" s="1" t="str">
        <x:v>0</x:v>
      </x:c>
      <x:c r="J781" s="1" t="str">
        <x:v>no</x:v>
      </x:c>
      <x:c r="K781" s="1"/>
      <x:c r="L781" s="1"/>
      <x:c r="M781" s="1"/>
      <x:c r="N781" s="1"/>
      <x:c r="O781" s="1"/>
    </x:row>
    <x:row r="782">
      <x:c r="A782" s="1" t="str">
        <x:v>S0781</x:v>
      </x:c>
      <x:c r="B782" s="1" t="str">
        <x:v>41</x:v>
      </x:c>
      <x:c r="C782" s="1" t="str">
        <x:v>basic</x:v>
      </x:c>
      <x:c r="D782" s="1" t="str">
        <x:v>9.99</x:v>
      </x:c>
      <x:c r="E782" s="1" t="str">
        <x:v>3</x:v>
      </x:c>
      <x:c r="F782" s="1" t="str">
        <x:v>0</x:v>
      </x:c>
      <x:c r="G782" s="1" t="str">
        <x:v>45</x:v>
      </x:c>
      <x:c r="H782" s="1" t="str">
        <x:v>0</x:v>
      </x:c>
      <x:c r="I782" s="1" t="str">
        <x:v>0</x:v>
      </x:c>
      <x:c r="J782" s="1" t="str">
        <x:v>no</x:v>
      </x:c>
      <x:c r="K782" s="1"/>
      <x:c r="L782" s="1"/>
      <x:c r="M782" s="1"/>
      <x:c r="N782" s="1"/>
      <x:c r="O782" s="1"/>
    </x:row>
    <x:row r="783">
      <x:c r="A783" s="1" t="str">
        <x:v>S0782</x:v>
      </x:c>
      <x:c r="B783" s="1" t="str">
        <x:v>4</x:v>
      </x:c>
      <x:c r="C783" s="1" t="str">
        <x:v>basic</x:v>
      </x:c>
      <x:c r="D783" s="1" t="str">
        <x:v>9.99</x:v>
      </x:c>
      <x:c r="E783" s="1" t="str">
        <x:v>2</x:v>
      </x:c>
      <x:c r="F783" s="1" t="str">
        <x:v>0</x:v>
      </x:c>
      <x:c r="G783" s="1" t="str">
        <x:v>53</x:v>
      </x:c>
      <x:c r="H783" s="1" t="str">
        <x:v>0</x:v>
      </x:c>
      <x:c r="I783" s="1" t="str">
        <x:v>0</x:v>
      </x:c>
      <x:c r="J783" s="1" t="str">
        <x:v>yes</x:v>
      </x:c>
      <x:c r="K783" s="1"/>
      <x:c r="L783" s="1"/>
      <x:c r="M783" s="1"/>
      <x:c r="N783" s="1"/>
      <x:c r="O783" s="1"/>
    </x:row>
    <x:row r="784">
      <x:c r="A784" s="1" t="str">
        <x:v>S0783</x:v>
      </x:c>
      <x:c r="B784" s="1" t="str">
        <x:v>33</x:v>
      </x:c>
      <x:c r="C784" s="1" t="str">
        <x:v>premium</x:v>
      </x:c>
      <x:c r="D784" s="1" t="str">
        <x:v>15.99</x:v>
      </x:c>
      <x:c r="E784" s="1" t="str">
        <x:v>0</x:v>
      </x:c>
      <x:c r="F784" s="1" t="str">
        <x:v>1</x:v>
      </x:c>
      <x:c r="G784" s="1" t="str">
        <x:v>27</x:v>
      </x:c>
      <x:c r="H784" s="1" t="str">
        <x:v>0</x:v>
      </x:c>
      <x:c r="I784" s="1" t="str">
        <x:v>0</x:v>
      </x:c>
      <x:c r="J784" s="1" t="str">
        <x:v>no</x:v>
      </x:c>
      <x:c r="K784" s="1"/>
      <x:c r="L784" s="1"/>
      <x:c r="M784" s="1"/>
      <x:c r="N784" s="1"/>
      <x:c r="O784" s="1"/>
    </x:row>
    <x:row r="785">
      <x:c r="A785" s="1" t="str">
        <x:v>S0784</x:v>
      </x:c>
      <x:c r="B785" s="1" t="str">
        <x:v>14</x:v>
      </x:c>
      <x:c r="C785" s="1" t="str">
        <x:v>basic</x:v>
      </x:c>
      <x:c r="D785" s="1" t="str">
        <x:v>9.99</x:v>
      </x:c>
      <x:c r="E785" s="1" t="str">
        <x:v>0</x:v>
      </x:c>
      <x:c r="F785" s="1" t="str">
        <x:v>12</x:v>
      </x:c>
      <x:c r="G785" s="1" t="str">
        <x:v>7</x:v>
      </x:c>
      <x:c r="H785" s="1" t="str">
        <x:v>0</x:v>
      </x:c>
      <x:c r="I785" s="1" t="str">
        <x:v>0</x:v>
      </x:c>
      <x:c r="J785" s="1" t="str">
        <x:v>no</x:v>
      </x:c>
      <x:c r="K785" s="1"/>
      <x:c r="L785" s="1"/>
      <x:c r="M785" s="1"/>
      <x:c r="N785" s="1"/>
      <x:c r="O785" s="1"/>
    </x:row>
    <x:row r="786">
      <x:c r="A786" s="1" t="str">
        <x:v>S0785</x:v>
      </x:c>
      <x:c r="B786" s="1" t="str">
        <x:v>16</x:v>
      </x:c>
      <x:c r="C786" s="1" t="str">
        <x:v>basic</x:v>
      </x:c>
      <x:c r="D786" s="1" t="str">
        <x:v>9.99</x:v>
      </x:c>
      <x:c r="E786" s="1" t="str">
        <x:v>0</x:v>
      </x:c>
      <x:c r="F786" s="1" t="str">
        <x:v>13</x:v>
      </x:c>
      <x:c r="G786" s="1" t="str">
        <x:v>7</x:v>
      </x:c>
      <x:c r="H786" s="1" t="str">
        <x:v>0</x:v>
      </x:c>
      <x:c r="I786" s="1" t="str">
        <x:v>0</x:v>
      </x:c>
      <x:c r="J786" s="1" t="str">
        <x:v>no</x:v>
      </x:c>
      <x:c r="K786" s="1"/>
      <x:c r="L786" s="1"/>
      <x:c r="M786" s="1"/>
      <x:c r="N786" s="1"/>
      <x:c r="O786" s="1"/>
    </x:row>
    <x:row r="787">
      <x:c r="A787" s="1" t="str">
        <x:v>S0786</x:v>
      </x:c>
      <x:c r="B787" s="1" t="str">
        <x:v>37</x:v>
      </x:c>
      <x:c r="C787" s="1" t="str">
        <x:v>premium</x:v>
      </x:c>
      <x:c r="D787" s="1" t="str">
        <x:v>15.99</x:v>
      </x:c>
      <x:c r="E787" s="1" t="str">
        <x:v>0</x:v>
      </x:c>
      <x:c r="F787" s="1" t="str">
        <x:v>25</x:v>
      </x:c>
      <x:c r="G787" s="1" t="str">
        <x:v>16</x:v>
      </x:c>
      <x:c r="H787" s="1" t="str">
        <x:v>0</x:v>
      </x:c>
      <x:c r="I787" s="1" t="str">
        <x:v>0</x:v>
      </x:c>
      <x:c r="J787" s="1" t="str">
        <x:v>no</x:v>
      </x:c>
      <x:c r="K787" s="1"/>
      <x:c r="L787" s="1"/>
      <x:c r="M787" s="1"/>
      <x:c r="N787" s="1"/>
      <x:c r="O787" s="1"/>
    </x:row>
    <x:row r="788">
      <x:c r="A788" s="1" t="str">
        <x:v>S0787</x:v>
      </x:c>
      <x:c r="B788" s="1" t="str">
        <x:v>40</x:v>
      </x:c>
      <x:c r="C788" s="1" t="str">
        <x:v>premium</x:v>
      </x:c>
      <x:c r="D788" s="1" t="str">
        <x:v>15.99</x:v>
      </x:c>
      <x:c r="E788" s="1" t="str">
        <x:v>1</x:v>
      </x:c>
      <x:c r="F788" s="1" t="str">
        <x:v>23</x:v>
      </x:c>
      <x:c r="G788" s="1" t="str">
        <x:v>3</x:v>
      </x:c>
      <x:c r="H788" s="1" t="str">
        <x:v>0</x:v>
      </x:c>
      <x:c r="I788" s="1" t="str">
        <x:v>0</x:v>
      </x:c>
      <x:c r="J788" s="1" t="str">
        <x:v>no</x:v>
      </x:c>
      <x:c r="K788" s="1"/>
      <x:c r="L788" s="1"/>
      <x:c r="M788" s="1"/>
      <x:c r="N788" s="1"/>
      <x:c r="O788" s="1"/>
    </x:row>
    <x:row r="789">
      <x:c r="A789" s="1" t="str">
        <x:v>S0788</x:v>
      </x:c>
      <x:c r="B789" s="1" t="str">
        <x:v>48</x:v>
      </x:c>
      <x:c r="C789" s="1" t="str">
        <x:v>premium</x:v>
      </x:c>
      <x:c r="D789" s="1" t="str">
        <x:v>15.99</x:v>
      </x:c>
      <x:c r="E789" s="1" t="str">
        <x:v>1</x:v>
      </x:c>
      <x:c r="F789" s="1" t="str">
        <x:v>0</x:v>
      </x:c>
      <x:c r="G789" s="1" t="str">
        <x:v>43</x:v>
      </x:c>
      <x:c r="H789" s="1" t="str">
        <x:v>0</x:v>
      </x:c>
      <x:c r="I789" s="1" t="str">
        <x:v>0</x:v>
      </x:c>
      <x:c r="J789" s="1" t="str">
        <x:v>no</x:v>
      </x:c>
      <x:c r="K789" s="1"/>
      <x:c r="L789" s="1"/>
      <x:c r="M789" s="1"/>
      <x:c r="N789" s="1"/>
      <x:c r="O789" s="1"/>
    </x:row>
    <x:row r="790">
      <x:c r="A790" s="1" t="str">
        <x:v>S0789</x:v>
      </x:c>
      <x:c r="B790" s="1" t="str">
        <x:v>33</x:v>
      </x:c>
      <x:c r="C790" s="1" t="str">
        <x:v>premium</x:v>
      </x:c>
      <x:c r="D790" s="1" t="str">
        <x:v>15.99</x:v>
      </x:c>
      <x:c r="E790" s="1" t="str">
        <x:v>1</x:v>
      </x:c>
      <x:c r="F790" s="1" t="str">
        <x:v>14</x:v>
      </x:c>
      <x:c r="G790" s="1" t="str">
        <x:v>13</x:v>
      </x:c>
      <x:c r="H790" s="1" t="str">
        <x:v>0</x:v>
      </x:c>
      <x:c r="I790" s="1" t="str">
        <x:v>1</x:v>
      </x:c>
      <x:c r="J790" s="1" t="str">
        <x:v>no</x:v>
      </x:c>
      <x:c r="K790" s="1"/>
      <x:c r="L790" s="1"/>
      <x:c r="M790" s="1"/>
      <x:c r="N790" s="1"/>
      <x:c r="O790" s="1"/>
    </x:row>
    <x:row r="791">
      <x:c r="A791" s="1" t="str">
        <x:v>S0790</x:v>
      </x:c>
      <x:c r="B791" s="1" t="str">
        <x:v>35</x:v>
      </x:c>
      <x:c r="C791" s="1" t="str">
        <x:v>premium</x:v>
      </x:c>
      <x:c r="D791" s="1" t="str">
        <x:v>15.99</x:v>
      </x:c>
      <x:c r="E791" s="1" t="str">
        <x:v>1</x:v>
      </x:c>
      <x:c r="F791" s="1" t="str">
        <x:v>7</x:v>
      </x:c>
      <x:c r="G791" s="1" t="str">
        <x:v>0</x:v>
      </x:c>
      <x:c r="H791" s="1" t="str">
        <x:v>0</x:v>
      </x:c>
      <x:c r="I791" s="1" t="str">
        <x:v>0</x:v>
      </x:c>
      <x:c r="J791" s="1" t="str">
        <x:v>no</x:v>
      </x:c>
      <x:c r="K791" s="1"/>
      <x:c r="L791" s="1"/>
      <x:c r="M791" s="1"/>
      <x:c r="N791" s="1"/>
      <x:c r="O791" s="1"/>
    </x:row>
    <x:row r="792">
      <x:c r="A792" s="1" t="str">
        <x:v>S0791</x:v>
      </x:c>
      <x:c r="B792" s="1" t="str">
        <x:v>47</x:v>
      </x:c>
      <x:c r="C792" s="1" t="str">
        <x:v>premium</x:v>
      </x:c>
      <x:c r="D792" s="1" t="str">
        <x:v>15.99</x:v>
      </x:c>
      <x:c r="E792" s="1" t="str">
        <x:v>2</x:v>
      </x:c>
      <x:c r="F792" s="1" t="str">
        <x:v>1</x:v>
      </x:c>
      <x:c r="G792" s="1" t="str">
        <x:v>18</x:v>
      </x:c>
      <x:c r="H792" s="1" t="str">
        <x:v>0</x:v>
      </x:c>
      <x:c r="I792" s="1" t="str">
        <x:v>1</x:v>
      </x:c>
      <x:c r="J792" s="1" t="str">
        <x:v>no</x:v>
      </x:c>
      <x:c r="K792" s="1"/>
      <x:c r="L792" s="1"/>
      <x:c r="M792" s="1"/>
      <x:c r="N792" s="1"/>
      <x:c r="O792" s="1"/>
    </x:row>
    <x:row r="793">
      <x:c r="A793" s="1" t="str">
        <x:v>S0792</x:v>
      </x:c>
      <x:c r="B793" s="1" t="str">
        <x:v>13</x:v>
      </x:c>
      <x:c r="C793" s="1" t="str">
        <x:v>premium</x:v>
      </x:c>
      <x:c r="D793" s="1" t="str">
        <x:v>15.99</x:v>
      </x:c>
      <x:c r="E793" s="1" t="str">
        <x:v>0</x:v>
      </x:c>
      <x:c r="F793" s="1" t="str">
        <x:v>0</x:v>
      </x:c>
      <x:c r="G793" s="1" t="str">
        <x:v>57</x:v>
      </x:c>
      <x:c r="H793" s="1" t="str">
        <x:v>0</x:v>
      </x:c>
      <x:c r="I793" s="1" t="str">
        <x:v>0</x:v>
      </x:c>
      <x:c r="J793" s="1" t="str">
        <x:v>yes</x:v>
      </x:c>
      <x:c r="K793" s="1"/>
      <x:c r="L793" s="1"/>
      <x:c r="M793" s="1"/>
      <x:c r="N793" s="1"/>
      <x:c r="O793" s="1"/>
    </x:row>
    <x:row r="794">
      <x:c r="A794" s="1" t="str">
        <x:v>S0793</x:v>
      </x:c>
      <x:c r="B794" s="1" t="str">
        <x:v>43</x:v>
      </x:c>
      <x:c r="C794" s="1" t="str">
        <x:v>premium</x:v>
      </x:c>
      <x:c r="D794" s="1" t="str">
        <x:v>15.99</x:v>
      </x:c>
      <x:c r="E794" s="1" t="str">
        <x:v>1</x:v>
      </x:c>
      <x:c r="F794" s="1" t="str">
        <x:v>18</x:v>
      </x:c>
      <x:c r="G794" s="1" t="str">
        <x:v>4</x:v>
      </x:c>
      <x:c r="H794" s="1" t="str">
        <x:v>0</x:v>
      </x:c>
      <x:c r="I794" s="1" t="str">
        <x:v>1</x:v>
      </x:c>
      <x:c r="J794" s="1" t="str">
        <x:v>no</x:v>
      </x:c>
      <x:c r="K794" s="1"/>
      <x:c r="L794" s="1"/>
      <x:c r="M794" s="1"/>
      <x:c r="N794" s="1"/>
      <x:c r="O794" s="1"/>
    </x:row>
    <x:row r="795">
      <x:c r="A795" s="1" t="str">
        <x:v>S0794</x:v>
      </x:c>
      <x:c r="B795" s="1" t="str">
        <x:v>43</x:v>
      </x:c>
      <x:c r="C795" s="1" t="str">
        <x:v>basic</x:v>
      </x:c>
      <x:c r="D795" s="1" t="str">
        <x:v>9.99</x:v>
      </x:c>
      <x:c r="E795" s="1" t="str">
        <x:v>0</x:v>
      </x:c>
      <x:c r="F795" s="1" t="str">
        <x:v>11</x:v>
      </x:c>
      <x:c r="G795" s="1" t="str">
        <x:v>3</x:v>
      </x:c>
      <x:c r="H795" s="1" t="str">
        <x:v>0</x:v>
      </x:c>
      <x:c r="I795" s="1" t="str">
        <x:v>0</x:v>
      </x:c>
      <x:c r="J795" s="1" t="str">
        <x:v>no</x:v>
      </x:c>
      <x:c r="K795" s="1"/>
      <x:c r="L795" s="1"/>
      <x:c r="M795" s="1"/>
      <x:c r="N795" s="1"/>
      <x:c r="O795" s="1"/>
    </x:row>
    <x:row r="796">
      <x:c r="A796" s="1" t="str">
        <x:v>S0795</x:v>
      </x:c>
      <x:c r="B796" s="1" t="str">
        <x:v>43</x:v>
      </x:c>
      <x:c r="C796" s="1" t="str">
        <x:v>premium</x:v>
      </x:c>
      <x:c r="D796" s="1" t="str">
        <x:v>15.99</x:v>
      </x:c>
      <x:c r="E796" s="1" t="str">
        <x:v>0</x:v>
      </x:c>
      <x:c r="F796" s="1" t="str">
        <x:v>17</x:v>
      </x:c>
      <x:c r="G796" s="1" t="str">
        <x:v>2</x:v>
      </x:c>
      <x:c r="H796" s="1" t="str">
        <x:v>0</x:v>
      </x:c>
      <x:c r="I796" s="1" t="str">
        <x:v>0</x:v>
      </x:c>
      <x:c r="J796" s="1" t="str">
        <x:v>no</x:v>
      </x:c>
      <x:c r="K796" s="1"/>
      <x:c r="L796" s="1"/>
      <x:c r="M796" s="1"/>
      <x:c r="N796" s="1"/>
      <x:c r="O796" s="1"/>
    </x:row>
    <x:row r="797">
      <x:c r="A797" s="1" t="str">
        <x:v>S0796</x:v>
      </x:c>
      <x:c r="B797" s="1" t="str">
        <x:v>19</x:v>
      </x:c>
      <x:c r="C797" s="1" t="str">
        <x:v>basic</x:v>
      </x:c>
      <x:c r="D797" s="1" t="str">
        <x:v>9.99</x:v>
      </x:c>
      <x:c r="E797" s="1" t="str">
        <x:v>0</x:v>
      </x:c>
      <x:c r="F797" s="1" t="str">
        <x:v>22</x:v>
      </x:c>
      <x:c r="G797" s="1" t="str">
        <x:v>6</x:v>
      </x:c>
      <x:c r="H797" s="1" t="str">
        <x:v>0</x:v>
      </x:c>
      <x:c r="I797" s="1" t="str">
        <x:v>0</x:v>
      </x:c>
      <x:c r="J797" s="1" t="str">
        <x:v>no</x:v>
      </x:c>
      <x:c r="K797" s="1"/>
      <x:c r="L797" s="1"/>
      <x:c r="M797" s="1"/>
      <x:c r="N797" s="1"/>
      <x:c r="O797" s="1"/>
    </x:row>
    <x:row r="798">
      <x:c r="A798" s="1" t="str">
        <x:v>S0797</x:v>
      </x:c>
      <x:c r="B798" s="1" t="str">
        <x:v>17</x:v>
      </x:c>
      <x:c r="C798" s="1" t="str">
        <x:v>premium</x:v>
      </x:c>
      <x:c r="D798" s="1" t="str">
        <x:v>15.99</x:v>
      </x:c>
      <x:c r="E798" s="1" t="str">
        <x:v>1</x:v>
      </x:c>
      <x:c r="F798" s="1" t="str">
        <x:v>0</x:v>
      </x:c>
      <x:c r="G798" s="1" t="str">
        <x:v>31</x:v>
      </x:c>
      <x:c r="H798" s="1" t="str">
        <x:v>0</x:v>
      </x:c>
      <x:c r="I798" s="1" t="str">
        <x:v>0</x:v>
      </x:c>
      <x:c r="J798" s="1" t="str">
        <x:v>no</x:v>
      </x:c>
      <x:c r="K798" s="1"/>
      <x:c r="L798" s="1"/>
      <x:c r="M798" s="1"/>
      <x:c r="N798" s="1"/>
      <x:c r="O798" s="1"/>
    </x:row>
    <x:row r="799">
      <x:c r="A799" s="1" t="str">
        <x:v>S0798</x:v>
      </x:c>
      <x:c r="B799" s="1" t="str">
        <x:v>29</x:v>
      </x:c>
      <x:c r="C799" s="1" t="str">
        <x:v>basic</x:v>
      </x:c>
      <x:c r="D799" s="1" t="str">
        <x:v>9.99</x:v>
      </x:c>
      <x:c r="E799" s="1" t="str">
        <x:v>1</x:v>
      </x:c>
      <x:c r="F799" s="1" t="str">
        <x:v>22</x:v>
      </x:c>
      <x:c r="G799" s="1" t="str">
        <x:v>0</x:v>
      </x:c>
      <x:c r="H799" s="1" t="str">
        <x:v>0</x:v>
      </x:c>
      <x:c r="I799" s="1" t="str">
        <x:v>0</x:v>
      </x:c>
      <x:c r="J799" s="1" t="str">
        <x:v>no</x:v>
      </x:c>
      <x:c r="K799" s="1"/>
      <x:c r="L799" s="1"/>
      <x:c r="M799" s="1"/>
      <x:c r="N799" s="1"/>
      <x:c r="O799" s="1"/>
    </x:row>
    <x:row r="800">
      <x:c r="A800" s="1" t="str">
        <x:v>S0799</x:v>
      </x:c>
      <x:c r="B800" s="1" t="str">
        <x:v>37</x:v>
      </x:c>
      <x:c r="C800" s="1" t="str">
        <x:v>premium</x:v>
      </x:c>
      <x:c r="D800" s="1" t="str">
        <x:v>15.99</x:v>
      </x:c>
      <x:c r="E800" s="1" t="str">
        <x:v>3</x:v>
      </x:c>
      <x:c r="F800" s="1" t="str">
        <x:v>18</x:v>
      </x:c>
      <x:c r="G800" s="1" t="str">
        <x:v>8</x:v>
      </x:c>
      <x:c r="H800" s="1" t="str">
        <x:v>0</x:v>
      </x:c>
      <x:c r="I800" s="1" t="str">
        <x:v>1</x:v>
      </x:c>
      <x:c r="J800" s="1" t="str">
        <x:v>no</x:v>
      </x:c>
      <x:c r="K800" s="1"/>
      <x:c r="L800" s="1"/>
      <x:c r="M800" s="1"/>
      <x:c r="N800" s="1"/>
      <x:c r="O800" s="1"/>
    </x:row>
    <x:row r="801">
      <x:c r="A801" s="1" t="str">
        <x:v>S0800</x:v>
      </x:c>
      <x:c r="B801" s="1" t="str">
        <x:v>6</x:v>
      </x:c>
      <x:c r="C801" s="1" t="str">
        <x:v>basic</x:v>
      </x:c>
      <x:c r="D801" s="1" t="str">
        <x:v>9.99</x:v>
      </x:c>
      <x:c r="E801" s="1" t="str">
        <x:v>1</x:v>
      </x:c>
      <x:c r="F801" s="1" t="str">
        <x:v>24</x:v>
      </x:c>
      <x:c r="G801" s="1" t="str">
        <x:v>0</x:v>
      </x:c>
      <x:c r="H801" s="1" t="str">
        <x:v>0</x:v>
      </x:c>
      <x:c r="I801" s="1" t="str">
        <x:v>0</x:v>
      </x:c>
      <x:c r="J801" s="1" t="str">
        <x:v>no</x:v>
      </x:c>
      <x:c r="K801" s="1"/>
      <x:c r="L801" s="1"/>
      <x:c r="M801" s="1"/>
      <x:c r="N801" s="1"/>
      <x:c r="O801" s="1"/>
    </x:row>
    <x:row r="802">
      <x:c r="A802" s="1" t="str">
        <x:v>S0801</x:v>
      </x:c>
      <x:c r="B802" s="1" t="str">
        <x:v>31</x:v>
      </x:c>
      <x:c r="C802" s="1" t="str">
        <x:v>premium</x:v>
      </x:c>
      <x:c r="D802" s="1" t="str">
        <x:v>15.99</x:v>
      </x:c>
      <x:c r="E802" s="1" t="str">
        <x:v>0</x:v>
      </x:c>
      <x:c r="F802" s="1" t="str">
        <x:v>16</x:v>
      </x:c>
      <x:c r="G802" s="1" t="str">
        <x:v>17</x:v>
      </x:c>
      <x:c r="H802" s="1" t="str">
        <x:v>0</x:v>
      </x:c>
      <x:c r="I802" s="1" t="str">
        <x:v>1</x:v>
      </x:c>
      <x:c r="J802" s="1" t="str">
        <x:v>no</x:v>
      </x:c>
      <x:c r="K802" s="1"/>
      <x:c r="L802" s="1"/>
      <x:c r="M802" s="1"/>
      <x:c r="N802" s="1"/>
      <x:c r="O802" s="1"/>
    </x:row>
    <x:row r="803">
      <x:c r="A803" s="1" t="str">
        <x:v>S0802</x:v>
      </x:c>
      <x:c r="B803" s="1" t="str">
        <x:v>18</x:v>
      </x:c>
      <x:c r="C803" s="1" t="str">
        <x:v>basic</x:v>
      </x:c>
      <x:c r="D803" s="1" t="str">
        <x:v>9.99</x:v>
      </x:c>
      <x:c r="E803" s="1" t="str">
        <x:v>0</x:v>
      </x:c>
      <x:c r="F803" s="1" t="str">
        <x:v>13</x:v>
      </x:c>
      <x:c r="G803" s="1" t="str">
        <x:v>3</x:v>
      </x:c>
      <x:c r="H803" s="1" t="str">
        <x:v>0</x:v>
      </x:c>
      <x:c r="I803" s="1" t="str">
        <x:v>0</x:v>
      </x:c>
      <x:c r="J803" s="1" t="str">
        <x:v>no</x:v>
      </x:c>
      <x:c r="K803" s="1"/>
      <x:c r="L803" s="1"/>
      <x:c r="M803" s="1"/>
      <x:c r="N803" s="1"/>
      <x:c r="O803" s="1"/>
    </x:row>
    <x:row r="804">
      <x:c r="A804" s="1" t="str">
        <x:v>S0803</x:v>
      </x:c>
      <x:c r="B804" s="1" t="str">
        <x:v>16</x:v>
      </x:c>
      <x:c r="C804" s="1" t="str">
        <x:v>basic</x:v>
      </x:c>
      <x:c r="D804" s="1" t="str">
        <x:v>9.99</x:v>
      </x:c>
      <x:c r="E804" s="1" t="str">
        <x:v>2</x:v>
      </x:c>
      <x:c r="F804" s="1" t="str">
        <x:v>13</x:v>
      </x:c>
      <x:c r="G804" s="1" t="str">
        <x:v>13</x:v>
      </x:c>
      <x:c r="H804" s="1" t="str">
        <x:v>1</x:v>
      </x:c>
      <x:c r="I804" s="1" t="str">
        <x:v>0</x:v>
      </x:c>
      <x:c r="J804" s="1" t="str">
        <x:v>yes</x:v>
      </x:c>
      <x:c r="K804" s="1"/>
      <x:c r="L804" s="1"/>
      <x:c r="M804" s="1"/>
      <x:c r="N804" s="1"/>
      <x:c r="O804" s="1"/>
    </x:row>
    <x:row r="805">
      <x:c r="A805" s="1" t="str">
        <x:v>S0804</x:v>
      </x:c>
      <x:c r="B805" s="1" t="str">
        <x:v>43</x:v>
      </x:c>
      <x:c r="C805" s="1" t="str">
        <x:v>basic</x:v>
      </x:c>
      <x:c r="D805" s="1" t="str">
        <x:v>9.99</x:v>
      </x:c>
      <x:c r="E805" s="1" t="str">
        <x:v>4</x:v>
      </x:c>
      <x:c r="F805" s="1" t="str">
        <x:v>19</x:v>
      </x:c>
      <x:c r="G805" s="1" t="str">
        <x:v>1</x:v>
      </x:c>
      <x:c r="H805" s="1" t="str">
        <x:v>0</x:v>
      </x:c>
      <x:c r="I805" s="1" t="str">
        <x:v>1</x:v>
      </x:c>
      <x:c r="J805" s="1" t="str">
        <x:v>no</x:v>
      </x:c>
      <x:c r="K805" s="1"/>
      <x:c r="L805" s="1"/>
      <x:c r="M805" s="1"/>
      <x:c r="N805" s="1"/>
      <x:c r="O805" s="1"/>
    </x:row>
    <x:row r="806">
      <x:c r="A806" s="1" t="str">
        <x:v>S0805</x:v>
      </x:c>
      <x:c r="B806" s="1" t="str">
        <x:v>2</x:v>
      </x:c>
      <x:c r="C806" s="1" t="str">
        <x:v>basic</x:v>
      </x:c>
      <x:c r="D806" s="1" t="str">
        <x:v>9.99</x:v>
      </x:c>
      <x:c r="E806" s="1" t="str">
        <x:v>0</x:v>
      </x:c>
      <x:c r="F806" s="1" t="str">
        <x:v>8</x:v>
      </x:c>
      <x:c r="G806" s="1" t="str">
        <x:v>11</x:v>
      </x:c>
      <x:c r="H806" s="1" t="str">
        <x:v>0</x:v>
      </x:c>
      <x:c r="I806" s="1" t="str">
        <x:v>0</x:v>
      </x:c>
      <x:c r="J806" s="1" t="str">
        <x:v>no</x:v>
      </x:c>
      <x:c r="K806" s="1"/>
      <x:c r="L806" s="1"/>
      <x:c r="M806" s="1"/>
      <x:c r="N806" s="1"/>
      <x:c r="O806" s="1"/>
    </x:row>
    <x:row r="807">
      <x:c r="A807" s="1" t="str">
        <x:v>S0806</x:v>
      </x:c>
      <x:c r="B807" s="1" t="str">
        <x:v>33</x:v>
      </x:c>
      <x:c r="C807" s="1" t="str">
        <x:v>premium</x:v>
      </x:c>
      <x:c r="D807" s="1" t="str">
        <x:v>15.99</x:v>
      </x:c>
      <x:c r="E807" s="1" t="str">
        <x:v>1</x:v>
      </x:c>
      <x:c r="F807" s="1" t="str">
        <x:v>4</x:v>
      </x:c>
      <x:c r="G807" s="1" t="str">
        <x:v>12</x:v>
      </x:c>
      <x:c r="H807" s="1" t="str">
        <x:v>0</x:v>
      </x:c>
      <x:c r="I807" s="1" t="str">
        <x:v>1</x:v>
      </x:c>
      <x:c r="J807" s="1" t="str">
        <x:v>no</x:v>
      </x:c>
      <x:c r="K807" s="1"/>
      <x:c r="L807" s="1"/>
      <x:c r="M807" s="1"/>
      <x:c r="N807" s="1"/>
      <x:c r="O807" s="1"/>
    </x:row>
    <x:row r="808">
      <x:c r="A808" s="1" t="str">
        <x:v>S0807</x:v>
      </x:c>
      <x:c r="B808" s="1" t="str">
        <x:v>1</x:v>
      </x:c>
      <x:c r="C808" s="1" t="str">
        <x:v>basic</x:v>
      </x:c>
      <x:c r="D808" s="1" t="str">
        <x:v>9.99</x:v>
      </x:c>
      <x:c r="E808" s="1" t="str">
        <x:v>2</x:v>
      </x:c>
      <x:c r="F808" s="1" t="str">
        <x:v>23</x:v>
      </x:c>
      <x:c r="G808" s="1" t="str">
        <x:v>2</x:v>
      </x:c>
      <x:c r="H808" s="1" t="str">
        <x:v>1</x:v>
      </x:c>
      <x:c r="I808" s="1" t="str">
        <x:v>0</x:v>
      </x:c>
      <x:c r="J808" s="1" t="str">
        <x:v>no</x:v>
      </x:c>
      <x:c r="K808" s="1"/>
      <x:c r="L808" s="1"/>
      <x:c r="M808" s="1"/>
      <x:c r="N808" s="1"/>
      <x:c r="O808" s="1"/>
    </x:row>
    <x:row r="809">
      <x:c r="A809" s="1" t="str">
        <x:v>S0808</x:v>
      </x:c>
      <x:c r="B809" s="1" t="str">
        <x:v>39</x:v>
      </x:c>
      <x:c r="C809" s="1" t="str">
        <x:v>premium</x:v>
      </x:c>
      <x:c r="D809" s="1" t="str">
        <x:v>15.99</x:v>
      </x:c>
      <x:c r="E809" s="1" t="str">
        <x:v>0</x:v>
      </x:c>
      <x:c r="F809" s="1" t="str">
        <x:v>0</x:v>
      </x:c>
      <x:c r="G809" s="1" t="str">
        <x:v>59</x:v>
      </x:c>
      <x:c r="H809" s="1" t="str">
        <x:v>0</x:v>
      </x:c>
      <x:c r="I809" s="1" t="str">
        <x:v>0</x:v>
      </x:c>
      <x:c r="J809" s="1" t="str">
        <x:v>no</x:v>
      </x:c>
      <x:c r="K809" s="1"/>
      <x:c r="L809" s="1"/>
      <x:c r="M809" s="1"/>
      <x:c r="N809" s="1"/>
      <x:c r="O809" s="1"/>
    </x:row>
    <x:row r="810">
      <x:c r="A810" s="1" t="str">
        <x:v>S0809</x:v>
      </x:c>
      <x:c r="B810" s="1" t="str">
        <x:v>15</x:v>
      </x:c>
      <x:c r="C810" s="1" t="str">
        <x:v>premium</x:v>
      </x:c>
      <x:c r="D810" s="1" t="str">
        <x:v>15.99</x:v>
      </x:c>
      <x:c r="E810" s="1" t="str">
        <x:v>0</x:v>
      </x:c>
      <x:c r="F810" s="1" t="str">
        <x:v>10</x:v>
      </x:c>
      <x:c r="G810" s="1" t="str">
        <x:v>22</x:v>
      </x:c>
      <x:c r="H810" s="1" t="str">
        <x:v>1</x:v>
      </x:c>
      <x:c r="I810" s="1" t="str">
        <x:v>0</x:v>
      </x:c>
      <x:c r="J810" s="1" t="str">
        <x:v>no</x:v>
      </x:c>
      <x:c r="K810" s="1"/>
      <x:c r="L810" s="1"/>
      <x:c r="M810" s="1"/>
      <x:c r="N810" s="1"/>
      <x:c r="O810" s="1"/>
    </x:row>
    <x:row r="811">
      <x:c r="A811" s="1" t="str">
        <x:v>S0810</x:v>
      </x:c>
      <x:c r="B811" s="1" t="str">
        <x:v>4</x:v>
      </x:c>
      <x:c r="C811" s="1" t="str">
        <x:v>basic</x:v>
      </x:c>
      <x:c r="D811" s="1" t="str">
        <x:v>9.99</x:v>
      </x:c>
      <x:c r="E811" s="1" t="str">
        <x:v>0</x:v>
      </x:c>
      <x:c r="F811" s="1" t="str">
        <x:v>6</x:v>
      </x:c>
      <x:c r="G811" s="1" t="str">
        <x:v>28</x:v>
      </x:c>
      <x:c r="H811" s="1" t="str">
        <x:v>0</x:v>
      </x:c>
      <x:c r="I811" s="1" t="str">
        <x:v>0</x:v>
      </x:c>
      <x:c r="J811" s="1" t="str">
        <x:v>no</x:v>
      </x:c>
      <x:c r="K811" s="1"/>
      <x:c r="L811" s="1"/>
      <x:c r="M811" s="1"/>
      <x:c r="N811" s="1"/>
      <x:c r="O811" s="1"/>
    </x:row>
    <x:row r="812">
      <x:c r="A812" s="1" t="str">
        <x:v>S0811</x:v>
      </x:c>
      <x:c r="B812" s="1" t="str">
        <x:v>33</x:v>
      </x:c>
      <x:c r="C812" s="1" t="str">
        <x:v>basic</x:v>
      </x:c>
      <x:c r="D812" s="1" t="str">
        <x:v>9.99</x:v>
      </x:c>
      <x:c r="E812" s="1" t="str">
        <x:v>0</x:v>
      </x:c>
      <x:c r="F812" s="1" t="str">
        <x:v>5</x:v>
      </x:c>
      <x:c r="G812" s="1" t="str">
        <x:v>26</x:v>
      </x:c>
      <x:c r="H812" s="1" t="str">
        <x:v>2</x:v>
      </x:c>
      <x:c r="I812" s="1" t="str">
        <x:v>0</x:v>
      </x:c>
      <x:c r="J812" s="1" t="str">
        <x:v>no</x:v>
      </x:c>
      <x:c r="K812" s="1"/>
      <x:c r="L812" s="1"/>
      <x:c r="M812" s="1"/>
      <x:c r="N812" s="1"/>
      <x:c r="O812" s="1"/>
    </x:row>
    <x:row r="813">
      <x:c r="A813" s="1" t="str">
        <x:v>S0812</x:v>
      </x:c>
      <x:c r="B813" s="1" t="str">
        <x:v>37</x:v>
      </x:c>
      <x:c r="C813" s="1" t="str">
        <x:v>basic</x:v>
      </x:c>
      <x:c r="D813" s="1" t="str">
        <x:v>9.99</x:v>
      </x:c>
      <x:c r="E813" s="1" t="str">
        <x:v>2</x:v>
      </x:c>
      <x:c r="F813" s="1" t="str">
        <x:v>12</x:v>
      </x:c>
      <x:c r="G813" s="1" t="str">
        <x:v>24</x:v>
      </x:c>
      <x:c r="H813" s="1" t="str">
        <x:v>0</x:v>
      </x:c>
      <x:c r="I813" s="1" t="str">
        <x:v>0</x:v>
      </x:c>
      <x:c r="J813" s="1" t="str">
        <x:v>no</x:v>
      </x:c>
      <x:c r="K813" s="1"/>
      <x:c r="L813" s="1"/>
      <x:c r="M813" s="1"/>
      <x:c r="N813" s="1"/>
      <x:c r="O813" s="1"/>
    </x:row>
    <x:row r="814">
      <x:c r="A814" s="1" t="str">
        <x:v>S0813</x:v>
      </x:c>
      <x:c r="B814" s="1" t="str">
        <x:v>34</x:v>
      </x:c>
      <x:c r="C814" s="1" t="str">
        <x:v>basic</x:v>
      </x:c>
      <x:c r="D814" s="1" t="str">
        <x:v>9.99</x:v>
      </x:c>
      <x:c r="E814" s="1" t="str">
        <x:v>2</x:v>
      </x:c>
      <x:c r="F814" s="1" t="str">
        <x:v>7</x:v>
      </x:c>
      <x:c r="G814" s="1" t="str">
        <x:v>6</x:v>
      </x:c>
      <x:c r="H814" s="1" t="str">
        <x:v>0</x:v>
      </x:c>
      <x:c r="I814" s="1" t="str">
        <x:v>0</x:v>
      </x:c>
      <x:c r="J814" s="1" t="str">
        <x:v>no</x:v>
      </x:c>
      <x:c r="K814" s="1"/>
      <x:c r="L814" s="1"/>
      <x:c r="M814" s="1"/>
      <x:c r="N814" s="1"/>
      <x:c r="O814" s="1"/>
    </x:row>
    <x:row r="815">
      <x:c r="A815" s="1" t="str">
        <x:v>S0814</x:v>
      </x:c>
      <x:c r="B815" s="1" t="str">
        <x:v>32</x:v>
      </x:c>
      <x:c r="C815" s="1" t="str">
        <x:v>basic</x:v>
      </x:c>
      <x:c r="D815" s="1" t="str">
        <x:v>9.99</x:v>
      </x:c>
      <x:c r="E815" s="1" t="str">
        <x:v>0</x:v>
      </x:c>
      <x:c r="F815" s="1" t="str">
        <x:v>14</x:v>
      </x:c>
      <x:c r="G815" s="1" t="str">
        <x:v>15</x:v>
      </x:c>
      <x:c r="H815" s="1" t="str">
        <x:v>0</x:v>
      </x:c>
      <x:c r="I815" s="1" t="str">
        <x:v>0</x:v>
      </x:c>
      <x:c r="J815" s="1" t="str">
        <x:v>no</x:v>
      </x:c>
      <x:c r="K815" s="1"/>
      <x:c r="L815" s="1"/>
      <x:c r="M815" s="1"/>
      <x:c r="N815" s="1"/>
      <x:c r="O815" s="1"/>
    </x:row>
    <x:row r="816">
      <x:c r="A816" s="1" t="str">
        <x:v>S0815</x:v>
      </x:c>
      <x:c r="B816" s="1" t="str">
        <x:v>25</x:v>
      </x:c>
      <x:c r="C816" s="1" t="str">
        <x:v>basic</x:v>
      </x:c>
      <x:c r="D816" s="1" t="str">
        <x:v>9.99</x:v>
      </x:c>
      <x:c r="E816" s="1" t="str">
        <x:v>0</x:v>
      </x:c>
      <x:c r="F816" s="1" t="str">
        <x:v>15</x:v>
      </x:c>
      <x:c r="G816" s="1" t="str">
        <x:v>28</x:v>
      </x:c>
      <x:c r="H816" s="1" t="str">
        <x:v>0</x:v>
      </x:c>
      <x:c r="I816" s="1" t="str">
        <x:v>0</x:v>
      </x:c>
      <x:c r="J816" s="1" t="str">
        <x:v>yes</x:v>
      </x:c>
      <x:c r="K816" s="1"/>
      <x:c r="L816" s="1"/>
      <x:c r="M816" s="1"/>
      <x:c r="N816" s="1"/>
      <x:c r="O816" s="1"/>
    </x:row>
    <x:row r="817">
      <x:c r="A817" s="1" t="str">
        <x:v>S0816</x:v>
      </x:c>
      <x:c r="B817" s="1" t="str">
        <x:v>14</x:v>
      </x:c>
      <x:c r="C817" s="1" t="str">
        <x:v>basic</x:v>
      </x:c>
      <x:c r="D817" s="1" t="str">
        <x:v>9.99</x:v>
      </x:c>
      <x:c r="E817" s="1" t="str">
        <x:v>1</x:v>
      </x:c>
      <x:c r="F817" s="1" t="str">
        <x:v>11</x:v>
      </x:c>
      <x:c r="G817" s="1" t="str">
        <x:v>28</x:v>
      </x:c>
      <x:c r="H817" s="1" t="str">
        <x:v>0</x:v>
      </x:c>
      <x:c r="I817" s="1" t="str">
        <x:v>0</x:v>
      </x:c>
      <x:c r="J817" s="1" t="str">
        <x:v>no</x:v>
      </x:c>
      <x:c r="K817" s="1"/>
      <x:c r="L817" s="1"/>
      <x:c r="M817" s="1"/>
      <x:c r="N817" s="1"/>
      <x:c r="O817" s="1"/>
    </x:row>
    <x:row r="818">
      <x:c r="A818" s="1" t="str">
        <x:v>S0817</x:v>
      </x:c>
      <x:c r="B818" s="1" t="str">
        <x:v>33</x:v>
      </x:c>
      <x:c r="C818" s="1" t="str">
        <x:v>basic</x:v>
      </x:c>
      <x:c r="D818" s="1" t="str">
        <x:v>9.99</x:v>
      </x:c>
      <x:c r="E818" s="1" t="str">
        <x:v>0</x:v>
      </x:c>
      <x:c r="F818" s="1" t="str">
        <x:v>22</x:v>
      </x:c>
      <x:c r="G818" s="1" t="str">
        <x:v>4</x:v>
      </x:c>
      <x:c r="H818" s="1" t="str">
        <x:v>0</x:v>
      </x:c>
      <x:c r="I818" s="1" t="str">
        <x:v>1</x:v>
      </x:c>
      <x:c r="J818" s="1" t="str">
        <x:v>no</x:v>
      </x:c>
      <x:c r="K818" s="1"/>
      <x:c r="L818" s="1"/>
      <x:c r="M818" s="1"/>
      <x:c r="N818" s="1"/>
      <x:c r="O818" s="1"/>
    </x:row>
    <x:row r="819">
      <x:c r="A819" s="1" t="str">
        <x:v>S0818</x:v>
      </x:c>
      <x:c r="B819" s="1" t="str">
        <x:v>18</x:v>
      </x:c>
      <x:c r="C819" s="1" t="str">
        <x:v>basic</x:v>
      </x:c>
      <x:c r="D819" s="1" t="str">
        <x:v>9.99</x:v>
      </x:c>
      <x:c r="E819" s="1" t="str">
        <x:v>1</x:v>
      </x:c>
      <x:c r="F819" s="1" t="str">
        <x:v>3</x:v>
      </x:c>
      <x:c r="G819" s="1" t="str">
        <x:v>26</x:v>
      </x:c>
      <x:c r="H819" s="1" t="str">
        <x:v>0</x:v>
      </x:c>
      <x:c r="I819" s="1" t="str">
        <x:v>1</x:v>
      </x:c>
      <x:c r="J819" s="1" t="str">
        <x:v>yes</x:v>
      </x:c>
      <x:c r="K819" s="1"/>
      <x:c r="L819" s="1"/>
      <x:c r="M819" s="1"/>
      <x:c r="N819" s="1"/>
      <x:c r="O819" s="1"/>
    </x:row>
    <x:row r="820">
      <x:c r="A820" s="1" t="str">
        <x:v>S0819</x:v>
      </x:c>
      <x:c r="B820" s="1" t="str">
        <x:v>27</x:v>
      </x:c>
      <x:c r="C820" s="1" t="str">
        <x:v>premium</x:v>
      </x:c>
      <x:c r="D820" s="1" t="str">
        <x:v>15.99</x:v>
      </x:c>
      <x:c r="E820" s="1" t="str">
        <x:v>2</x:v>
      </x:c>
      <x:c r="F820" s="1" t="str">
        <x:v>19</x:v>
      </x:c>
      <x:c r="G820" s="1" t="str">
        <x:v>7</x:v>
      </x:c>
      <x:c r="H820" s="1" t="str">
        <x:v>0</x:v>
      </x:c>
      <x:c r="I820" s="1" t="str">
        <x:v>0</x:v>
      </x:c>
      <x:c r="J820" s="1" t="str">
        <x:v>no</x:v>
      </x:c>
      <x:c r="K820" s="1"/>
      <x:c r="L820" s="1"/>
      <x:c r="M820" s="1"/>
      <x:c r="N820" s="1"/>
      <x:c r="O820" s="1"/>
    </x:row>
    <x:row r="821">
      <x:c r="A821" s="1" t="str">
        <x:v>S0820</x:v>
      </x:c>
      <x:c r="B821" s="1" t="str">
        <x:v>43</x:v>
      </x:c>
      <x:c r="C821" s="1" t="str">
        <x:v>premium</x:v>
      </x:c>
      <x:c r="D821" s="1" t="str">
        <x:v>15.99</x:v>
      </x:c>
      <x:c r="E821" s="1" t="str">
        <x:v>1</x:v>
      </x:c>
      <x:c r="F821" s="1" t="str">
        <x:v>30</x:v>
      </x:c>
      <x:c r="G821" s="1" t="str">
        <x:v>0</x:v>
      </x:c>
      <x:c r="H821" s="1" t="str">
        <x:v>0</x:v>
      </x:c>
      <x:c r="I821" s="1" t="str">
        <x:v>0</x:v>
      </x:c>
      <x:c r="J821" s="1" t="str">
        <x:v>no</x:v>
      </x:c>
      <x:c r="K821" s="1"/>
      <x:c r="L821" s="1"/>
      <x:c r="M821" s="1"/>
      <x:c r="N821" s="1"/>
      <x:c r="O821" s="1"/>
    </x:row>
    <x:row r="822">
      <x:c r="A822" s="1" t="str">
        <x:v>S0821</x:v>
      </x:c>
      <x:c r="B822" s="1" t="str">
        <x:v>16</x:v>
      </x:c>
      <x:c r="C822" s="1" t="str">
        <x:v>basic</x:v>
      </x:c>
      <x:c r="D822" s="1" t="str">
        <x:v>9.99</x:v>
      </x:c>
      <x:c r="E822" s="1" t="str">
        <x:v>2</x:v>
      </x:c>
      <x:c r="F822" s="1" t="str">
        <x:v>15</x:v>
      </x:c>
      <x:c r="G822" s="1" t="str">
        <x:v>6</x:v>
      </x:c>
      <x:c r="H822" s="1" t="str">
        <x:v>1</x:v>
      </x:c>
      <x:c r="I822" s="1" t="str">
        <x:v>1</x:v>
      </x:c>
      <x:c r="J822" s="1" t="str">
        <x:v>yes</x:v>
      </x:c>
      <x:c r="K822" s="1"/>
      <x:c r="L822" s="1"/>
      <x:c r="M822" s="1"/>
      <x:c r="N822" s="1"/>
      <x:c r="O822" s="1"/>
    </x:row>
    <x:row r="823">
      <x:c r="A823" s="1" t="str">
        <x:v>S0822</x:v>
      </x:c>
      <x:c r="B823" s="1" t="str">
        <x:v>43</x:v>
      </x:c>
      <x:c r="C823" s="1" t="str">
        <x:v>premium</x:v>
      </x:c>
      <x:c r="D823" s="1" t="str">
        <x:v>15.99</x:v>
      </x:c>
      <x:c r="E823" s="1" t="str">
        <x:v>0</x:v>
      </x:c>
      <x:c r="F823" s="1" t="str">
        <x:v>29</x:v>
      </x:c>
      <x:c r="G823" s="1" t="str">
        <x:v>8</x:v>
      </x:c>
      <x:c r="H823" s="1" t="str">
        <x:v>1</x:v>
      </x:c>
      <x:c r="I823" s="1" t="str">
        <x:v>0</x:v>
      </x:c>
      <x:c r="J823" s="1" t="str">
        <x:v>no</x:v>
      </x:c>
      <x:c r="K823" s="1"/>
      <x:c r="L823" s="1"/>
      <x:c r="M823" s="1"/>
      <x:c r="N823" s="1"/>
      <x:c r="O823" s="1"/>
    </x:row>
    <x:row r="824">
      <x:c r="A824" s="1" t="str">
        <x:v>S0823</x:v>
      </x:c>
      <x:c r="B824" s="1" t="str">
        <x:v>45</x:v>
      </x:c>
      <x:c r="C824" s="1" t="str">
        <x:v>premium</x:v>
      </x:c>
      <x:c r="D824" s="1" t="str">
        <x:v>15.99</x:v>
      </x:c>
      <x:c r="E824" s="1" t="str">
        <x:v>0</x:v>
      </x:c>
      <x:c r="F824" s="1" t="str">
        <x:v>28</x:v>
      </x:c>
      <x:c r="G824" s="1" t="str">
        <x:v>4</x:v>
      </x:c>
      <x:c r="H824" s="1" t="str">
        <x:v>0</x:v>
      </x:c>
      <x:c r="I824" s="1" t="str">
        <x:v>0</x:v>
      </x:c>
      <x:c r="J824" s="1" t="str">
        <x:v>no</x:v>
      </x:c>
      <x:c r="K824" s="1"/>
      <x:c r="L824" s="1"/>
      <x:c r="M824" s="1"/>
      <x:c r="N824" s="1"/>
      <x:c r="O824" s="1"/>
    </x:row>
    <x:row r="825">
      <x:c r="A825" s="1" t="str">
        <x:v>S0824</x:v>
      </x:c>
      <x:c r="B825" s="1" t="str">
        <x:v>44</x:v>
      </x:c>
      <x:c r="C825" s="1" t="str">
        <x:v>basic</x:v>
      </x:c>
      <x:c r="D825" s="1" t="str">
        <x:v>9.99</x:v>
      </x:c>
      <x:c r="E825" s="1" t="str">
        <x:v>0</x:v>
      </x:c>
      <x:c r="F825" s="1" t="str">
        <x:v>0</x:v>
      </x:c>
      <x:c r="G825" s="1" t="str">
        <x:v>33</x:v>
      </x:c>
      <x:c r="H825" s="1" t="str">
        <x:v>0</x:v>
      </x:c>
      <x:c r="I825" s="1" t="str">
        <x:v>0</x:v>
      </x:c>
      <x:c r="J825" s="1" t="str">
        <x:v>no</x:v>
      </x:c>
      <x:c r="K825" s="1"/>
      <x:c r="L825" s="1"/>
      <x:c r="M825" s="1"/>
      <x:c r="N825" s="1"/>
      <x:c r="O825" s="1"/>
    </x:row>
    <x:row r="826">
      <x:c r="A826" s="1" t="str">
        <x:v>S0825</x:v>
      </x:c>
      <x:c r="B826" s="1" t="str">
        <x:v>30</x:v>
      </x:c>
      <x:c r="C826" s="1" t="str">
        <x:v>basic</x:v>
      </x:c>
      <x:c r="D826" s="1" t="str">
        <x:v>9.99</x:v>
      </x:c>
      <x:c r="E826" s="1" t="str">
        <x:v>4</x:v>
      </x:c>
      <x:c r="F826" s="1" t="str">
        <x:v>20</x:v>
      </x:c>
      <x:c r="G826" s="1" t="str">
        <x:v>28</x:v>
      </x:c>
      <x:c r="H826" s="1" t="str">
        <x:v>0</x:v>
      </x:c>
      <x:c r="I826" s="1" t="str">
        <x:v>0</x:v>
      </x:c>
      <x:c r="J826" s="1" t="str">
        <x:v>yes</x:v>
      </x:c>
      <x:c r="K826" s="1"/>
      <x:c r="L826" s="1"/>
      <x:c r="M826" s="1"/>
      <x:c r="N826" s="1"/>
      <x:c r="O826" s="1"/>
    </x:row>
    <x:row r="827">
      <x:c r="A827" s="1" t="str">
        <x:v>S0826</x:v>
      </x:c>
      <x:c r="B827" s="1" t="str">
        <x:v>28</x:v>
      </x:c>
      <x:c r="C827" s="1" t="str">
        <x:v>basic</x:v>
      </x:c>
      <x:c r="D827" s="1" t="str">
        <x:v>9.99</x:v>
      </x:c>
      <x:c r="E827" s="1" t="str">
        <x:v>1</x:v>
      </x:c>
      <x:c r="F827" s="1" t="str">
        <x:v>13</x:v>
      </x:c>
      <x:c r="G827" s="1" t="str">
        <x:v>19</x:v>
      </x:c>
      <x:c r="H827" s="1" t="str">
        <x:v>0</x:v>
      </x:c>
      <x:c r="I827" s="1" t="str">
        <x:v>0</x:v>
      </x:c>
      <x:c r="J827" s="1" t="str">
        <x:v>no</x:v>
      </x:c>
      <x:c r="K827" s="1"/>
      <x:c r="L827" s="1"/>
      <x:c r="M827" s="1"/>
      <x:c r="N827" s="1"/>
      <x:c r="O827" s="1"/>
    </x:row>
    <x:row r="828">
      <x:c r="A828" s="1" t="str">
        <x:v>S0827</x:v>
      </x:c>
      <x:c r="B828" s="1" t="str">
        <x:v>27</x:v>
      </x:c>
      <x:c r="C828" s="1" t="str">
        <x:v>basic</x:v>
      </x:c>
      <x:c r="D828" s="1" t="str">
        <x:v>9.99</x:v>
      </x:c>
      <x:c r="E828" s="1" t="str">
        <x:v>0</x:v>
      </x:c>
      <x:c r="F828" s="1" t="str">
        <x:v>40</x:v>
      </x:c>
      <x:c r="G828" s="1" t="str">
        <x:v>7</x:v>
      </x:c>
      <x:c r="H828" s="1" t="str">
        <x:v>0</x:v>
      </x:c>
      <x:c r="I828" s="1" t="str">
        <x:v>0</x:v>
      </x:c>
      <x:c r="J828" s="1" t="str">
        <x:v>no</x:v>
      </x:c>
      <x:c r="K828" s="1"/>
      <x:c r="L828" s="1"/>
      <x:c r="M828" s="1"/>
      <x:c r="N828" s="1"/>
      <x:c r="O828" s="1"/>
    </x:row>
    <x:row r="829">
      <x:c r="A829" s="1" t="str">
        <x:v>S0828</x:v>
      </x:c>
      <x:c r="B829" s="1" t="str">
        <x:v>48</x:v>
      </x:c>
      <x:c r="C829" s="1" t="str">
        <x:v>basic</x:v>
      </x:c>
      <x:c r="D829" s="1" t="str">
        <x:v>9.99</x:v>
      </x:c>
      <x:c r="E829" s="1" t="str">
        <x:v>0</x:v>
      </x:c>
      <x:c r="F829" s="1" t="str">
        <x:v>9</x:v>
      </x:c>
      <x:c r="G829" s="1" t="str">
        <x:v>18</x:v>
      </x:c>
      <x:c r="H829" s="1" t="str">
        <x:v>2</x:v>
      </x:c>
      <x:c r="I829" s="1" t="str">
        <x:v>0</x:v>
      </x:c>
      <x:c r="J829" s="1" t="str">
        <x:v>no</x:v>
      </x:c>
      <x:c r="K829" s="1"/>
      <x:c r="L829" s="1"/>
      <x:c r="M829" s="1"/>
      <x:c r="N829" s="1"/>
      <x:c r="O829" s="1"/>
    </x:row>
    <x:row r="830">
      <x:c r="A830" s="1" t="str">
        <x:v>S0829</x:v>
      </x:c>
      <x:c r="B830" s="1" t="str">
        <x:v>26</x:v>
      </x:c>
      <x:c r="C830" s="1" t="str">
        <x:v>basic</x:v>
      </x:c>
      <x:c r="D830" s="1" t="str">
        <x:v>9.99</x:v>
      </x:c>
      <x:c r="E830" s="1" t="str">
        <x:v>2</x:v>
      </x:c>
      <x:c r="F830" s="1" t="str">
        <x:v>10</x:v>
      </x:c>
      <x:c r="G830" s="1" t="str">
        <x:v>5</x:v>
      </x:c>
      <x:c r="H830" s="1" t="str">
        <x:v>1</x:v>
      </x:c>
      <x:c r="I830" s="1" t="str">
        <x:v>0</x:v>
      </x:c>
      <x:c r="J830" s="1" t="str">
        <x:v>no</x:v>
      </x:c>
      <x:c r="K830" s="1"/>
      <x:c r="L830" s="1"/>
      <x:c r="M830" s="1"/>
      <x:c r="N830" s="1"/>
      <x:c r="O830" s="1"/>
    </x:row>
    <x:row r="831">
      <x:c r="A831" s="1" t="str">
        <x:v>S0830</x:v>
      </x:c>
      <x:c r="B831" s="1" t="str">
        <x:v>1</x:v>
      </x:c>
      <x:c r="C831" s="1" t="str">
        <x:v>basic</x:v>
      </x:c>
      <x:c r="D831" s="1" t="str">
        <x:v>9.99</x:v>
      </x:c>
      <x:c r="E831" s="1" t="str">
        <x:v>1</x:v>
      </x:c>
      <x:c r="F831" s="1" t="str">
        <x:v>1</x:v>
      </x:c>
      <x:c r="G831" s="1" t="str">
        <x:v>18</x:v>
      </x:c>
      <x:c r="H831" s="1" t="str">
        <x:v>0</x:v>
      </x:c>
      <x:c r="I831" s="1" t="str">
        <x:v>0</x:v>
      </x:c>
      <x:c r="J831" s="1" t="str">
        <x:v>yes</x:v>
      </x:c>
      <x:c r="K831" s="1"/>
      <x:c r="L831" s="1"/>
      <x:c r="M831" s="1"/>
      <x:c r="N831" s="1"/>
      <x:c r="O831" s="1"/>
    </x:row>
    <x:row r="832">
      <x:c r="A832" s="1" t="str">
        <x:v>S0831</x:v>
      </x:c>
      <x:c r="B832" s="1" t="str">
        <x:v>36</x:v>
      </x:c>
      <x:c r="C832" s="1" t="str">
        <x:v>basic</x:v>
      </x:c>
      <x:c r="D832" s="1" t="str">
        <x:v>9.99</x:v>
      </x:c>
      <x:c r="E832" s="1" t="str">
        <x:v>0</x:v>
      </x:c>
      <x:c r="F832" s="1" t="str">
        <x:v>24</x:v>
      </x:c>
      <x:c r="G832" s="1" t="str">
        <x:v>1</x:v>
      </x:c>
      <x:c r="H832" s="1" t="str">
        <x:v>0</x:v>
      </x:c>
      <x:c r="I832" s="1" t="str">
        <x:v>0</x:v>
      </x:c>
      <x:c r="J832" s="1" t="str">
        <x:v>no</x:v>
      </x:c>
      <x:c r="K832" s="1"/>
      <x:c r="L832" s="1"/>
      <x:c r="M832" s="1"/>
      <x:c r="N832" s="1"/>
      <x:c r="O832" s="1"/>
    </x:row>
    <x:row r="833">
      <x:c r="A833" s="1" t="str">
        <x:v>S0832</x:v>
      </x:c>
      <x:c r="B833" s="1" t="str">
        <x:v>48</x:v>
      </x:c>
      <x:c r="C833" s="1" t="str">
        <x:v>premium</x:v>
      </x:c>
      <x:c r="D833" s="1" t="str">
        <x:v>15.99</x:v>
      </x:c>
      <x:c r="E833" s="1" t="str">
        <x:v>0</x:v>
      </x:c>
      <x:c r="F833" s="1" t="str">
        <x:v>14</x:v>
      </x:c>
      <x:c r="G833" s="1" t="str">
        <x:v>8</x:v>
      </x:c>
      <x:c r="H833" s="1" t="str">
        <x:v>0</x:v>
      </x:c>
      <x:c r="I833" s="1" t="str">
        <x:v>0</x:v>
      </x:c>
      <x:c r="J833" s="1" t="str">
        <x:v>no</x:v>
      </x:c>
      <x:c r="K833" s="1"/>
      <x:c r="L833" s="1"/>
      <x:c r="M833" s="1"/>
      <x:c r="N833" s="1"/>
      <x:c r="O833" s="1"/>
    </x:row>
    <x:row r="834">
      <x:c r="A834" s="1" t="str">
        <x:v>S0833</x:v>
      </x:c>
      <x:c r="B834" s="1" t="str">
        <x:v>14</x:v>
      </x:c>
      <x:c r="C834" s="1" t="str">
        <x:v>premium</x:v>
      </x:c>
      <x:c r="D834" s="1" t="str">
        <x:v>15.99</x:v>
      </x:c>
      <x:c r="E834" s="1" t="str">
        <x:v>0</x:v>
      </x:c>
      <x:c r="F834" s="1" t="str">
        <x:v>13</x:v>
      </x:c>
      <x:c r="G834" s="1" t="str">
        <x:v>2</x:v>
      </x:c>
      <x:c r="H834" s="1" t="str">
        <x:v>0</x:v>
      </x:c>
      <x:c r="I834" s="1" t="str">
        <x:v>0</x:v>
      </x:c>
      <x:c r="J834" s="1" t="str">
        <x:v>no</x:v>
      </x:c>
      <x:c r="K834" s="1"/>
      <x:c r="L834" s="1"/>
      <x:c r="M834" s="1"/>
      <x:c r="N834" s="1"/>
      <x:c r="O834" s="1"/>
    </x:row>
    <x:row r="835">
      <x:c r="A835" s="1" t="str">
        <x:v>S0834</x:v>
      </x:c>
      <x:c r="B835" s="1" t="str">
        <x:v>18</x:v>
      </x:c>
      <x:c r="C835" s="1" t="str">
        <x:v>basic</x:v>
      </x:c>
      <x:c r="D835" s="1" t="str">
        <x:v>9.99</x:v>
      </x:c>
      <x:c r="E835" s="1" t="str">
        <x:v>0</x:v>
      </x:c>
      <x:c r="F835" s="1" t="str">
        <x:v>13</x:v>
      </x:c>
      <x:c r="G835" s="1" t="str">
        <x:v>2</x:v>
      </x:c>
      <x:c r="H835" s="1" t="str">
        <x:v>0</x:v>
      </x:c>
      <x:c r="I835" s="1" t="str">
        <x:v>0</x:v>
      </x:c>
      <x:c r="J835" s="1" t="str">
        <x:v>no</x:v>
      </x:c>
      <x:c r="K835" s="1"/>
      <x:c r="L835" s="1"/>
      <x:c r="M835" s="1"/>
      <x:c r="N835" s="1"/>
      <x:c r="O835" s="1"/>
    </x:row>
    <x:row r="836">
      <x:c r="A836" s="1" t="str">
        <x:v>S0835</x:v>
      </x:c>
      <x:c r="B836" s="1" t="str">
        <x:v>33</x:v>
      </x:c>
      <x:c r="C836" s="1" t="str">
        <x:v>basic</x:v>
      </x:c>
      <x:c r="D836" s="1" t="str">
        <x:v>9.99</x:v>
      </x:c>
      <x:c r="E836" s="1" t="str">
        <x:v>0</x:v>
      </x:c>
      <x:c r="F836" s="1" t="str">
        <x:v>1</x:v>
      </x:c>
      <x:c r="G836" s="1" t="str">
        <x:v>22</x:v>
      </x:c>
      <x:c r="H836" s="1" t="str">
        <x:v>0</x:v>
      </x:c>
      <x:c r="I836" s="1" t="str">
        <x:v>0</x:v>
      </x:c>
      <x:c r="J836" s="1" t="str">
        <x:v>no</x:v>
      </x:c>
      <x:c r="K836" s="1"/>
      <x:c r="L836" s="1"/>
      <x:c r="M836" s="1"/>
      <x:c r="N836" s="1"/>
      <x:c r="O836" s="1"/>
    </x:row>
    <x:row r="837">
      <x:c r="A837" s="1" t="str">
        <x:v>S0836</x:v>
      </x:c>
      <x:c r="B837" s="1" t="str">
        <x:v>9</x:v>
      </x:c>
      <x:c r="C837" s="1" t="str">
        <x:v>basic</x:v>
      </x:c>
      <x:c r="D837" s="1" t="str">
        <x:v>9.99</x:v>
      </x:c>
      <x:c r="E837" s="1" t="str">
        <x:v>1</x:v>
      </x:c>
      <x:c r="F837" s="1" t="str">
        <x:v>0</x:v>
      </x:c>
      <x:c r="G837" s="1" t="str">
        <x:v>43</x:v>
      </x:c>
      <x:c r="H837" s="1" t="str">
        <x:v>0</x:v>
      </x:c>
      <x:c r="I837" s="1" t="str">
        <x:v>1</x:v>
      </x:c>
      <x:c r="J837" s="1" t="str">
        <x:v>yes</x:v>
      </x:c>
      <x:c r="K837" s="1"/>
      <x:c r="L837" s="1"/>
      <x:c r="M837" s="1"/>
      <x:c r="N837" s="1"/>
      <x:c r="O837" s="1"/>
    </x:row>
    <x:row r="838">
      <x:c r="A838" s="1" t="str">
        <x:v>S0837</x:v>
      </x:c>
      <x:c r="B838" s="1" t="str">
        <x:v>7</x:v>
      </x:c>
      <x:c r="C838" s="1" t="str">
        <x:v>basic</x:v>
      </x:c>
      <x:c r="D838" s="1" t="str">
        <x:v>9.99</x:v>
      </x:c>
      <x:c r="E838" s="1" t="str">
        <x:v>0</x:v>
      </x:c>
      <x:c r="F838" s="1" t="str">
        <x:v>10</x:v>
      </x:c>
      <x:c r="G838" s="1" t="str">
        <x:v>12</x:v>
      </x:c>
      <x:c r="H838" s="1" t="str">
        <x:v>0</x:v>
      </x:c>
      <x:c r="I838" s="1" t="str">
        <x:v>0</x:v>
      </x:c>
      <x:c r="J838" s="1" t="str">
        <x:v>no</x:v>
      </x:c>
      <x:c r="K838" s="1"/>
      <x:c r="L838" s="1"/>
      <x:c r="M838" s="1"/>
      <x:c r="N838" s="1"/>
      <x:c r="O838" s="1"/>
    </x:row>
    <x:row r="839">
      <x:c r="A839" s="1" t="str">
        <x:v>S0838</x:v>
      </x:c>
      <x:c r="B839" s="1" t="str">
        <x:v>22</x:v>
      </x:c>
      <x:c r="C839" s="1" t="str">
        <x:v>basic</x:v>
      </x:c>
      <x:c r="D839" s="1" t="str">
        <x:v>9.99</x:v>
      </x:c>
      <x:c r="E839" s="1" t="str">
        <x:v>3</x:v>
      </x:c>
      <x:c r="F839" s="1" t="str">
        <x:v>13</x:v>
      </x:c>
      <x:c r="G839" s="1" t="str">
        <x:v>21</x:v>
      </x:c>
      <x:c r="H839" s="1" t="str">
        <x:v>0</x:v>
      </x:c>
      <x:c r="I839" s="1" t="str">
        <x:v>0</x:v>
      </x:c>
      <x:c r="J839" s="1" t="str">
        <x:v>no</x:v>
      </x:c>
      <x:c r="K839" s="1"/>
      <x:c r="L839" s="1"/>
      <x:c r="M839" s="1"/>
      <x:c r="N839" s="1"/>
      <x:c r="O839" s="1"/>
    </x:row>
    <x:row r="840">
      <x:c r="A840" s="1" t="str">
        <x:v>S0839</x:v>
      </x:c>
      <x:c r="B840" s="1" t="str">
        <x:v>40</x:v>
      </x:c>
      <x:c r="C840" s="1" t="str">
        <x:v>basic</x:v>
      </x:c>
      <x:c r="D840" s="1" t="str">
        <x:v>9.99</x:v>
      </x:c>
      <x:c r="E840" s="1" t="str">
        <x:v>0</x:v>
      </x:c>
      <x:c r="F840" s="1" t="str">
        <x:v>0</x:v>
      </x:c>
      <x:c r="G840" s="1" t="str">
        <x:v>39</x:v>
      </x:c>
      <x:c r="H840" s="1" t="str">
        <x:v>0</x:v>
      </x:c>
      <x:c r="I840" s="1" t="str">
        <x:v>0</x:v>
      </x:c>
      <x:c r="J840" s="1" t="str">
        <x:v>yes</x:v>
      </x:c>
      <x:c r="K840" s="1"/>
      <x:c r="L840" s="1"/>
      <x:c r="M840" s="1"/>
      <x:c r="N840" s="1"/>
      <x:c r="O840" s="1"/>
    </x:row>
    <x:row r="841">
      <x:c r="A841" s="1" t="str">
        <x:v>S0840</x:v>
      </x:c>
      <x:c r="B841" s="1" t="str">
        <x:v>35</x:v>
      </x:c>
      <x:c r="C841" s="1" t="str">
        <x:v>basic</x:v>
      </x:c>
      <x:c r="D841" s="1" t="str">
        <x:v>9.99</x:v>
      </x:c>
      <x:c r="E841" s="1" t="str">
        <x:v>0</x:v>
      </x:c>
      <x:c r="F841" s="1" t="str">
        <x:v>34</x:v>
      </x:c>
      <x:c r="G841" s="1" t="str">
        <x:v>4</x:v>
      </x:c>
      <x:c r="H841" s="1" t="str">
        <x:v>0</x:v>
      </x:c>
      <x:c r="I841" s="1" t="str">
        <x:v>0</x:v>
      </x:c>
      <x:c r="J841" s="1" t="str">
        <x:v>no</x:v>
      </x:c>
      <x:c r="K841" s="1"/>
      <x:c r="L841" s="1"/>
      <x:c r="M841" s="1"/>
      <x:c r="N841" s="1"/>
      <x:c r="O841" s="1"/>
    </x:row>
    <x:row r="842">
      <x:c r="A842" s="1" t="str">
        <x:v>S0841</x:v>
      </x:c>
      <x:c r="B842" s="1" t="str">
        <x:v>48</x:v>
      </x:c>
      <x:c r="C842" s="1" t="str">
        <x:v>basic</x:v>
      </x:c>
      <x:c r="D842" s="1" t="str">
        <x:v>9.99</x:v>
      </x:c>
      <x:c r="E842" s="1" t="str">
        <x:v>1</x:v>
      </x:c>
      <x:c r="F842" s="1" t="str">
        <x:v>24</x:v>
      </x:c>
      <x:c r="G842" s="1" t="str">
        <x:v>0</x:v>
      </x:c>
      <x:c r="H842" s="1" t="str">
        <x:v>0</x:v>
      </x:c>
      <x:c r="I842" s="1" t="str">
        <x:v>1</x:v>
      </x:c>
      <x:c r="J842" s="1" t="str">
        <x:v>no</x:v>
      </x:c>
      <x:c r="K842" s="1"/>
      <x:c r="L842" s="1"/>
      <x:c r="M842" s="1"/>
      <x:c r="N842" s="1"/>
      <x:c r="O842" s="1"/>
    </x:row>
    <x:row r="843">
      <x:c r="A843" s="1" t="str">
        <x:v>S0842</x:v>
      </x:c>
      <x:c r="B843" s="1" t="str">
        <x:v>3</x:v>
      </x:c>
      <x:c r="C843" s="1" t="str">
        <x:v>premium</x:v>
      </x:c>
      <x:c r="D843" s="1" t="str">
        <x:v>15.99</x:v>
      </x:c>
      <x:c r="E843" s="1" t="str">
        <x:v>0</x:v>
      </x:c>
      <x:c r="F843" s="1" t="str">
        <x:v>13</x:v>
      </x:c>
      <x:c r="G843" s="1" t="str">
        <x:v>13</x:v>
      </x:c>
      <x:c r="H843" s="1" t="str">
        <x:v>0</x:v>
      </x:c>
      <x:c r="I843" s="1" t="str">
        <x:v>1</x:v>
      </x:c>
      <x:c r="J843" s="1" t="str">
        <x:v>no</x:v>
      </x:c>
      <x:c r="K843" s="1"/>
      <x:c r="L843" s="1"/>
      <x:c r="M843" s="1"/>
      <x:c r="N843" s="1"/>
      <x:c r="O843" s="1"/>
    </x:row>
    <x:row r="844">
      <x:c r="A844" s="1" t="str">
        <x:v>S0843</x:v>
      </x:c>
      <x:c r="B844" s="1" t="str">
        <x:v>29</x:v>
      </x:c>
      <x:c r="C844" s="1" t="str">
        <x:v>premium</x:v>
      </x:c>
      <x:c r="D844" s="1" t="str">
        <x:v>15.99</x:v>
      </x:c>
      <x:c r="E844" s="1" t="str">
        <x:v>2</x:v>
      </x:c>
      <x:c r="F844" s="1" t="str">
        <x:v>23</x:v>
      </x:c>
      <x:c r="G844" s="1" t="str">
        <x:v>1</x:v>
      </x:c>
      <x:c r="H844" s="1" t="str">
        <x:v>0</x:v>
      </x:c>
      <x:c r="I844" s="1" t="str">
        <x:v>0</x:v>
      </x:c>
      <x:c r="J844" s="1" t="str">
        <x:v>no</x:v>
      </x:c>
      <x:c r="K844" s="1"/>
      <x:c r="L844" s="1"/>
      <x:c r="M844" s="1"/>
      <x:c r="N844" s="1"/>
      <x:c r="O844" s="1"/>
    </x:row>
    <x:row r="845">
      <x:c r="A845" s="1" t="str">
        <x:v>S0844</x:v>
      </x:c>
      <x:c r="B845" s="1" t="str">
        <x:v>29</x:v>
      </x:c>
      <x:c r="C845" s="1" t="str">
        <x:v>basic</x:v>
      </x:c>
      <x:c r="D845" s="1" t="str">
        <x:v>9.99</x:v>
      </x:c>
      <x:c r="E845" s="1" t="str">
        <x:v>0</x:v>
      </x:c>
      <x:c r="F845" s="1" t="str">
        <x:v>0</x:v>
      </x:c>
      <x:c r="G845" s="1" t="str">
        <x:v>56</x:v>
      </x:c>
      <x:c r="H845" s="1" t="str">
        <x:v>0</x:v>
      </x:c>
      <x:c r="I845" s="1" t="str">
        <x:v>0</x:v>
      </x:c>
      <x:c r="J845" s="1" t="str">
        <x:v>no</x:v>
      </x:c>
      <x:c r="K845" s="1"/>
      <x:c r="L845" s="1"/>
      <x:c r="M845" s="1"/>
      <x:c r="N845" s="1"/>
      <x:c r="O845" s="1"/>
    </x:row>
    <x:row r="846">
      <x:c r="A846" s="1" t="str">
        <x:v>S0845</x:v>
      </x:c>
      <x:c r="B846" s="1" t="str">
        <x:v>2</x:v>
      </x:c>
      <x:c r="C846" s="1" t="str">
        <x:v>basic</x:v>
      </x:c>
      <x:c r="D846" s="1" t="str">
        <x:v>9.99</x:v>
      </x:c>
      <x:c r="E846" s="1" t="str">
        <x:v>2</x:v>
      </x:c>
      <x:c r="F846" s="1" t="str">
        <x:v>19</x:v>
      </x:c>
      <x:c r="G846" s="1" t="str">
        <x:v>2</x:v>
      </x:c>
      <x:c r="H846" s="1" t="str">
        <x:v>0</x:v>
      </x:c>
      <x:c r="I846" s="1" t="str">
        <x:v>0</x:v>
      </x:c>
      <x:c r="J846" s="1" t="str">
        <x:v>no</x:v>
      </x:c>
      <x:c r="K846" s="1"/>
      <x:c r="L846" s="1"/>
      <x:c r="M846" s="1"/>
      <x:c r="N846" s="1"/>
      <x:c r="O846" s="1"/>
    </x:row>
    <x:row r="847">
      <x:c r="A847" s="1" t="str">
        <x:v>S0846</x:v>
      </x:c>
      <x:c r="B847" s="1" t="str">
        <x:v>9</x:v>
      </x:c>
      <x:c r="C847" s="1" t="str">
        <x:v>basic</x:v>
      </x:c>
      <x:c r="D847" s="1" t="str">
        <x:v>9.99</x:v>
      </x:c>
      <x:c r="E847" s="1" t="str">
        <x:v>2</x:v>
      </x:c>
      <x:c r="F847" s="1" t="str">
        <x:v>23</x:v>
      </x:c>
      <x:c r="G847" s="1" t="str">
        <x:v>6</x:v>
      </x:c>
      <x:c r="H847" s="1" t="str">
        <x:v>0</x:v>
      </x:c>
      <x:c r="I847" s="1" t="str">
        <x:v>1</x:v>
      </x:c>
      <x:c r="J847" s="1" t="str">
        <x:v>no</x:v>
      </x:c>
      <x:c r="K847" s="1"/>
      <x:c r="L847" s="1"/>
      <x:c r="M847" s="1"/>
      <x:c r="N847" s="1"/>
      <x:c r="O847" s="1"/>
    </x:row>
    <x:row r="848">
      <x:c r="A848" s="1" t="str">
        <x:v>S0847</x:v>
      </x:c>
      <x:c r="B848" s="1" t="str">
        <x:v>18</x:v>
      </x:c>
      <x:c r="C848" s="1" t="str">
        <x:v>basic</x:v>
      </x:c>
      <x:c r="D848" s="1" t="str">
        <x:v>9.99</x:v>
      </x:c>
      <x:c r="E848" s="1" t="str">
        <x:v>0</x:v>
      </x:c>
      <x:c r="F848" s="1" t="str">
        <x:v>9</x:v>
      </x:c>
      <x:c r="G848" s="1" t="str">
        <x:v>6</x:v>
      </x:c>
      <x:c r="H848" s="1" t="str">
        <x:v>2</x:v>
      </x:c>
      <x:c r="I848" s="1" t="str">
        <x:v>0</x:v>
      </x:c>
      <x:c r="J848" s="1" t="str">
        <x:v>no</x:v>
      </x:c>
      <x:c r="K848" s="1"/>
      <x:c r="L848" s="1"/>
      <x:c r="M848" s="1"/>
      <x:c r="N848" s="1"/>
      <x:c r="O848" s="1"/>
    </x:row>
    <x:row r="849">
      <x:c r="A849" s="1" t="str">
        <x:v>S0848</x:v>
      </x:c>
      <x:c r="B849" s="1" t="str">
        <x:v>12</x:v>
      </x:c>
      <x:c r="C849" s="1" t="str">
        <x:v>premium</x:v>
      </x:c>
      <x:c r="D849" s="1" t="str">
        <x:v>15.99</x:v>
      </x:c>
      <x:c r="E849" s="1" t="str">
        <x:v>0</x:v>
      </x:c>
      <x:c r="F849" s="1" t="str">
        <x:v>0</x:v>
      </x:c>
      <x:c r="G849" s="1" t="str">
        <x:v>38</x:v>
      </x:c>
      <x:c r="H849" s="1" t="str">
        <x:v>0</x:v>
      </x:c>
      <x:c r="I849" s="1" t="str">
        <x:v>0</x:v>
      </x:c>
      <x:c r="J849" s="1" t="str">
        <x:v>no</x:v>
      </x:c>
      <x:c r="K849" s="1"/>
      <x:c r="L849" s="1"/>
      <x:c r="M849" s="1"/>
      <x:c r="N849" s="1"/>
      <x:c r="O849" s="1"/>
    </x:row>
    <x:row r="850">
      <x:c r="A850" s="1" t="str">
        <x:v>S0849</x:v>
      </x:c>
      <x:c r="B850" s="1" t="str">
        <x:v>34</x:v>
      </x:c>
      <x:c r="C850" s="1" t="str">
        <x:v>premium</x:v>
      </x:c>
      <x:c r="D850" s="1" t="str">
        <x:v>15.99</x:v>
      </x:c>
      <x:c r="E850" s="1" t="str">
        <x:v>0</x:v>
      </x:c>
      <x:c r="F850" s="1" t="str">
        <x:v>17</x:v>
      </x:c>
      <x:c r="G850" s="1" t="str">
        <x:v>6</x:v>
      </x:c>
      <x:c r="H850" s="1" t="str">
        <x:v>0</x:v>
      </x:c>
      <x:c r="I850" s="1" t="str">
        <x:v>0</x:v>
      </x:c>
      <x:c r="J850" s="1" t="str">
        <x:v>no</x:v>
      </x:c>
      <x:c r="K850" s="1"/>
      <x:c r="L850" s="1"/>
      <x:c r="M850" s="1"/>
      <x:c r="N850" s="1"/>
      <x:c r="O850" s="1"/>
    </x:row>
    <x:row r="851">
      <x:c r="A851" s="1" t="str">
        <x:v>S0850</x:v>
      </x:c>
      <x:c r="B851" s="1" t="str">
        <x:v>9</x:v>
      </x:c>
      <x:c r="C851" s="1" t="str">
        <x:v>basic</x:v>
      </x:c>
      <x:c r="D851" s="1" t="str">
        <x:v>9.99</x:v>
      </x:c>
      <x:c r="E851" s="1" t="str">
        <x:v>0</x:v>
      </x:c>
      <x:c r="F851" s="1" t="str">
        <x:v>11</x:v>
      </x:c>
      <x:c r="G851" s="1" t="str">
        <x:v>21</x:v>
      </x:c>
      <x:c r="H851" s="1" t="str">
        <x:v>0</x:v>
      </x:c>
      <x:c r="I851" s="1" t="str">
        <x:v>0</x:v>
      </x:c>
      <x:c r="J851" s="1" t="str">
        <x:v>yes</x:v>
      </x:c>
      <x:c r="K851" s="1"/>
      <x:c r="L851" s="1"/>
      <x:c r="M851" s="1"/>
      <x:c r="N851" s="1"/>
      <x:c r="O851" s="1"/>
    </x:row>
    <x:row r="852">
      <x:c r="A852" s="1" t="str">
        <x:v>S0851</x:v>
      </x:c>
      <x:c r="B852" s="1" t="str">
        <x:v>33</x:v>
      </x:c>
      <x:c r="C852" s="1" t="str">
        <x:v>premium</x:v>
      </x:c>
      <x:c r="D852" s="1" t="str">
        <x:v>15.99</x:v>
      </x:c>
      <x:c r="E852" s="1" t="str">
        <x:v>1</x:v>
      </x:c>
      <x:c r="F852" s="1" t="str">
        <x:v>22</x:v>
      </x:c>
      <x:c r="G852" s="1" t="str">
        <x:v>22</x:v>
      </x:c>
      <x:c r="H852" s="1" t="str">
        <x:v>0</x:v>
      </x:c>
      <x:c r="I852" s="1" t="str">
        <x:v>0</x:v>
      </x:c>
      <x:c r="J852" s="1" t="str">
        <x:v>no</x:v>
      </x:c>
      <x:c r="K852" s="1"/>
      <x:c r="L852" s="1"/>
      <x:c r="M852" s="1"/>
      <x:c r="N852" s="1"/>
      <x:c r="O852" s="1"/>
    </x:row>
    <x:row r="853">
      <x:c r="A853" s="1" t="str">
        <x:v>S0852</x:v>
      </x:c>
      <x:c r="B853" s="1" t="str">
        <x:v>12</x:v>
      </x:c>
      <x:c r="C853" s="1" t="str">
        <x:v>basic</x:v>
      </x:c>
      <x:c r="D853" s="1" t="str">
        <x:v>9.99</x:v>
      </x:c>
      <x:c r="E853" s="1" t="str">
        <x:v>1</x:v>
      </x:c>
      <x:c r="F853" s="1" t="str">
        <x:v>36</x:v>
      </x:c>
      <x:c r="G853" s="1" t="str">
        <x:v>1</x:v>
      </x:c>
      <x:c r="H853" s="1" t="str">
        <x:v>0</x:v>
      </x:c>
      <x:c r="I853" s="1" t="str">
        <x:v>0</x:v>
      </x:c>
      <x:c r="J853" s="1" t="str">
        <x:v>no</x:v>
      </x:c>
      <x:c r="K853" s="1"/>
      <x:c r="L853" s="1"/>
      <x:c r="M853" s="1"/>
      <x:c r="N853" s="1"/>
      <x:c r="O853" s="1"/>
    </x:row>
    <x:row r="854">
      <x:c r="A854" s="1" t="str">
        <x:v>S0853</x:v>
      </x:c>
      <x:c r="B854" s="1" t="str">
        <x:v>38</x:v>
      </x:c>
      <x:c r="C854" s="1" t="str">
        <x:v>basic</x:v>
      </x:c>
      <x:c r="D854" s="1" t="str">
        <x:v>9.99</x:v>
      </x:c>
      <x:c r="E854" s="1" t="str">
        <x:v>0</x:v>
      </x:c>
      <x:c r="F854" s="1" t="str">
        <x:v>12</x:v>
      </x:c>
      <x:c r="G854" s="1" t="str">
        <x:v>11</x:v>
      </x:c>
      <x:c r="H854" s="1" t="str">
        <x:v>0</x:v>
      </x:c>
      <x:c r="I854" s="1" t="str">
        <x:v>0</x:v>
      </x:c>
      <x:c r="J854" s="1" t="str">
        <x:v>no</x:v>
      </x:c>
      <x:c r="K854" s="1"/>
      <x:c r="L854" s="1"/>
      <x:c r="M854" s="1"/>
      <x:c r="N854" s="1"/>
      <x:c r="O854" s="1"/>
    </x:row>
    <x:row r="855">
      <x:c r="A855" s="1" t="str">
        <x:v>S0854</x:v>
      </x:c>
      <x:c r="B855" s="1" t="str">
        <x:v>5</x:v>
      </x:c>
      <x:c r="C855" s="1" t="str">
        <x:v>basic</x:v>
      </x:c>
      <x:c r="D855" s="1" t="str">
        <x:v>9.99</x:v>
      </x:c>
      <x:c r="E855" s="1" t="str">
        <x:v>0</x:v>
      </x:c>
      <x:c r="F855" s="1" t="str">
        <x:v>15</x:v>
      </x:c>
      <x:c r="G855" s="1" t="str">
        <x:v>14</x:v>
      </x:c>
      <x:c r="H855" s="1" t="str">
        <x:v>0</x:v>
      </x:c>
      <x:c r="I855" s="1" t="str">
        <x:v>0</x:v>
      </x:c>
      <x:c r="J855" s="1" t="str">
        <x:v>yes</x:v>
      </x:c>
      <x:c r="K855" s="1"/>
      <x:c r="L855" s="1"/>
      <x:c r="M855" s="1"/>
      <x:c r="N855" s="1"/>
      <x:c r="O855" s="1"/>
    </x:row>
    <x:row r="856">
      <x:c r="A856" s="1" t="str">
        <x:v>S0855</x:v>
      </x:c>
      <x:c r="B856" s="1" t="str">
        <x:v>46</x:v>
      </x:c>
      <x:c r="C856" s="1" t="str">
        <x:v>premium</x:v>
      </x:c>
      <x:c r="D856" s="1" t="str">
        <x:v>15.99</x:v>
      </x:c>
      <x:c r="E856" s="1" t="str">
        <x:v>1</x:v>
      </x:c>
      <x:c r="F856" s="1" t="str">
        <x:v>29</x:v>
      </x:c>
      <x:c r="G856" s="1" t="str">
        <x:v>7</x:v>
      </x:c>
      <x:c r="H856" s="1" t="str">
        <x:v>0</x:v>
      </x:c>
      <x:c r="I856" s="1" t="str">
        <x:v>0</x:v>
      </x:c>
      <x:c r="J856" s="1" t="str">
        <x:v>no</x:v>
      </x:c>
      <x:c r="K856" s="1"/>
      <x:c r="L856" s="1"/>
      <x:c r="M856" s="1"/>
      <x:c r="N856" s="1"/>
      <x:c r="O856" s="1"/>
    </x:row>
    <x:row r="857">
      <x:c r="A857" s="1" t="str">
        <x:v>S0856</x:v>
      </x:c>
      <x:c r="B857" s="1" t="str">
        <x:v>19</x:v>
      </x:c>
      <x:c r="C857" s="1" t="str">
        <x:v>basic</x:v>
      </x:c>
      <x:c r="D857" s="1" t="str">
        <x:v>9.99</x:v>
      </x:c>
      <x:c r="E857" s="1" t="str">
        <x:v>2</x:v>
      </x:c>
      <x:c r="F857" s="1" t="str">
        <x:v>0</x:v>
      </x:c>
      <x:c r="G857" s="1" t="str">
        <x:v>59</x:v>
      </x:c>
      <x:c r="H857" s="1" t="str">
        <x:v>0</x:v>
      </x:c>
      <x:c r="I857" s="1" t="str">
        <x:v>0</x:v>
      </x:c>
      <x:c r="J857" s="1" t="str">
        <x:v>yes</x:v>
      </x:c>
      <x:c r="K857" s="1"/>
      <x:c r="L857" s="1"/>
      <x:c r="M857" s="1"/>
      <x:c r="N857" s="1"/>
      <x:c r="O857" s="1"/>
    </x:row>
    <x:row r="858">
      <x:c r="A858" s="1" t="str">
        <x:v>S0857</x:v>
      </x:c>
      <x:c r="B858" s="1" t="str">
        <x:v>18</x:v>
      </x:c>
      <x:c r="C858" s="1" t="str">
        <x:v>premium</x:v>
      </x:c>
      <x:c r="D858" s="1" t="str">
        <x:v>15.99</x:v>
      </x:c>
      <x:c r="E858" s="1" t="str">
        <x:v>0</x:v>
      </x:c>
      <x:c r="F858" s="1" t="str">
        <x:v>0</x:v>
      </x:c>
      <x:c r="G858" s="1" t="str">
        <x:v>43</x:v>
      </x:c>
      <x:c r="H858" s="1" t="str">
        <x:v>0</x:v>
      </x:c>
      <x:c r="I858" s="1" t="str">
        <x:v>0</x:v>
      </x:c>
      <x:c r="J858" s="1" t="str">
        <x:v>yes</x:v>
      </x:c>
      <x:c r="K858" s="1"/>
      <x:c r="L858" s="1"/>
      <x:c r="M858" s="1"/>
      <x:c r="N858" s="1"/>
      <x:c r="O858" s="1"/>
    </x:row>
    <x:row r="859">
      <x:c r="A859" s="1" t="str">
        <x:v>S0858</x:v>
      </x:c>
      <x:c r="B859" s="1" t="str">
        <x:v>1</x:v>
      </x:c>
      <x:c r="C859" s="1" t="str">
        <x:v>basic</x:v>
      </x:c>
      <x:c r="D859" s="1" t="str">
        <x:v>9.99</x:v>
      </x:c>
      <x:c r="E859" s="1" t="str">
        <x:v>0</x:v>
      </x:c>
      <x:c r="F859" s="1" t="str">
        <x:v>22</x:v>
      </x:c>
      <x:c r="G859" s="1" t="str">
        <x:v>15</x:v>
      </x:c>
      <x:c r="H859" s="1" t="str">
        <x:v>0</x:v>
      </x:c>
      <x:c r="I859" s="1" t="str">
        <x:v>1</x:v>
      </x:c>
      <x:c r="J859" s="1" t="str">
        <x:v>no</x:v>
      </x:c>
      <x:c r="K859" s="1"/>
      <x:c r="L859" s="1"/>
      <x:c r="M859" s="1"/>
      <x:c r="N859" s="1"/>
      <x:c r="O859" s="1"/>
    </x:row>
    <x:row r="860">
      <x:c r="A860" s="1" t="str">
        <x:v>S0859</x:v>
      </x:c>
      <x:c r="B860" s="1" t="str">
        <x:v>48</x:v>
      </x:c>
      <x:c r="C860" s="1" t="str">
        <x:v>basic</x:v>
      </x:c>
      <x:c r="D860" s="1" t="str">
        <x:v>9.99</x:v>
      </x:c>
      <x:c r="E860" s="1" t="str">
        <x:v>1</x:v>
      </x:c>
      <x:c r="F860" s="1" t="str">
        <x:v>1</x:v>
      </x:c>
      <x:c r="G860" s="1" t="str">
        <x:v>24</x:v>
      </x:c>
      <x:c r="H860" s="1" t="str">
        <x:v>2</x:v>
      </x:c>
      <x:c r="I860" s="1" t="str">
        <x:v>0</x:v>
      </x:c>
      <x:c r="J860" s="1" t="str">
        <x:v>no</x:v>
      </x:c>
      <x:c r="K860" s="1"/>
      <x:c r="L860" s="1"/>
      <x:c r="M860" s="1"/>
      <x:c r="N860" s="1"/>
      <x:c r="O860" s="1"/>
    </x:row>
    <x:row r="861">
      <x:c r="A861" s="1" t="str">
        <x:v>S0860</x:v>
      </x:c>
      <x:c r="B861" s="1" t="str">
        <x:v>6</x:v>
      </x:c>
      <x:c r="C861" s="1" t="str">
        <x:v>premium</x:v>
      </x:c>
      <x:c r="D861" s="1" t="str">
        <x:v>15.99</x:v>
      </x:c>
      <x:c r="E861" s="1" t="str">
        <x:v>1</x:v>
      </x:c>
      <x:c r="F861" s="1" t="str">
        <x:v>24</x:v>
      </x:c>
      <x:c r="G861" s="1" t="str">
        <x:v>0</x:v>
      </x:c>
      <x:c r="H861" s="1" t="str">
        <x:v>1</x:v>
      </x:c>
      <x:c r="I861" s="1" t="str">
        <x:v>0</x:v>
      </x:c>
      <x:c r="J861" s="1" t="str">
        <x:v>no</x:v>
      </x:c>
      <x:c r="K861" s="1"/>
      <x:c r="L861" s="1"/>
      <x:c r="M861" s="1"/>
      <x:c r="N861" s="1"/>
      <x:c r="O861" s="1"/>
    </x:row>
    <x:row r="862">
      <x:c r="A862" s="1" t="str">
        <x:v>S0861</x:v>
      </x:c>
      <x:c r="B862" s="1" t="str">
        <x:v>8</x:v>
      </x:c>
      <x:c r="C862" s="1" t="str">
        <x:v>premium</x:v>
      </x:c>
      <x:c r="D862" s="1" t="str">
        <x:v>15.99</x:v>
      </x:c>
      <x:c r="E862" s="1" t="str">
        <x:v>4</x:v>
      </x:c>
      <x:c r="F862" s="1" t="str">
        <x:v>33</x:v>
      </x:c>
      <x:c r="G862" s="1" t="str">
        <x:v>2</x:v>
      </x:c>
      <x:c r="H862" s="1" t="str">
        <x:v>0</x:v>
      </x:c>
      <x:c r="I862" s="1" t="str">
        <x:v>0</x:v>
      </x:c>
      <x:c r="J862" s="1" t="str">
        <x:v>no</x:v>
      </x:c>
      <x:c r="K862" s="1"/>
      <x:c r="L862" s="1"/>
      <x:c r="M862" s="1"/>
      <x:c r="N862" s="1"/>
      <x:c r="O862" s="1"/>
    </x:row>
    <x:row r="863">
      <x:c r="A863" s="1" t="str">
        <x:v>S0862</x:v>
      </x:c>
      <x:c r="B863" s="1" t="str">
        <x:v>35</x:v>
      </x:c>
      <x:c r="C863" s="1" t="str">
        <x:v>premium</x:v>
      </x:c>
      <x:c r="D863" s="1" t="str">
        <x:v>15.99</x:v>
      </x:c>
      <x:c r="E863" s="1" t="str">
        <x:v>0</x:v>
      </x:c>
      <x:c r="F863" s="1" t="str">
        <x:v>1</x:v>
      </x:c>
      <x:c r="G863" s="1" t="str">
        <x:v>26</x:v>
      </x:c>
      <x:c r="H863" s="1" t="str">
        <x:v>0</x:v>
      </x:c>
      <x:c r="I863" s="1" t="str">
        <x:v>0</x:v>
      </x:c>
      <x:c r="J863" s="1" t="str">
        <x:v>no</x:v>
      </x:c>
      <x:c r="K863" s="1"/>
      <x:c r="L863" s="1"/>
      <x:c r="M863" s="1"/>
      <x:c r="N863" s="1"/>
      <x:c r="O863" s="1"/>
    </x:row>
    <x:row r="864">
      <x:c r="A864" s="1" t="str">
        <x:v>S0863</x:v>
      </x:c>
      <x:c r="B864" s="1" t="str">
        <x:v>31</x:v>
      </x:c>
      <x:c r="C864" s="1" t="str">
        <x:v>premium</x:v>
      </x:c>
      <x:c r="D864" s="1" t="str">
        <x:v>15.99</x:v>
      </x:c>
      <x:c r="E864" s="1" t="str">
        <x:v>0</x:v>
      </x:c>
      <x:c r="F864" s="1" t="str">
        <x:v>14</x:v>
      </x:c>
      <x:c r="G864" s="1" t="str">
        <x:v>4</x:v>
      </x:c>
      <x:c r="H864" s="1" t="str">
        <x:v>0</x:v>
      </x:c>
      <x:c r="I864" s="1" t="str">
        <x:v>0</x:v>
      </x:c>
      <x:c r="J864" s="1" t="str">
        <x:v>no</x:v>
      </x:c>
      <x:c r="K864" s="1"/>
      <x:c r="L864" s="1"/>
      <x:c r="M864" s="1"/>
      <x:c r="N864" s="1"/>
      <x:c r="O864" s="1"/>
    </x:row>
    <x:row r="865">
      <x:c r="A865" s="1" t="str">
        <x:v>S0864</x:v>
      </x:c>
      <x:c r="B865" s="1" t="str">
        <x:v>43</x:v>
      </x:c>
      <x:c r="C865" s="1" t="str">
        <x:v>basic</x:v>
      </x:c>
      <x:c r="D865" s="1" t="str">
        <x:v>9.99</x:v>
      </x:c>
      <x:c r="E865" s="1" t="str">
        <x:v>2</x:v>
      </x:c>
      <x:c r="F865" s="1" t="str">
        <x:v>13</x:v>
      </x:c>
      <x:c r="G865" s="1" t="str">
        <x:v>9</x:v>
      </x:c>
      <x:c r="H865" s="1" t="str">
        <x:v>0</x:v>
      </x:c>
      <x:c r="I865" s="1" t="str">
        <x:v>0</x:v>
      </x:c>
      <x:c r="J865" s="1" t="str">
        <x:v>no</x:v>
      </x:c>
      <x:c r="K865" s="1"/>
      <x:c r="L865" s="1"/>
      <x:c r="M865" s="1"/>
      <x:c r="N865" s="1"/>
      <x:c r="O865" s="1"/>
    </x:row>
    <x:row r="866">
      <x:c r="A866" s="1" t="str">
        <x:v>S0865</x:v>
      </x:c>
      <x:c r="B866" s="1" t="str">
        <x:v>3</x:v>
      </x:c>
      <x:c r="C866" s="1" t="str">
        <x:v>premium</x:v>
      </x:c>
      <x:c r="D866" s="1" t="str">
        <x:v>15.99</x:v>
      </x:c>
      <x:c r="E866" s="1" t="str">
        <x:v>2</x:v>
      </x:c>
      <x:c r="F866" s="1" t="str">
        <x:v>0</x:v>
      </x:c>
      <x:c r="G866" s="1" t="str">
        <x:v>54</x:v>
      </x:c>
      <x:c r="H866" s="1" t="str">
        <x:v>0</x:v>
      </x:c>
      <x:c r="I866" s="1" t="str">
        <x:v>1</x:v>
      </x:c>
      <x:c r="J866" s="1" t="str">
        <x:v>yes</x:v>
      </x:c>
      <x:c r="K866" s="1"/>
      <x:c r="L866" s="1"/>
      <x:c r="M866" s="1"/>
      <x:c r="N866" s="1"/>
      <x:c r="O866" s="1"/>
    </x:row>
    <x:row r="867">
      <x:c r="A867" s="1" t="str">
        <x:v>S0866</x:v>
      </x:c>
      <x:c r="B867" s="1" t="str">
        <x:v>30</x:v>
      </x:c>
      <x:c r="C867" s="1" t="str">
        <x:v>premium</x:v>
      </x:c>
      <x:c r="D867" s="1" t="str">
        <x:v>15.99</x:v>
      </x:c>
      <x:c r="E867" s="1" t="str">
        <x:v>3</x:v>
      </x:c>
      <x:c r="F867" s="1" t="str">
        <x:v>15</x:v>
      </x:c>
      <x:c r="G867" s="1" t="str">
        <x:v>14</x:v>
      </x:c>
      <x:c r="H867" s="1" t="str">
        <x:v>0</x:v>
      </x:c>
      <x:c r="I867" s="1" t="str">
        <x:v>1</x:v>
      </x:c>
      <x:c r="J867" s="1" t="str">
        <x:v>no</x:v>
      </x:c>
      <x:c r="K867" s="1"/>
      <x:c r="L867" s="1"/>
      <x:c r="M867" s="1"/>
      <x:c r="N867" s="1"/>
      <x:c r="O867" s="1"/>
    </x:row>
    <x:row r="868">
      <x:c r="A868" s="1" t="str">
        <x:v>S0867</x:v>
      </x:c>
      <x:c r="B868" s="1" t="str">
        <x:v>27</x:v>
      </x:c>
      <x:c r="C868" s="1" t="str">
        <x:v>basic</x:v>
      </x:c>
      <x:c r="D868" s="1" t="str">
        <x:v>9.99</x:v>
      </x:c>
      <x:c r="E868" s="1" t="str">
        <x:v>0</x:v>
      </x:c>
      <x:c r="F868" s="1" t="str">
        <x:v>12</x:v>
      </x:c>
      <x:c r="G868" s="1" t="str">
        <x:v>22</x:v>
      </x:c>
      <x:c r="H868" s="1" t="str">
        <x:v>0</x:v>
      </x:c>
      <x:c r="I868" s="1" t="str">
        <x:v>0</x:v>
      </x:c>
      <x:c r="J868" s="1" t="str">
        <x:v>no</x:v>
      </x:c>
      <x:c r="K868" s="1"/>
      <x:c r="L868" s="1"/>
      <x:c r="M868" s="1"/>
      <x:c r="N868" s="1"/>
      <x:c r="O868" s="1"/>
    </x:row>
    <x:row r="869">
      <x:c r="A869" s="1" t="str">
        <x:v>S0868</x:v>
      </x:c>
      <x:c r="B869" s="1" t="str">
        <x:v>33</x:v>
      </x:c>
      <x:c r="C869" s="1" t="str">
        <x:v>premium</x:v>
      </x:c>
      <x:c r="D869" s="1" t="str">
        <x:v>15.99</x:v>
      </x:c>
      <x:c r="E869" s="1" t="str">
        <x:v>0</x:v>
      </x:c>
      <x:c r="F869" s="1" t="str">
        <x:v>21</x:v>
      </x:c>
      <x:c r="G869" s="1" t="str">
        <x:v>18</x:v>
      </x:c>
      <x:c r="H869" s="1" t="str">
        <x:v>0</x:v>
      </x:c>
      <x:c r="I869" s="1" t="str">
        <x:v>0</x:v>
      </x:c>
      <x:c r="J869" s="1" t="str">
        <x:v>no</x:v>
      </x:c>
      <x:c r="K869" s="1"/>
      <x:c r="L869" s="1"/>
      <x:c r="M869" s="1"/>
      <x:c r="N869" s="1"/>
      <x:c r="O869" s="1"/>
    </x:row>
    <x:row r="870">
      <x:c r="A870" s="1" t="str">
        <x:v>S0869</x:v>
      </x:c>
      <x:c r="B870" s="1" t="str">
        <x:v>11</x:v>
      </x:c>
      <x:c r="C870" s="1" t="str">
        <x:v>premium</x:v>
      </x:c>
      <x:c r="D870" s="1" t="str">
        <x:v>15.99</x:v>
      </x:c>
      <x:c r="E870" s="1" t="str">
        <x:v>1</x:v>
      </x:c>
      <x:c r="F870" s="1" t="str">
        <x:v>0</x:v>
      </x:c>
      <x:c r="G870" s="1" t="str">
        <x:v>44</x:v>
      </x:c>
      <x:c r="H870" s="1" t="str">
        <x:v>0</x:v>
      </x:c>
      <x:c r="I870" s="1" t="str">
        <x:v>0</x:v>
      </x:c>
      <x:c r="J870" s="1" t="str">
        <x:v>yes</x:v>
      </x:c>
      <x:c r="K870" s="1"/>
      <x:c r="L870" s="1"/>
      <x:c r="M870" s="1"/>
      <x:c r="N870" s="1"/>
      <x:c r="O870" s="1"/>
    </x:row>
    <x:row r="871">
      <x:c r="A871" s="1" t="str">
        <x:v>S0870</x:v>
      </x:c>
      <x:c r="B871" s="1" t="str">
        <x:v>24</x:v>
      </x:c>
      <x:c r="C871" s="1" t="str">
        <x:v>basic</x:v>
      </x:c>
      <x:c r="D871" s="1" t="str">
        <x:v>9.99</x:v>
      </x:c>
      <x:c r="E871" s="1" t="str">
        <x:v>2</x:v>
      </x:c>
      <x:c r="F871" s="1" t="str">
        <x:v>16</x:v>
      </x:c>
      <x:c r="G871" s="1" t="str">
        <x:v>7</x:v>
      </x:c>
      <x:c r="H871" s="1" t="str">
        <x:v>0</x:v>
      </x:c>
      <x:c r="I871" s="1" t="str">
        <x:v>0</x:v>
      </x:c>
      <x:c r="J871" s="1" t="str">
        <x:v>no</x:v>
      </x:c>
      <x:c r="K871" s="1"/>
      <x:c r="L871" s="1"/>
      <x:c r="M871" s="1"/>
      <x:c r="N871" s="1"/>
      <x:c r="O871" s="1"/>
    </x:row>
    <x:row r="872">
      <x:c r="A872" s="1" t="str">
        <x:v>S0871</x:v>
      </x:c>
      <x:c r="B872" s="1" t="str">
        <x:v>18</x:v>
      </x:c>
      <x:c r="C872" s="1" t="str">
        <x:v>basic</x:v>
      </x:c>
      <x:c r="D872" s="1" t="str">
        <x:v>9.99</x:v>
      </x:c>
      <x:c r="E872" s="1" t="str">
        <x:v>1</x:v>
      </x:c>
      <x:c r="F872" s="1" t="str">
        <x:v>30</x:v>
      </x:c>
      <x:c r="G872" s="1" t="str">
        <x:v>0</x:v>
      </x:c>
      <x:c r="H872" s="1" t="str">
        <x:v>0</x:v>
      </x:c>
      <x:c r="I872" s="1" t="str">
        <x:v>0</x:v>
      </x:c>
      <x:c r="J872" s="1" t="str">
        <x:v>no</x:v>
      </x:c>
      <x:c r="K872" s="1"/>
      <x:c r="L872" s="1"/>
      <x:c r="M872" s="1"/>
      <x:c r="N872" s="1"/>
      <x:c r="O872" s="1"/>
    </x:row>
    <x:row r="873">
      <x:c r="A873" s="1" t="str">
        <x:v>S0872</x:v>
      </x:c>
      <x:c r="B873" s="1" t="str">
        <x:v>43</x:v>
      </x:c>
      <x:c r="C873" s="1" t="str">
        <x:v>basic</x:v>
      </x:c>
      <x:c r="D873" s="1" t="str">
        <x:v>9.99</x:v>
      </x:c>
      <x:c r="E873" s="1" t="str">
        <x:v>0</x:v>
      </x:c>
      <x:c r="F873" s="1" t="str">
        <x:v>15</x:v>
      </x:c>
      <x:c r="G873" s="1" t="str">
        <x:v>27</x:v>
      </x:c>
      <x:c r="H873" s="1" t="str">
        <x:v>0</x:v>
      </x:c>
      <x:c r="I873" s="1" t="str">
        <x:v>0</x:v>
      </x:c>
      <x:c r="J873" s="1" t="str">
        <x:v>no</x:v>
      </x:c>
      <x:c r="K873" s="1"/>
      <x:c r="L873" s="1"/>
      <x:c r="M873" s="1"/>
      <x:c r="N873" s="1"/>
      <x:c r="O873" s="1"/>
    </x:row>
    <x:row r="874">
      <x:c r="A874" s="1" t="str">
        <x:v>S0873</x:v>
      </x:c>
      <x:c r="B874" s="1" t="str">
        <x:v>22</x:v>
      </x:c>
      <x:c r="C874" s="1" t="str">
        <x:v>premium</x:v>
      </x:c>
      <x:c r="D874" s="1" t="str">
        <x:v>15.99</x:v>
      </x:c>
      <x:c r="E874" s="1" t="str">
        <x:v>1</x:v>
      </x:c>
      <x:c r="F874" s="1" t="str">
        <x:v>20</x:v>
      </x:c>
      <x:c r="G874" s="1" t="str">
        <x:v>4</x:v>
      </x:c>
      <x:c r="H874" s="1" t="str">
        <x:v>0</x:v>
      </x:c>
      <x:c r="I874" s="1" t="str">
        <x:v>0</x:v>
      </x:c>
      <x:c r="J874" s="1" t="str">
        <x:v>no</x:v>
      </x:c>
      <x:c r="K874" s="1"/>
      <x:c r="L874" s="1"/>
      <x:c r="M874" s="1"/>
      <x:c r="N874" s="1"/>
      <x:c r="O874" s="1"/>
    </x:row>
    <x:row r="875">
      <x:c r="A875" s="1" t="str">
        <x:v>S0874</x:v>
      </x:c>
      <x:c r="B875" s="1" t="str">
        <x:v>19</x:v>
      </x:c>
      <x:c r="C875" s="1" t="str">
        <x:v>basic</x:v>
      </x:c>
      <x:c r="D875" s="1" t="str">
        <x:v>9.99</x:v>
      </x:c>
      <x:c r="E875" s="1" t="str">
        <x:v>1</x:v>
      </x:c>
      <x:c r="F875" s="1" t="str">
        <x:v>18</x:v>
      </x:c>
      <x:c r="G875" s="1" t="str">
        <x:v>0</x:v>
      </x:c>
      <x:c r="H875" s="1" t="str">
        <x:v>0</x:v>
      </x:c>
      <x:c r="I875" s="1" t="str">
        <x:v>0</x:v>
      </x:c>
      <x:c r="J875" s="1" t="str">
        <x:v>no</x:v>
      </x:c>
      <x:c r="K875" s="1"/>
      <x:c r="L875" s="1"/>
      <x:c r="M875" s="1"/>
      <x:c r="N875" s="1"/>
      <x:c r="O875" s="1"/>
    </x:row>
    <x:row r="876">
      <x:c r="A876" s="1" t="str">
        <x:v>S0875</x:v>
      </x:c>
      <x:c r="B876" s="1" t="str">
        <x:v>18</x:v>
      </x:c>
      <x:c r="C876" s="1" t="str">
        <x:v>basic</x:v>
      </x:c>
      <x:c r="D876" s="1" t="str">
        <x:v>9.99</x:v>
      </x:c>
      <x:c r="E876" s="1" t="str">
        <x:v>1</x:v>
      </x:c>
      <x:c r="F876" s="1" t="str">
        <x:v>30</x:v>
      </x:c>
      <x:c r="G876" s="1" t="str">
        <x:v>7</x:v>
      </x:c>
      <x:c r="H876" s="1" t="str">
        <x:v>0</x:v>
      </x:c>
      <x:c r="I876" s="1" t="str">
        <x:v>0</x:v>
      </x:c>
      <x:c r="J876" s="1" t="str">
        <x:v>no</x:v>
      </x:c>
      <x:c r="K876" s="1"/>
      <x:c r="L876" s="1"/>
      <x:c r="M876" s="1"/>
      <x:c r="N876" s="1"/>
      <x:c r="O876" s="1"/>
    </x:row>
    <x:row r="877">
      <x:c r="A877" s="1" t="str">
        <x:v>S0876</x:v>
      </x:c>
      <x:c r="B877" s="1" t="str">
        <x:v>30</x:v>
      </x:c>
      <x:c r="C877" s="1" t="str">
        <x:v>premium</x:v>
      </x:c>
      <x:c r="D877" s="1" t="str">
        <x:v>15.99</x:v>
      </x:c>
      <x:c r="E877" s="1" t="str">
        <x:v>3</x:v>
      </x:c>
      <x:c r="F877" s="1" t="str">
        <x:v>17</x:v>
      </x:c>
      <x:c r="G877" s="1" t="str">
        <x:v>15</x:v>
      </x:c>
      <x:c r="H877" s="1" t="str">
        <x:v>0</x:v>
      </x:c>
      <x:c r="I877" s="1" t="str">
        <x:v>0</x:v>
      </x:c>
      <x:c r="J877" s="1" t="str">
        <x:v>no</x:v>
      </x:c>
      <x:c r="K877" s="1"/>
      <x:c r="L877" s="1"/>
      <x:c r="M877" s="1"/>
      <x:c r="N877" s="1"/>
      <x:c r="O877" s="1"/>
    </x:row>
    <x:row r="878">
      <x:c r="A878" s="1" t="str">
        <x:v>S0877</x:v>
      </x:c>
      <x:c r="B878" s="1" t="str">
        <x:v>33</x:v>
      </x:c>
      <x:c r="C878" s="1" t="str">
        <x:v>basic</x:v>
      </x:c>
      <x:c r="D878" s="1" t="str">
        <x:v>9.99</x:v>
      </x:c>
      <x:c r="E878" s="1" t="str">
        <x:v>1</x:v>
      </x:c>
      <x:c r="F878" s="1" t="str">
        <x:v>30</x:v>
      </x:c>
      <x:c r="G878" s="1" t="str">
        <x:v>2</x:v>
      </x:c>
      <x:c r="H878" s="1" t="str">
        <x:v>0</x:v>
      </x:c>
      <x:c r="I878" s="1" t="str">
        <x:v>0</x:v>
      </x:c>
      <x:c r="J878" s="1" t="str">
        <x:v>no</x:v>
      </x:c>
      <x:c r="K878" s="1"/>
      <x:c r="L878" s="1"/>
      <x:c r="M878" s="1"/>
      <x:c r="N878" s="1"/>
      <x:c r="O878" s="1"/>
    </x:row>
    <x:row r="879">
      <x:c r="A879" s="1" t="str">
        <x:v>S0878</x:v>
      </x:c>
      <x:c r="B879" s="1" t="str">
        <x:v>43</x:v>
      </x:c>
      <x:c r="C879" s="1" t="str">
        <x:v>basic</x:v>
      </x:c>
      <x:c r="D879" s="1" t="str">
        <x:v>9.99</x:v>
      </x:c>
      <x:c r="E879" s="1" t="str">
        <x:v>1</x:v>
      </x:c>
      <x:c r="F879" s="1" t="str">
        <x:v>0</x:v>
      </x:c>
      <x:c r="G879" s="1" t="str">
        <x:v>51</x:v>
      </x:c>
      <x:c r="H879" s="1" t="str">
        <x:v>0</x:v>
      </x:c>
      <x:c r="I879" s="1" t="str">
        <x:v>0</x:v>
      </x:c>
      <x:c r="J879" s="1" t="str">
        <x:v>yes</x:v>
      </x:c>
      <x:c r="K879" s="1"/>
      <x:c r="L879" s="1"/>
      <x:c r="M879" s="1"/>
      <x:c r="N879" s="1"/>
      <x:c r="O879" s="1"/>
    </x:row>
    <x:row r="880">
      <x:c r="A880" s="1" t="str">
        <x:v>S0879</x:v>
      </x:c>
      <x:c r="B880" s="1" t="str">
        <x:v>1</x:v>
      </x:c>
      <x:c r="C880" s="1" t="str">
        <x:v>basic</x:v>
      </x:c>
      <x:c r="D880" s="1" t="str">
        <x:v>9.99</x:v>
      </x:c>
      <x:c r="E880" s="1" t="str">
        <x:v>0</x:v>
      </x:c>
      <x:c r="F880" s="1" t="str">
        <x:v>24</x:v>
      </x:c>
      <x:c r="G880" s="1" t="str">
        <x:v>3</x:v>
      </x:c>
      <x:c r="H880" s="1" t="str">
        <x:v>0</x:v>
      </x:c>
      <x:c r="I880" s="1" t="str">
        <x:v>1</x:v>
      </x:c>
      <x:c r="J880" s="1" t="str">
        <x:v>yes</x:v>
      </x:c>
      <x:c r="K880" s="1"/>
      <x:c r="L880" s="1"/>
      <x:c r="M880" s="1"/>
      <x:c r="N880" s="1"/>
      <x:c r="O880" s="1"/>
    </x:row>
    <x:row r="881">
      <x:c r="A881" s="1" t="str">
        <x:v>S0880</x:v>
      </x:c>
      <x:c r="B881" s="1" t="str">
        <x:v>37</x:v>
      </x:c>
      <x:c r="C881" s="1" t="str">
        <x:v>basic</x:v>
      </x:c>
      <x:c r="D881" s="1" t="str">
        <x:v>9.99</x:v>
      </x:c>
      <x:c r="E881" s="1" t="str">
        <x:v>0</x:v>
      </x:c>
      <x:c r="F881" s="1" t="str">
        <x:v>15</x:v>
      </x:c>
      <x:c r="G881" s="1" t="str">
        <x:v>1</x:v>
      </x:c>
      <x:c r="H881" s="1" t="str">
        <x:v>0</x:v>
      </x:c>
      <x:c r="I881" s="1" t="str">
        <x:v>0</x:v>
      </x:c>
      <x:c r="J881" s="1" t="str">
        <x:v>no</x:v>
      </x:c>
      <x:c r="K881" s="1"/>
      <x:c r="L881" s="1"/>
      <x:c r="M881" s="1"/>
      <x:c r="N881" s="1"/>
      <x:c r="O881" s="1"/>
    </x:row>
    <x:row r="882">
      <x:c r="A882" s="1" t="str">
        <x:v>S0881</x:v>
      </x:c>
      <x:c r="B882" s="1" t="str">
        <x:v>14</x:v>
      </x:c>
      <x:c r="C882" s="1" t="str">
        <x:v>premium</x:v>
      </x:c>
      <x:c r="D882" s="1" t="str">
        <x:v>15.99</x:v>
      </x:c>
      <x:c r="E882" s="1" t="str">
        <x:v>1</x:v>
      </x:c>
      <x:c r="F882" s="1" t="str">
        <x:v>20</x:v>
      </x:c>
      <x:c r="G882" s="1" t="str">
        <x:v>1</x:v>
      </x:c>
      <x:c r="H882" s="1" t="str">
        <x:v>0</x:v>
      </x:c>
      <x:c r="I882" s="1" t="str">
        <x:v>1</x:v>
      </x:c>
      <x:c r="J882" s="1" t="str">
        <x:v>no</x:v>
      </x:c>
      <x:c r="K882" s="1"/>
      <x:c r="L882" s="1"/>
      <x:c r="M882" s="1"/>
      <x:c r="N882" s="1"/>
      <x:c r="O882" s="1"/>
    </x:row>
    <x:row r="883">
      <x:c r="A883" s="1" t="str">
        <x:v>S0882</x:v>
      </x:c>
      <x:c r="B883" s="1" t="str">
        <x:v>16</x:v>
      </x:c>
      <x:c r="C883" s="1" t="str">
        <x:v>premium</x:v>
      </x:c>
      <x:c r="D883" s="1" t="str">
        <x:v>15.99</x:v>
      </x:c>
      <x:c r="E883" s="1" t="str">
        <x:v>1</x:v>
      </x:c>
      <x:c r="F883" s="1" t="str">
        <x:v>18</x:v>
      </x:c>
      <x:c r="G883" s="1" t="str">
        <x:v>14</x:v>
      </x:c>
      <x:c r="H883" s="1" t="str">
        <x:v>0</x:v>
      </x:c>
      <x:c r="I883" s="1" t="str">
        <x:v>0</x:v>
      </x:c>
      <x:c r="J883" s="1" t="str">
        <x:v>no</x:v>
      </x:c>
      <x:c r="K883" s="1"/>
      <x:c r="L883" s="1"/>
      <x:c r="M883" s="1"/>
      <x:c r="N883" s="1"/>
      <x:c r="O883" s="1"/>
    </x:row>
    <x:row r="884">
      <x:c r="A884" s="1" t="str">
        <x:v>S0883</x:v>
      </x:c>
      <x:c r="B884" s="1" t="str">
        <x:v>12</x:v>
      </x:c>
      <x:c r="C884" s="1" t="str">
        <x:v>basic</x:v>
      </x:c>
      <x:c r="D884" s="1" t="str">
        <x:v>9.99</x:v>
      </x:c>
      <x:c r="E884" s="1" t="str">
        <x:v>0</x:v>
      </x:c>
      <x:c r="F884" s="1" t="str">
        <x:v>28</x:v>
      </x:c>
      <x:c r="G884" s="1" t="str">
        <x:v>0</x:v>
      </x:c>
      <x:c r="H884" s="1" t="str">
        <x:v>0</x:v>
      </x:c>
      <x:c r="I884" s="1" t="str">
        <x:v>1</x:v>
      </x:c>
      <x:c r="J884" s="1" t="str">
        <x:v>no</x:v>
      </x:c>
      <x:c r="K884" s="1"/>
      <x:c r="L884" s="1"/>
      <x:c r="M884" s="1"/>
      <x:c r="N884" s="1"/>
      <x:c r="O884" s="1"/>
    </x:row>
    <x:row r="885">
      <x:c r="A885" s="1" t="str">
        <x:v>S0884</x:v>
      </x:c>
      <x:c r="B885" s="1" t="str">
        <x:v>16</x:v>
      </x:c>
      <x:c r="C885" s="1" t="str">
        <x:v>basic</x:v>
      </x:c>
      <x:c r="D885" s="1" t="str">
        <x:v>9.99</x:v>
      </x:c>
      <x:c r="E885" s="1" t="str">
        <x:v>0</x:v>
      </x:c>
      <x:c r="F885" s="1" t="str">
        <x:v>0</x:v>
      </x:c>
      <x:c r="G885" s="1" t="str">
        <x:v>37</x:v>
      </x:c>
      <x:c r="H885" s="1" t="str">
        <x:v>0</x:v>
      </x:c>
      <x:c r="I885" s="1" t="str">
        <x:v>0</x:v>
      </x:c>
      <x:c r="J885" s="1" t="str">
        <x:v>yes</x:v>
      </x:c>
      <x:c r="K885" s="1"/>
      <x:c r="L885" s="1"/>
      <x:c r="M885" s="1"/>
      <x:c r="N885" s="1"/>
      <x:c r="O885" s="1"/>
    </x:row>
    <x:row r="886">
      <x:c r="A886" s="1" t="str">
        <x:v>S0885</x:v>
      </x:c>
      <x:c r="B886" s="1" t="str">
        <x:v>33</x:v>
      </x:c>
      <x:c r="C886" s="1" t="str">
        <x:v>basic</x:v>
      </x:c>
      <x:c r="D886" s="1" t="str">
        <x:v>9.99</x:v>
      </x:c>
      <x:c r="E886" s="1" t="str">
        <x:v>1</x:v>
      </x:c>
      <x:c r="F886" s="1" t="str">
        <x:v>6</x:v>
      </x:c>
      <x:c r="G886" s="1" t="str">
        <x:v>5</x:v>
      </x:c>
      <x:c r="H886" s="1" t="str">
        <x:v>0</x:v>
      </x:c>
      <x:c r="I886" s="1" t="str">
        <x:v>0</x:v>
      </x:c>
      <x:c r="J886" s="1" t="str">
        <x:v>no</x:v>
      </x:c>
      <x:c r="K886" s="1"/>
      <x:c r="L886" s="1"/>
      <x:c r="M886" s="1"/>
      <x:c r="N886" s="1"/>
      <x:c r="O886" s="1"/>
    </x:row>
    <x:row r="887">
      <x:c r="A887" s="1" t="str">
        <x:v>S0886</x:v>
      </x:c>
      <x:c r="B887" s="1" t="str">
        <x:v>2</x:v>
      </x:c>
      <x:c r="C887" s="1" t="str">
        <x:v>basic</x:v>
      </x:c>
      <x:c r="D887" s="1" t="str">
        <x:v>9.99</x:v>
      </x:c>
      <x:c r="E887" s="1" t="str">
        <x:v>0</x:v>
      </x:c>
      <x:c r="F887" s="1" t="str">
        <x:v>27</x:v>
      </x:c>
      <x:c r="G887" s="1" t="str">
        <x:v>5</x:v>
      </x:c>
      <x:c r="H887" s="1" t="str">
        <x:v>0</x:v>
      </x:c>
      <x:c r="I887" s="1" t="str">
        <x:v>1</x:v>
      </x:c>
      <x:c r="J887" s="1" t="str">
        <x:v>no</x:v>
      </x:c>
      <x:c r="K887" s="1"/>
      <x:c r="L887" s="1"/>
      <x:c r="M887" s="1"/>
      <x:c r="N887" s="1"/>
      <x:c r="O887" s="1"/>
    </x:row>
    <x:row r="888">
      <x:c r="A888" s="1" t="str">
        <x:v>S0887</x:v>
      </x:c>
      <x:c r="B888" s="1" t="str">
        <x:v>34</x:v>
      </x:c>
      <x:c r="C888" s="1" t="str">
        <x:v>basic</x:v>
      </x:c>
      <x:c r="D888" s="1" t="str">
        <x:v>9.99</x:v>
      </x:c>
      <x:c r="E888" s="1" t="str">
        <x:v>0</x:v>
      </x:c>
      <x:c r="F888" s="1" t="str">
        <x:v>16</x:v>
      </x:c>
      <x:c r="G888" s="1" t="str">
        <x:v>6</x:v>
      </x:c>
      <x:c r="H888" s="1" t="str">
        <x:v>0</x:v>
      </x:c>
      <x:c r="I888" s="1" t="str">
        <x:v>0</x:v>
      </x:c>
      <x:c r="J888" s="1" t="str">
        <x:v>no</x:v>
      </x:c>
      <x:c r="K888" s="1"/>
      <x:c r="L888" s="1"/>
      <x:c r="M888" s="1"/>
      <x:c r="N888" s="1"/>
      <x:c r="O888" s="1"/>
    </x:row>
    <x:row r="889">
      <x:c r="A889" s="1" t="str">
        <x:v>S0888</x:v>
      </x:c>
      <x:c r="B889" s="1" t="str">
        <x:v>26</x:v>
      </x:c>
      <x:c r="C889" s="1" t="str">
        <x:v>basic</x:v>
      </x:c>
      <x:c r="D889" s="1" t="str">
        <x:v>9.99</x:v>
      </x:c>
      <x:c r="E889" s="1" t="str">
        <x:v>1</x:v>
      </x:c>
      <x:c r="F889" s="1" t="str">
        <x:v>32</x:v>
      </x:c>
      <x:c r="G889" s="1" t="str">
        <x:v>0</x:v>
      </x:c>
      <x:c r="H889" s="1" t="str">
        <x:v>1</x:v>
      </x:c>
      <x:c r="I889" s="1" t="str">
        <x:v>0</x:v>
      </x:c>
      <x:c r="J889" s="1" t="str">
        <x:v>no</x:v>
      </x:c>
      <x:c r="K889" s="1"/>
      <x:c r="L889" s="1"/>
      <x:c r="M889" s="1"/>
      <x:c r="N889" s="1"/>
      <x:c r="O889" s="1"/>
    </x:row>
    <x:row r="890">
      <x:c r="A890" s="1" t="str">
        <x:v>S0889</x:v>
      </x:c>
      <x:c r="B890" s="1" t="str">
        <x:v>3</x:v>
      </x:c>
      <x:c r="C890" s="1" t="str">
        <x:v>premium</x:v>
      </x:c>
      <x:c r="D890" s="1" t="str">
        <x:v>15.99</x:v>
      </x:c>
      <x:c r="E890" s="1" t="str">
        <x:v>2</x:v>
      </x:c>
      <x:c r="F890" s="1" t="str">
        <x:v>19</x:v>
      </x:c>
      <x:c r="G890" s="1" t="str">
        <x:v>2</x:v>
      </x:c>
      <x:c r="H890" s="1" t="str">
        <x:v>0</x:v>
      </x:c>
      <x:c r="I890" s="1" t="str">
        <x:v>0</x:v>
      </x:c>
      <x:c r="J890" s="1" t="str">
        <x:v>no</x:v>
      </x:c>
      <x:c r="K890" s="1"/>
      <x:c r="L890" s="1"/>
      <x:c r="M890" s="1"/>
      <x:c r="N890" s="1"/>
      <x:c r="O890" s="1"/>
    </x:row>
    <x:row r="891">
      <x:c r="A891" s="1" t="str">
        <x:v>S0890</x:v>
      </x:c>
      <x:c r="B891" s="1" t="str">
        <x:v>22</x:v>
      </x:c>
      <x:c r="C891" s="1" t="str">
        <x:v>premium</x:v>
      </x:c>
      <x:c r="D891" s="1" t="str">
        <x:v>15.99</x:v>
      </x:c>
      <x:c r="E891" s="1" t="str">
        <x:v>1</x:v>
      </x:c>
      <x:c r="F891" s="1" t="str">
        <x:v>10</x:v>
      </x:c>
      <x:c r="G891" s="1" t="str">
        <x:v>5</x:v>
      </x:c>
      <x:c r="H891" s="1" t="str">
        <x:v>0</x:v>
      </x:c>
      <x:c r="I891" s="1" t="str">
        <x:v>0</x:v>
      </x:c>
      <x:c r="J891" s="1" t="str">
        <x:v>no</x:v>
      </x:c>
      <x:c r="K891" s="1"/>
      <x:c r="L891" s="1"/>
      <x:c r="M891" s="1"/>
      <x:c r="N891" s="1"/>
      <x:c r="O891" s="1"/>
    </x:row>
    <x:row r="892">
      <x:c r="A892" s="1" t="str">
        <x:v>S0891</x:v>
      </x:c>
      <x:c r="B892" s="1" t="str">
        <x:v>6</x:v>
      </x:c>
      <x:c r="C892" s="1" t="str">
        <x:v>basic</x:v>
      </x:c>
      <x:c r="D892" s="1" t="str">
        <x:v>9.99</x:v>
      </x:c>
      <x:c r="E892" s="1" t="str">
        <x:v>0</x:v>
      </x:c>
      <x:c r="F892" s="1" t="str">
        <x:v>28</x:v>
      </x:c>
      <x:c r="G892" s="1" t="str">
        <x:v>5</x:v>
      </x:c>
      <x:c r="H892" s="1" t="str">
        <x:v>0</x:v>
      </x:c>
      <x:c r="I892" s="1" t="str">
        <x:v>0</x:v>
      </x:c>
      <x:c r="J892" s="1" t="str">
        <x:v>no</x:v>
      </x:c>
      <x:c r="K892" s="1"/>
      <x:c r="L892" s="1"/>
      <x:c r="M892" s="1"/>
      <x:c r="N892" s="1"/>
      <x:c r="O892" s="1"/>
    </x:row>
    <x:row r="893">
      <x:c r="A893" s="1" t="str">
        <x:v>S0892</x:v>
      </x:c>
      <x:c r="B893" s="1" t="str">
        <x:v>4</x:v>
      </x:c>
      <x:c r="C893" s="1" t="str">
        <x:v>basic</x:v>
      </x:c>
      <x:c r="D893" s="1" t="str">
        <x:v>9.99</x:v>
      </x:c>
      <x:c r="E893" s="1" t="str">
        <x:v>3</x:v>
      </x:c>
      <x:c r="F893" s="1" t="str">
        <x:v>26</x:v>
      </x:c>
      <x:c r="G893" s="1" t="str">
        <x:v>2</x:v>
      </x:c>
      <x:c r="H893" s="1" t="str">
        <x:v>0</x:v>
      </x:c>
      <x:c r="I893" s="1" t="str">
        <x:v>0</x:v>
      </x:c>
      <x:c r="J893" s="1" t="str">
        <x:v>no</x:v>
      </x:c>
      <x:c r="K893" s="1"/>
      <x:c r="L893" s="1"/>
      <x:c r="M893" s="1"/>
      <x:c r="N893" s="1"/>
      <x:c r="O893" s="1"/>
    </x:row>
    <x:row r="894">
      <x:c r="A894" s="1" t="str">
        <x:v>S0893</x:v>
      </x:c>
      <x:c r="B894" s="1" t="str">
        <x:v>46</x:v>
      </x:c>
      <x:c r="C894" s="1" t="str">
        <x:v>premium</x:v>
      </x:c>
      <x:c r="D894" s="1" t="str">
        <x:v>15.99</x:v>
      </x:c>
      <x:c r="E894" s="1" t="str">
        <x:v>1</x:v>
      </x:c>
      <x:c r="F894" s="1" t="str">
        <x:v>22</x:v>
      </x:c>
      <x:c r="G894" s="1" t="str">
        <x:v>6</x:v>
      </x:c>
      <x:c r="H894" s="1" t="str">
        <x:v>0</x:v>
      </x:c>
      <x:c r="I894" s="1" t="str">
        <x:v>0</x:v>
      </x:c>
      <x:c r="J894" s="1" t="str">
        <x:v>no</x:v>
      </x:c>
      <x:c r="K894" s="1"/>
      <x:c r="L894" s="1"/>
      <x:c r="M894" s="1"/>
      <x:c r="N894" s="1"/>
      <x:c r="O894" s="1"/>
    </x:row>
    <x:row r="895">
      <x:c r="A895" s="1" t="str">
        <x:v>S0894</x:v>
      </x:c>
      <x:c r="B895" s="1" t="str">
        <x:v>2</x:v>
      </x:c>
      <x:c r="C895" s="1" t="str">
        <x:v>basic</x:v>
      </x:c>
      <x:c r="D895" s="1" t="str">
        <x:v>9.99</x:v>
      </x:c>
      <x:c r="E895" s="1" t="str">
        <x:v>0</x:v>
      </x:c>
      <x:c r="F895" s="1" t="str">
        <x:v>17</x:v>
      </x:c>
      <x:c r="G895" s="1" t="str">
        <x:v>21</x:v>
      </x:c>
      <x:c r="H895" s="1" t="str">
        <x:v>0</x:v>
      </x:c>
      <x:c r="I895" s="1" t="str">
        <x:v>0</x:v>
      </x:c>
      <x:c r="J895" s="1" t="str">
        <x:v>no</x:v>
      </x:c>
      <x:c r="K895" s="1"/>
      <x:c r="L895" s="1"/>
      <x:c r="M895" s="1"/>
      <x:c r="N895" s="1"/>
      <x:c r="O895" s="1"/>
    </x:row>
    <x:row r="896">
      <x:c r="A896" s="1" t="str">
        <x:v>S0895</x:v>
      </x:c>
      <x:c r="B896" s="1" t="str">
        <x:v>13</x:v>
      </x:c>
      <x:c r="C896" s="1" t="str">
        <x:v>basic</x:v>
      </x:c>
      <x:c r="D896" s="1" t="str">
        <x:v>9.99</x:v>
      </x:c>
      <x:c r="E896" s="1" t="str">
        <x:v>0</x:v>
      </x:c>
      <x:c r="F896" s="1" t="str">
        <x:v>29</x:v>
      </x:c>
      <x:c r="G896" s="1" t="str">
        <x:v>2</x:v>
      </x:c>
      <x:c r="H896" s="1" t="str">
        <x:v>0</x:v>
      </x:c>
      <x:c r="I896" s="1" t="str">
        <x:v>0</x:v>
      </x:c>
      <x:c r="J896" s="1" t="str">
        <x:v>no</x:v>
      </x:c>
      <x:c r="K896" s="1"/>
      <x:c r="L896" s="1"/>
      <x:c r="M896" s="1"/>
      <x:c r="N896" s="1"/>
      <x:c r="O896" s="1"/>
    </x:row>
    <x:row r="897">
      <x:c r="A897" s="1" t="str">
        <x:v>S0896</x:v>
      </x:c>
      <x:c r="B897" s="1" t="str">
        <x:v>10</x:v>
      </x:c>
      <x:c r="C897" s="1" t="str">
        <x:v>premium</x:v>
      </x:c>
      <x:c r="D897" s="1" t="str">
        <x:v>15.99</x:v>
      </x:c>
      <x:c r="E897" s="1" t="str">
        <x:v>0</x:v>
      </x:c>
      <x:c r="F897" s="1" t="str">
        <x:v>25</x:v>
      </x:c>
      <x:c r="G897" s="1" t="str">
        <x:v>2</x:v>
      </x:c>
      <x:c r="H897" s="1" t="str">
        <x:v>1</x:v>
      </x:c>
      <x:c r="I897" s="1" t="str">
        <x:v>0</x:v>
      </x:c>
      <x:c r="J897" s="1" t="str">
        <x:v>no</x:v>
      </x:c>
      <x:c r="K897" s="1"/>
      <x:c r="L897" s="1"/>
      <x:c r="M897" s="1"/>
      <x:c r="N897" s="1"/>
      <x:c r="O897" s="1"/>
    </x:row>
    <x:row r="898">
      <x:c r="A898" s="1" t="str">
        <x:v>S0897</x:v>
      </x:c>
      <x:c r="B898" s="1" t="str">
        <x:v>27</x:v>
      </x:c>
      <x:c r="C898" s="1" t="str">
        <x:v>basic</x:v>
      </x:c>
      <x:c r="D898" s="1" t="str">
        <x:v>9.99</x:v>
      </x:c>
      <x:c r="E898" s="1" t="str">
        <x:v>3</x:v>
      </x:c>
      <x:c r="F898" s="1" t="str">
        <x:v>13</x:v>
      </x:c>
      <x:c r="G898" s="1" t="str">
        <x:v>23</x:v>
      </x:c>
      <x:c r="H898" s="1" t="str">
        <x:v>0</x:v>
      </x:c>
      <x:c r="I898" s="1" t="str">
        <x:v>0</x:v>
      </x:c>
      <x:c r="J898" s="1" t="str">
        <x:v>yes</x:v>
      </x:c>
      <x:c r="K898" s="1"/>
      <x:c r="L898" s="1"/>
      <x:c r="M898" s="1"/>
      <x:c r="N898" s="1"/>
      <x:c r="O898" s="1"/>
    </x:row>
    <x:row r="899">
      <x:c r="A899" s="1" t="str">
        <x:v>S0898</x:v>
      </x:c>
      <x:c r="B899" s="1" t="str">
        <x:v>3</x:v>
      </x:c>
      <x:c r="C899" s="1" t="str">
        <x:v>basic</x:v>
      </x:c>
      <x:c r="D899" s="1" t="str">
        <x:v>9.99</x:v>
      </x:c>
      <x:c r="E899" s="1" t="str">
        <x:v>3</x:v>
      </x:c>
      <x:c r="F899" s="1" t="str">
        <x:v>12</x:v>
      </x:c>
      <x:c r="G899" s="1" t="str">
        <x:v>2</x:v>
      </x:c>
      <x:c r="H899" s="1" t="str">
        <x:v>0</x:v>
      </x:c>
      <x:c r="I899" s="1" t="str">
        <x:v>0</x:v>
      </x:c>
      <x:c r="J899" s="1" t="str">
        <x:v>no</x:v>
      </x:c>
      <x:c r="K899" s="1"/>
      <x:c r="L899" s="1"/>
      <x:c r="M899" s="1"/>
      <x:c r="N899" s="1"/>
      <x:c r="O899" s="1"/>
    </x:row>
    <x:row r="900">
      <x:c r="A900" s="1" t="str">
        <x:v>S0899</x:v>
      </x:c>
      <x:c r="B900" s="1" t="str">
        <x:v>48</x:v>
      </x:c>
      <x:c r="C900" s="1" t="str">
        <x:v>premium</x:v>
      </x:c>
      <x:c r="D900" s="1" t="str">
        <x:v>15.99</x:v>
      </x:c>
      <x:c r="E900" s="1" t="str">
        <x:v>1</x:v>
      </x:c>
      <x:c r="F900" s="1" t="str">
        <x:v>28</x:v>
      </x:c>
      <x:c r="G900" s="1" t="str">
        <x:v>6</x:v>
      </x:c>
      <x:c r="H900" s="1" t="str">
        <x:v>0</x:v>
      </x:c>
      <x:c r="I900" s="1" t="str">
        <x:v>0</x:v>
      </x:c>
      <x:c r="J900" s="1" t="str">
        <x:v>no</x:v>
      </x:c>
      <x:c r="K900" s="1"/>
      <x:c r="L900" s="1"/>
      <x:c r="M900" s="1"/>
      <x:c r="N900" s="1"/>
      <x:c r="O900" s="1"/>
    </x:row>
    <x:row r="901">
      <x:c r="A901" s="1" t="str">
        <x:v>S0900</x:v>
      </x:c>
      <x:c r="B901" s="1" t="str">
        <x:v>7</x:v>
      </x:c>
      <x:c r="C901" s="1" t="str">
        <x:v>basic</x:v>
      </x:c>
      <x:c r="D901" s="1" t="str">
        <x:v>9.99</x:v>
      </x:c>
      <x:c r="E901" s="1" t="str">
        <x:v>1</x:v>
      </x:c>
      <x:c r="F901" s="1" t="str">
        <x:v>20</x:v>
      </x:c>
      <x:c r="G901" s="1" t="str">
        <x:v>3</x:v>
      </x:c>
      <x:c r="H901" s="1" t="str">
        <x:v>0</x:v>
      </x:c>
      <x:c r="I901" s="1" t="str">
        <x:v>1</x:v>
      </x:c>
      <x:c r="J901" s="1" t="str">
        <x:v>no</x:v>
      </x:c>
      <x:c r="K901" s="1"/>
      <x:c r="L901" s="1"/>
      <x:c r="M901" s="1"/>
      <x:c r="N901" s="1"/>
      <x:c r="O901" s="1"/>
    </x:row>
    <x:row r="902">
      <x:c r="A902" s="1" t="str">
        <x:v>S0901</x:v>
      </x:c>
      <x:c r="B902" s="1" t="str">
        <x:v>37</x:v>
      </x:c>
      <x:c r="C902" s="1" t="str">
        <x:v>premium</x:v>
      </x:c>
      <x:c r="D902" s="1" t="str">
        <x:v>15.99</x:v>
      </x:c>
      <x:c r="E902" s="1" t="str">
        <x:v>0</x:v>
      </x:c>
      <x:c r="F902" s="1" t="str">
        <x:v>11</x:v>
      </x:c>
      <x:c r="G902" s="1" t="str">
        <x:v>2</x:v>
      </x:c>
      <x:c r="H902" s="1" t="str">
        <x:v>0</x:v>
      </x:c>
      <x:c r="I902" s="1" t="str">
        <x:v>1</x:v>
      </x:c>
      <x:c r="J902" s="1" t="str">
        <x:v>no</x:v>
      </x:c>
      <x:c r="K902" s="1"/>
      <x:c r="L902" s="1"/>
      <x:c r="M902" s="1"/>
      <x:c r="N902" s="1"/>
      <x:c r="O902" s="1"/>
    </x:row>
    <x:row r="903">
      <x:c r="A903" s="1" t="str">
        <x:v>S0902</x:v>
      </x:c>
      <x:c r="B903" s="1" t="str">
        <x:v>1</x:v>
      </x:c>
      <x:c r="C903" s="1" t="str">
        <x:v>basic</x:v>
      </x:c>
      <x:c r="D903" s="1" t="str">
        <x:v>9.99</x:v>
      </x:c>
      <x:c r="E903" s="1" t="str">
        <x:v>0</x:v>
      </x:c>
      <x:c r="F903" s="1" t="str">
        <x:v>9</x:v>
      </x:c>
      <x:c r="G903" s="1" t="str">
        <x:v>30</x:v>
      </x:c>
      <x:c r="H903" s="1" t="str">
        <x:v>1</x:v>
      </x:c>
      <x:c r="I903" s="1" t="str">
        <x:v>0</x:v>
      </x:c>
      <x:c r="J903" s="1" t="str">
        <x:v>yes</x:v>
      </x:c>
      <x:c r="K903" s="1"/>
      <x:c r="L903" s="1"/>
      <x:c r="M903" s="1"/>
      <x:c r="N903" s="1"/>
      <x:c r="O903" s="1"/>
    </x:row>
    <x:row r="904">
      <x:c r="A904" s="1" t="str">
        <x:v>S0903</x:v>
      </x:c>
      <x:c r="B904" s="1" t="str">
        <x:v>23</x:v>
      </x:c>
      <x:c r="C904" s="1" t="str">
        <x:v>basic</x:v>
      </x:c>
      <x:c r="D904" s="1" t="str">
        <x:v>9.99</x:v>
      </x:c>
      <x:c r="E904" s="1" t="str">
        <x:v>1</x:v>
      </x:c>
      <x:c r="F904" s="1" t="str">
        <x:v>18</x:v>
      </x:c>
      <x:c r="G904" s="1" t="str">
        <x:v>2</x:v>
      </x:c>
      <x:c r="H904" s="1" t="str">
        <x:v>1</x:v>
      </x:c>
      <x:c r="I904" s="1" t="str">
        <x:v>0</x:v>
      </x:c>
      <x:c r="J904" s="1" t="str">
        <x:v>no</x:v>
      </x:c>
      <x:c r="K904" s="1"/>
      <x:c r="L904" s="1"/>
      <x:c r="M904" s="1"/>
      <x:c r="N904" s="1"/>
      <x:c r="O904" s="1"/>
    </x:row>
    <x:row r="905">
      <x:c r="A905" s="1" t="str">
        <x:v>S0904</x:v>
      </x:c>
      <x:c r="B905" s="1" t="str">
        <x:v>16</x:v>
      </x:c>
      <x:c r="C905" s="1" t="str">
        <x:v>basic</x:v>
      </x:c>
      <x:c r="D905" s="1" t="str">
        <x:v>9.99</x:v>
      </x:c>
      <x:c r="E905" s="1" t="str">
        <x:v>0</x:v>
      </x:c>
      <x:c r="F905" s="1" t="str">
        <x:v>1</x:v>
      </x:c>
      <x:c r="G905" s="1" t="str">
        <x:v>22</x:v>
      </x:c>
      <x:c r="H905" s="1" t="str">
        <x:v>1</x:v>
      </x:c>
      <x:c r="I905" s="1" t="str">
        <x:v>0</x:v>
      </x:c>
      <x:c r="J905" s="1" t="str">
        <x:v>yes</x:v>
      </x:c>
      <x:c r="K905" s="1"/>
      <x:c r="L905" s="1"/>
      <x:c r="M905" s="1"/>
      <x:c r="N905" s="1"/>
      <x:c r="O905" s="1"/>
    </x:row>
    <x:row r="906">
      <x:c r="A906" s="1" t="str">
        <x:v>S0905</x:v>
      </x:c>
      <x:c r="B906" s="1" t="str">
        <x:v>30</x:v>
      </x:c>
      <x:c r="C906" s="1" t="str">
        <x:v>premium</x:v>
      </x:c>
      <x:c r="D906" s="1" t="str">
        <x:v>15.99</x:v>
      </x:c>
      <x:c r="E906" s="1" t="str">
        <x:v>2</x:v>
      </x:c>
      <x:c r="F906" s="1" t="str">
        <x:v>0</x:v>
      </x:c>
      <x:c r="G906" s="1" t="str">
        <x:v>60</x:v>
      </x:c>
      <x:c r="H906" s="1" t="str">
        <x:v>0</x:v>
      </x:c>
      <x:c r="I906" s="1" t="str">
        <x:v>0</x:v>
      </x:c>
      <x:c r="J906" s="1" t="str">
        <x:v>yes</x:v>
      </x:c>
      <x:c r="K906" s="1"/>
      <x:c r="L906" s="1"/>
      <x:c r="M906" s="1"/>
      <x:c r="N906" s="1"/>
      <x:c r="O906" s="1"/>
    </x:row>
    <x:row r="907">
      <x:c r="A907" s="1" t="str">
        <x:v>S0906</x:v>
      </x:c>
      <x:c r="B907" s="1" t="str">
        <x:v>30</x:v>
      </x:c>
      <x:c r="C907" s="1" t="str">
        <x:v>basic</x:v>
      </x:c>
      <x:c r="D907" s="1" t="str">
        <x:v>9.99</x:v>
      </x:c>
      <x:c r="E907" s="1" t="str">
        <x:v>2</x:v>
      </x:c>
      <x:c r="F907" s="1" t="str">
        <x:v>32</x:v>
      </x:c>
      <x:c r="G907" s="1" t="str">
        <x:v>0</x:v>
      </x:c>
      <x:c r="H907" s="1" t="str">
        <x:v>0</x:v>
      </x:c>
      <x:c r="I907" s="1" t="str">
        <x:v>0</x:v>
      </x:c>
      <x:c r="J907" s="1" t="str">
        <x:v>no</x:v>
      </x:c>
      <x:c r="K907" s="1"/>
      <x:c r="L907" s="1"/>
      <x:c r="M907" s="1"/>
      <x:c r="N907" s="1"/>
      <x:c r="O907" s="1"/>
    </x:row>
    <x:row r="908">
      <x:c r="A908" s="1" t="str">
        <x:v>S0907</x:v>
      </x:c>
      <x:c r="B908" s="1" t="str">
        <x:v>9</x:v>
      </x:c>
      <x:c r="C908" s="1" t="str">
        <x:v>basic</x:v>
      </x:c>
      <x:c r="D908" s="1" t="str">
        <x:v>9.99</x:v>
      </x:c>
      <x:c r="E908" s="1" t="str">
        <x:v>0</x:v>
      </x:c>
      <x:c r="F908" s="1" t="str">
        <x:v>24</x:v>
      </x:c>
      <x:c r="G908" s="1" t="str">
        <x:v>3</x:v>
      </x:c>
      <x:c r="H908" s="1" t="str">
        <x:v>0</x:v>
      </x:c>
      <x:c r="I908" s="1" t="str">
        <x:v>0</x:v>
      </x:c>
      <x:c r="J908" s="1" t="str">
        <x:v>no</x:v>
      </x:c>
      <x:c r="K908" s="1"/>
      <x:c r="L908" s="1"/>
      <x:c r="M908" s="1"/>
      <x:c r="N908" s="1"/>
      <x:c r="O908" s="1"/>
    </x:row>
    <x:row r="909">
      <x:c r="A909" s="1" t="str">
        <x:v>S0908</x:v>
      </x:c>
      <x:c r="B909" s="1" t="str">
        <x:v>44</x:v>
      </x:c>
      <x:c r="C909" s="1" t="str">
        <x:v>basic</x:v>
      </x:c>
      <x:c r="D909" s="1" t="str">
        <x:v>9.99</x:v>
      </x:c>
      <x:c r="E909" s="1" t="str">
        <x:v>1</x:v>
      </x:c>
      <x:c r="F909" s="1" t="str">
        <x:v>23</x:v>
      </x:c>
      <x:c r="G909" s="1" t="str">
        <x:v>7</x:v>
      </x:c>
      <x:c r="H909" s="1" t="str">
        <x:v>0</x:v>
      </x:c>
      <x:c r="I909" s="1" t="str">
        <x:v>0</x:v>
      </x:c>
      <x:c r="J909" s="1" t="str">
        <x:v>no</x:v>
      </x:c>
      <x:c r="K909" s="1"/>
      <x:c r="L909" s="1"/>
      <x:c r="M909" s="1"/>
      <x:c r="N909" s="1"/>
      <x:c r="O909" s="1"/>
    </x:row>
    <x:row r="910">
      <x:c r="A910" s="1" t="str">
        <x:v>S0909</x:v>
      </x:c>
      <x:c r="B910" s="1" t="str">
        <x:v>24</x:v>
      </x:c>
      <x:c r="C910" s="1" t="str">
        <x:v>premium</x:v>
      </x:c>
      <x:c r="D910" s="1" t="str">
        <x:v>15.99</x:v>
      </x:c>
      <x:c r="E910" s="1" t="str">
        <x:v>1</x:v>
      </x:c>
      <x:c r="F910" s="1" t="str">
        <x:v>16</x:v>
      </x:c>
      <x:c r="G910" s="1" t="str">
        <x:v>24</x:v>
      </x:c>
      <x:c r="H910" s="1" t="str">
        <x:v>0</x:v>
      </x:c>
      <x:c r="I910" s="1" t="str">
        <x:v>0</x:v>
      </x:c>
      <x:c r="J910" s="1" t="str">
        <x:v>no</x:v>
      </x:c>
      <x:c r="K910" s="1"/>
      <x:c r="L910" s="1"/>
      <x:c r="M910" s="1"/>
      <x:c r="N910" s="1"/>
      <x:c r="O910" s="1"/>
    </x:row>
    <x:row r="911">
      <x:c r="A911" s="1" t="str">
        <x:v>S0910</x:v>
      </x:c>
      <x:c r="B911" s="1" t="str">
        <x:v>25</x:v>
      </x:c>
      <x:c r="C911" s="1" t="str">
        <x:v>premium</x:v>
      </x:c>
      <x:c r="D911" s="1" t="str">
        <x:v>15.99</x:v>
      </x:c>
      <x:c r="E911" s="1" t="str">
        <x:v>0</x:v>
      </x:c>
      <x:c r="F911" s="1" t="str">
        <x:v>0</x:v>
      </x:c>
      <x:c r="G911" s="1" t="str">
        <x:v>51</x:v>
      </x:c>
      <x:c r="H911" s="1" t="str">
        <x:v>0</x:v>
      </x:c>
      <x:c r="I911" s="1" t="str">
        <x:v>0</x:v>
      </x:c>
      <x:c r="J911" s="1" t="str">
        <x:v>yes</x:v>
      </x:c>
      <x:c r="K911" s="1"/>
      <x:c r="L911" s="1"/>
      <x:c r="M911" s="1"/>
      <x:c r="N911" s="1"/>
      <x:c r="O911" s="1"/>
    </x:row>
    <x:row r="912">
      <x:c r="A912" s="1" t="str">
        <x:v>S0911</x:v>
      </x:c>
      <x:c r="B912" s="1" t="str">
        <x:v>15</x:v>
      </x:c>
      <x:c r="C912" s="1" t="str">
        <x:v>basic</x:v>
      </x:c>
      <x:c r="D912" s="1" t="str">
        <x:v>9.99</x:v>
      </x:c>
      <x:c r="E912" s="1" t="str">
        <x:v>0</x:v>
      </x:c>
      <x:c r="F912" s="1" t="str">
        <x:v>26</x:v>
      </x:c>
      <x:c r="G912" s="1" t="str">
        <x:v>1</x:v>
      </x:c>
      <x:c r="H912" s="1" t="str">
        <x:v>0</x:v>
      </x:c>
      <x:c r="I912" s="1" t="str">
        <x:v>0</x:v>
      </x:c>
      <x:c r="J912" s="1" t="str">
        <x:v>no</x:v>
      </x:c>
      <x:c r="K912" s="1"/>
      <x:c r="L912" s="1"/>
      <x:c r="M912" s="1"/>
      <x:c r="N912" s="1"/>
      <x:c r="O912" s="1"/>
    </x:row>
    <x:row r="913">
      <x:c r="A913" s="1" t="str">
        <x:v>S0912</x:v>
      </x:c>
      <x:c r="B913" s="1" t="str">
        <x:v>25</x:v>
      </x:c>
      <x:c r="C913" s="1" t="str">
        <x:v>premium</x:v>
      </x:c>
      <x:c r="D913" s="1" t="str">
        <x:v>15.99</x:v>
      </x:c>
      <x:c r="E913" s="1" t="str">
        <x:v>3</x:v>
      </x:c>
      <x:c r="F913" s="1" t="str">
        <x:v>6</x:v>
      </x:c>
      <x:c r="G913" s="1" t="str">
        <x:v>4</x:v>
      </x:c>
      <x:c r="H913" s="1" t="str">
        <x:v>0</x:v>
      </x:c>
      <x:c r="I913" s="1" t="str">
        <x:v>0</x:v>
      </x:c>
      <x:c r="J913" s="1" t="str">
        <x:v>no</x:v>
      </x:c>
      <x:c r="K913" s="1"/>
      <x:c r="L913" s="1"/>
      <x:c r="M913" s="1"/>
      <x:c r="N913" s="1"/>
      <x:c r="O913" s="1"/>
    </x:row>
    <x:row r="914">
      <x:c r="A914" s="1" t="str">
        <x:v>S0913</x:v>
      </x:c>
      <x:c r="B914" s="1" t="str">
        <x:v>43</x:v>
      </x:c>
      <x:c r="C914" s="1" t="str">
        <x:v>basic</x:v>
      </x:c>
      <x:c r="D914" s="1" t="str">
        <x:v>9.99</x:v>
      </x:c>
      <x:c r="E914" s="1" t="str">
        <x:v>0</x:v>
      </x:c>
      <x:c r="F914" s="1" t="str">
        <x:v>8</x:v>
      </x:c>
      <x:c r="G914" s="1" t="str">
        <x:v>30</x:v>
      </x:c>
      <x:c r="H914" s="1" t="str">
        <x:v>0</x:v>
      </x:c>
      <x:c r="I914" s="1" t="str">
        <x:v>0</x:v>
      </x:c>
      <x:c r="J914" s="1" t="str">
        <x:v>no</x:v>
      </x:c>
      <x:c r="K914" s="1"/>
      <x:c r="L914" s="1"/>
      <x:c r="M914" s="1"/>
      <x:c r="N914" s="1"/>
      <x:c r="O914" s="1"/>
    </x:row>
    <x:row r="915">
      <x:c r="A915" s="1" t="str">
        <x:v>S0914</x:v>
      </x:c>
      <x:c r="B915" s="1" t="str">
        <x:v>35</x:v>
      </x:c>
      <x:c r="C915" s="1" t="str">
        <x:v>basic</x:v>
      </x:c>
      <x:c r="D915" s="1" t="str">
        <x:v>9.99</x:v>
      </x:c>
      <x:c r="E915" s="1" t="str">
        <x:v>0</x:v>
      </x:c>
      <x:c r="F915" s="1" t="str">
        <x:v>0</x:v>
      </x:c>
      <x:c r="G915" s="1" t="str">
        <x:v>50</x:v>
      </x:c>
      <x:c r="H915" s="1" t="str">
        <x:v>0</x:v>
      </x:c>
      <x:c r="I915" s="1" t="str">
        <x:v>0</x:v>
      </x:c>
      <x:c r="J915" s="1" t="str">
        <x:v>no</x:v>
      </x:c>
      <x:c r="K915" s="1"/>
      <x:c r="L915" s="1"/>
      <x:c r="M915" s="1"/>
      <x:c r="N915" s="1"/>
      <x:c r="O915" s="1"/>
    </x:row>
    <x:row r="916">
      <x:c r="A916" s="1" t="str">
        <x:v>S0915</x:v>
      </x:c>
      <x:c r="B916" s="1" t="str">
        <x:v>9</x:v>
      </x:c>
      <x:c r="C916" s="1" t="str">
        <x:v>premium</x:v>
      </x:c>
      <x:c r="D916" s="1" t="str">
        <x:v>15.99</x:v>
      </x:c>
      <x:c r="E916" s="1" t="str">
        <x:v>0</x:v>
      </x:c>
      <x:c r="F916" s="1" t="str">
        <x:v>1</x:v>
      </x:c>
      <x:c r="G916" s="1" t="str">
        <x:v>19</x:v>
      </x:c>
      <x:c r="H916" s="1" t="str">
        <x:v>0</x:v>
      </x:c>
      <x:c r="I916" s="1" t="str">
        <x:v>0</x:v>
      </x:c>
      <x:c r="J916" s="1" t="str">
        <x:v>no</x:v>
      </x:c>
      <x:c r="K916" s="1"/>
      <x:c r="L916" s="1"/>
      <x:c r="M916" s="1"/>
      <x:c r="N916" s="1"/>
      <x:c r="O916" s="1"/>
    </x:row>
    <x:row r="917">
      <x:c r="A917" s="1" t="str">
        <x:v>S0916</x:v>
      </x:c>
      <x:c r="B917" s="1" t="str">
        <x:v>38</x:v>
      </x:c>
      <x:c r="C917" s="1" t="str">
        <x:v>basic</x:v>
      </x:c>
      <x:c r="D917" s="1" t="str">
        <x:v>9.99</x:v>
      </x:c>
      <x:c r="E917" s="1" t="str">
        <x:v>1</x:v>
      </x:c>
      <x:c r="F917" s="1" t="str">
        <x:v>14</x:v>
      </x:c>
      <x:c r="G917" s="1" t="str">
        <x:v>9</x:v>
      </x:c>
      <x:c r="H917" s="1" t="str">
        <x:v>0</x:v>
      </x:c>
      <x:c r="I917" s="1" t="str">
        <x:v>0</x:v>
      </x:c>
      <x:c r="J917" s="1" t="str">
        <x:v>no</x:v>
      </x:c>
      <x:c r="K917" s="1"/>
      <x:c r="L917" s="1"/>
      <x:c r="M917" s="1"/>
      <x:c r="N917" s="1"/>
      <x:c r="O917" s="1"/>
    </x:row>
    <x:row r="918">
      <x:c r="A918" s="1" t="str">
        <x:v>S0917</x:v>
      </x:c>
      <x:c r="B918" s="1" t="str">
        <x:v>48</x:v>
      </x:c>
      <x:c r="C918" s="1" t="str">
        <x:v>basic</x:v>
      </x:c>
      <x:c r="D918" s="1" t="str">
        <x:v>9.99</x:v>
      </x:c>
      <x:c r="E918" s="1" t="str">
        <x:v>4</x:v>
      </x:c>
      <x:c r="F918" s="1" t="str">
        <x:v>9</x:v>
      </x:c>
      <x:c r="G918" s="1" t="str">
        <x:v>1</x:v>
      </x:c>
      <x:c r="H918" s="1" t="str">
        <x:v>0</x:v>
      </x:c>
      <x:c r="I918" s="1" t="str">
        <x:v>0</x:v>
      </x:c>
      <x:c r="J918" s="1" t="str">
        <x:v>no</x:v>
      </x:c>
      <x:c r="K918" s="1"/>
      <x:c r="L918" s="1"/>
      <x:c r="M918" s="1"/>
      <x:c r="N918" s="1"/>
      <x:c r="O918" s="1"/>
    </x:row>
    <x:row r="919">
      <x:c r="A919" s="1" t="str">
        <x:v>S0918</x:v>
      </x:c>
      <x:c r="B919" s="1" t="str">
        <x:v>21</x:v>
      </x:c>
      <x:c r="C919" s="1" t="str">
        <x:v>basic</x:v>
      </x:c>
      <x:c r="D919" s="1" t="str">
        <x:v>9.99</x:v>
      </x:c>
      <x:c r="E919" s="1" t="str">
        <x:v>2</x:v>
      </x:c>
      <x:c r="F919" s="1" t="str">
        <x:v>18</x:v>
      </x:c>
      <x:c r="G919" s="1" t="str">
        <x:v>23</x:v>
      </x:c>
      <x:c r="H919" s="1" t="str">
        <x:v>0</x:v>
      </x:c>
      <x:c r="I919" s="1" t="str">
        <x:v>0</x:v>
      </x:c>
      <x:c r="J919" s="1" t="str">
        <x:v>no</x:v>
      </x:c>
      <x:c r="K919" s="1"/>
      <x:c r="L919" s="1"/>
      <x:c r="M919" s="1"/>
      <x:c r="N919" s="1"/>
      <x:c r="O919" s="1"/>
    </x:row>
    <x:row r="920">
      <x:c r="A920" s="1" t="str">
        <x:v>S0919</x:v>
      </x:c>
      <x:c r="B920" s="1" t="str">
        <x:v>24</x:v>
      </x:c>
      <x:c r="C920" s="1" t="str">
        <x:v>basic</x:v>
      </x:c>
      <x:c r="D920" s="1" t="str">
        <x:v>9.99</x:v>
      </x:c>
      <x:c r="E920" s="1" t="str">
        <x:v>0</x:v>
      </x:c>
      <x:c r="F920" s="1" t="str">
        <x:v>18</x:v>
      </x:c>
      <x:c r="G920" s="1" t="str">
        <x:v>7</x:v>
      </x:c>
      <x:c r="H920" s="1" t="str">
        <x:v>0</x:v>
      </x:c>
      <x:c r="I920" s="1" t="str">
        <x:v>0</x:v>
      </x:c>
      <x:c r="J920" s="1" t="str">
        <x:v>no</x:v>
      </x:c>
      <x:c r="K920" s="1"/>
      <x:c r="L920" s="1"/>
      <x:c r="M920" s="1"/>
      <x:c r="N920" s="1"/>
      <x:c r="O920" s="1"/>
    </x:row>
    <x:row r="921">
      <x:c r="A921" s="1" t="str">
        <x:v>S0920</x:v>
      </x:c>
      <x:c r="B921" s="1" t="str">
        <x:v>12</x:v>
      </x:c>
      <x:c r="C921" s="1" t="str">
        <x:v>basic</x:v>
      </x:c>
      <x:c r="D921" s="1" t="str">
        <x:v>9.99</x:v>
      </x:c>
      <x:c r="E921" s="1" t="str">
        <x:v>0</x:v>
      </x:c>
      <x:c r="F921" s="1" t="str">
        <x:v>25</x:v>
      </x:c>
      <x:c r="G921" s="1" t="str">
        <x:v>1</x:v>
      </x:c>
      <x:c r="H921" s="1" t="str">
        <x:v>0</x:v>
      </x:c>
      <x:c r="I921" s="1" t="str">
        <x:v>0</x:v>
      </x:c>
      <x:c r="J921" s="1" t="str">
        <x:v>no</x:v>
      </x:c>
      <x:c r="K921" s="1"/>
      <x:c r="L921" s="1"/>
      <x:c r="M921" s="1"/>
      <x:c r="N921" s="1"/>
      <x:c r="O921" s="1"/>
    </x:row>
    <x:row r="922">
      <x:c r="A922" s="1" t="str">
        <x:v>S0921</x:v>
      </x:c>
      <x:c r="B922" s="1" t="str">
        <x:v>16</x:v>
      </x:c>
      <x:c r="C922" s="1" t="str">
        <x:v>basic</x:v>
      </x:c>
      <x:c r="D922" s="1" t="str">
        <x:v>9.99</x:v>
      </x:c>
      <x:c r="E922" s="1" t="str">
        <x:v>0</x:v>
      </x:c>
      <x:c r="F922" s="1" t="str">
        <x:v>24</x:v>
      </x:c>
      <x:c r="G922" s="1" t="str">
        <x:v>2</x:v>
      </x:c>
      <x:c r="H922" s="1" t="str">
        <x:v>2</x:v>
      </x:c>
      <x:c r="I922" s="1" t="str">
        <x:v>1</x:v>
      </x:c>
      <x:c r="J922" s="1" t="str">
        <x:v>no</x:v>
      </x:c>
      <x:c r="K922" s="1"/>
      <x:c r="L922" s="1"/>
      <x:c r="M922" s="1"/>
      <x:c r="N922" s="1"/>
      <x:c r="O922" s="1"/>
    </x:row>
    <x:row r="923">
      <x:c r="A923" s="1" t="str">
        <x:v>S0922</x:v>
      </x:c>
      <x:c r="B923" s="1" t="str">
        <x:v>38</x:v>
      </x:c>
      <x:c r="C923" s="1" t="str">
        <x:v>basic</x:v>
      </x:c>
      <x:c r="D923" s="1" t="str">
        <x:v>9.99</x:v>
      </x:c>
      <x:c r="E923" s="1" t="str">
        <x:v>0</x:v>
      </x:c>
      <x:c r="F923" s="1" t="str">
        <x:v>10</x:v>
      </x:c>
      <x:c r="G923" s="1" t="str">
        <x:v>15</x:v>
      </x:c>
      <x:c r="H923" s="1" t="str">
        <x:v>0</x:v>
      </x:c>
      <x:c r="I923" s="1" t="str">
        <x:v>0</x:v>
      </x:c>
      <x:c r="J923" s="1" t="str">
        <x:v>no</x:v>
      </x:c>
      <x:c r="K923" s="1"/>
      <x:c r="L923" s="1"/>
      <x:c r="M923" s="1"/>
      <x:c r="N923" s="1"/>
      <x:c r="O923" s="1"/>
    </x:row>
    <x:row r="924">
      <x:c r="A924" s="1" t="str">
        <x:v>S0923</x:v>
      </x:c>
      <x:c r="B924" s="1" t="str">
        <x:v>20</x:v>
      </x:c>
      <x:c r="C924" s="1" t="str">
        <x:v>premium</x:v>
      </x:c>
      <x:c r="D924" s="1" t="str">
        <x:v>15.99</x:v>
      </x:c>
      <x:c r="E924" s="1" t="str">
        <x:v>0</x:v>
      </x:c>
      <x:c r="F924" s="1" t="str">
        <x:v>29</x:v>
      </x:c>
      <x:c r="G924" s="1" t="str">
        <x:v>4</x:v>
      </x:c>
      <x:c r="H924" s="1" t="str">
        <x:v>0</x:v>
      </x:c>
      <x:c r="I924" s="1" t="str">
        <x:v>0</x:v>
      </x:c>
      <x:c r="J924" s="1" t="str">
        <x:v>no</x:v>
      </x:c>
      <x:c r="K924" s="1"/>
      <x:c r="L924" s="1"/>
      <x:c r="M924" s="1"/>
      <x:c r="N924" s="1"/>
      <x:c r="O924" s="1"/>
    </x:row>
    <x:row r="925">
      <x:c r="A925" s="1" t="str">
        <x:v>S0924</x:v>
      </x:c>
      <x:c r="B925" s="1" t="str">
        <x:v>47</x:v>
      </x:c>
      <x:c r="C925" s="1" t="str">
        <x:v>basic</x:v>
      </x:c>
      <x:c r="D925" s="1" t="str">
        <x:v>9.99</x:v>
      </x:c>
      <x:c r="E925" s="1" t="str">
        <x:v>1</x:v>
      </x:c>
      <x:c r="F925" s="1" t="str">
        <x:v>11</x:v>
      </x:c>
      <x:c r="G925" s="1" t="str">
        <x:v>7</x:v>
      </x:c>
      <x:c r="H925" s="1" t="str">
        <x:v>1</x:v>
      </x:c>
      <x:c r="I925" s="1" t="str">
        <x:v>0</x:v>
      </x:c>
      <x:c r="J925" s="1" t="str">
        <x:v>no</x:v>
      </x:c>
      <x:c r="K925" s="1"/>
      <x:c r="L925" s="1"/>
      <x:c r="M925" s="1"/>
      <x:c r="N925" s="1"/>
      <x:c r="O925" s="1"/>
    </x:row>
    <x:row r="926">
      <x:c r="A926" s="1" t="str">
        <x:v>S0925</x:v>
      </x:c>
      <x:c r="B926" s="1" t="str">
        <x:v>15</x:v>
      </x:c>
      <x:c r="C926" s="1" t="str">
        <x:v>basic</x:v>
      </x:c>
      <x:c r="D926" s="1" t="str">
        <x:v>9.99</x:v>
      </x:c>
      <x:c r="E926" s="1" t="str">
        <x:v>2</x:v>
      </x:c>
      <x:c r="F926" s="1" t="str">
        <x:v>12</x:v>
      </x:c>
      <x:c r="G926" s="1" t="str">
        <x:v>23</x:v>
      </x:c>
      <x:c r="H926" s="1" t="str">
        <x:v>0</x:v>
      </x:c>
      <x:c r="I926" s="1" t="str">
        <x:v>1</x:v>
      </x:c>
      <x:c r="J926" s="1" t="str">
        <x:v>no</x:v>
      </x:c>
      <x:c r="K926" s="1"/>
      <x:c r="L926" s="1"/>
      <x:c r="M926" s="1"/>
      <x:c r="N926" s="1"/>
      <x:c r="O926" s="1"/>
    </x:row>
    <x:row r="927">
      <x:c r="A927" s="1" t="str">
        <x:v>S0926</x:v>
      </x:c>
      <x:c r="B927" s="1" t="str">
        <x:v>11</x:v>
      </x:c>
      <x:c r="C927" s="1" t="str">
        <x:v>premium</x:v>
      </x:c>
      <x:c r="D927" s="1" t="str">
        <x:v>15.99</x:v>
      </x:c>
      <x:c r="E927" s="1" t="str">
        <x:v>0</x:v>
      </x:c>
      <x:c r="F927" s="1" t="str">
        <x:v>20</x:v>
      </x:c>
      <x:c r="G927" s="1" t="str">
        <x:v>6</x:v>
      </x:c>
      <x:c r="H927" s="1" t="str">
        <x:v>0</x:v>
      </x:c>
      <x:c r="I927" s="1" t="str">
        <x:v>0</x:v>
      </x:c>
      <x:c r="J927" s="1" t="str">
        <x:v>no</x:v>
      </x:c>
      <x:c r="K927" s="1"/>
      <x:c r="L927" s="1"/>
      <x:c r="M927" s="1"/>
      <x:c r="N927" s="1"/>
      <x:c r="O927" s="1"/>
    </x:row>
    <x:row r="928">
      <x:c r="A928" s="1" t="str">
        <x:v>S0927</x:v>
      </x:c>
      <x:c r="B928" s="1" t="str">
        <x:v>19</x:v>
      </x:c>
      <x:c r="C928" s="1" t="str">
        <x:v>premium</x:v>
      </x:c>
      <x:c r="D928" s="1" t="str">
        <x:v>15.99</x:v>
      </x:c>
      <x:c r="E928" s="1" t="str">
        <x:v>1</x:v>
      </x:c>
      <x:c r="F928" s="1" t="str">
        <x:v>12</x:v>
      </x:c>
      <x:c r="G928" s="1" t="str">
        <x:v>16</x:v>
      </x:c>
      <x:c r="H928" s="1" t="str">
        <x:v>0</x:v>
      </x:c>
      <x:c r="I928" s="1" t="str">
        <x:v>0</x:v>
      </x:c>
      <x:c r="J928" s="1" t="str">
        <x:v>no</x:v>
      </x:c>
      <x:c r="K928" s="1"/>
      <x:c r="L928" s="1"/>
      <x:c r="M928" s="1"/>
      <x:c r="N928" s="1"/>
      <x:c r="O928" s="1"/>
    </x:row>
    <x:row r="929">
      <x:c r="A929" s="1" t="str">
        <x:v>S0928</x:v>
      </x:c>
      <x:c r="B929" s="1" t="str">
        <x:v>39</x:v>
      </x:c>
      <x:c r="C929" s="1" t="str">
        <x:v>basic</x:v>
      </x:c>
      <x:c r="D929" s="1" t="str">
        <x:v>9.99</x:v>
      </x:c>
      <x:c r="E929" s="1" t="str">
        <x:v>0</x:v>
      </x:c>
      <x:c r="F929" s="1" t="str">
        <x:v>15</x:v>
      </x:c>
      <x:c r="G929" s="1" t="str">
        <x:v>23</x:v>
      </x:c>
      <x:c r="H929" s="1" t="str">
        <x:v>0</x:v>
      </x:c>
      <x:c r="I929" s="1" t="str">
        <x:v>1</x:v>
      </x:c>
      <x:c r="J929" s="1" t="str">
        <x:v>no</x:v>
      </x:c>
      <x:c r="K929" s="1"/>
      <x:c r="L929" s="1"/>
      <x:c r="M929" s="1"/>
      <x:c r="N929" s="1"/>
      <x:c r="O929" s="1"/>
    </x:row>
    <x:row r="930">
      <x:c r="A930" s="1" t="str">
        <x:v>S0929</x:v>
      </x:c>
      <x:c r="B930" s="1" t="str">
        <x:v>11</x:v>
      </x:c>
      <x:c r="C930" s="1" t="str">
        <x:v>basic</x:v>
      </x:c>
      <x:c r="D930" s="1" t="str">
        <x:v>9.99</x:v>
      </x:c>
      <x:c r="E930" s="1" t="str">
        <x:v>1</x:v>
      </x:c>
      <x:c r="F930" s="1" t="str">
        <x:v>15</x:v>
      </x:c>
      <x:c r="G930" s="1" t="str">
        <x:v>0</x:v>
      </x:c>
      <x:c r="H930" s="1" t="str">
        <x:v>0</x:v>
      </x:c>
      <x:c r="I930" s="1" t="str">
        <x:v>1</x:v>
      </x:c>
      <x:c r="J930" s="1" t="str">
        <x:v>no</x:v>
      </x:c>
      <x:c r="K930" s="1"/>
      <x:c r="L930" s="1"/>
      <x:c r="M930" s="1"/>
      <x:c r="N930" s="1"/>
      <x:c r="O930" s="1"/>
    </x:row>
    <x:row r="931">
      <x:c r="A931" s="1" t="str">
        <x:v>S0930</x:v>
      </x:c>
      <x:c r="B931" s="1" t="str">
        <x:v>22</x:v>
      </x:c>
      <x:c r="C931" s="1" t="str">
        <x:v>basic</x:v>
      </x:c>
      <x:c r="D931" s="1" t="str">
        <x:v>9.99</x:v>
      </x:c>
      <x:c r="E931" s="1" t="str">
        <x:v>0</x:v>
      </x:c>
      <x:c r="F931" s="1" t="str">
        <x:v>27</x:v>
      </x:c>
      <x:c r="G931" s="1" t="str">
        <x:v>6</x:v>
      </x:c>
      <x:c r="H931" s="1" t="str">
        <x:v>0</x:v>
      </x:c>
      <x:c r="I931" s="1" t="str">
        <x:v>1</x:v>
      </x:c>
      <x:c r="J931" s="1" t="str">
        <x:v>no</x:v>
      </x:c>
      <x:c r="K931" s="1"/>
      <x:c r="L931" s="1"/>
      <x:c r="M931" s="1"/>
      <x:c r="N931" s="1"/>
      <x:c r="O931" s="1"/>
    </x:row>
    <x:row r="932">
      <x:c r="A932" s="1" t="str">
        <x:v>S0931</x:v>
      </x:c>
      <x:c r="B932" s="1" t="str">
        <x:v>46</x:v>
      </x:c>
      <x:c r="C932" s="1" t="str">
        <x:v>basic</x:v>
      </x:c>
      <x:c r="D932" s="1" t="str">
        <x:v>9.99</x:v>
      </x:c>
      <x:c r="E932" s="1" t="str">
        <x:v>1</x:v>
      </x:c>
      <x:c r="F932" s="1" t="str">
        <x:v>22</x:v>
      </x:c>
      <x:c r="G932" s="1" t="str">
        <x:v>5</x:v>
      </x:c>
      <x:c r="H932" s="1" t="str">
        <x:v>0</x:v>
      </x:c>
      <x:c r="I932" s="1" t="str">
        <x:v>1</x:v>
      </x:c>
      <x:c r="J932" s="1" t="str">
        <x:v>no</x:v>
      </x:c>
      <x:c r="K932" s="1"/>
      <x:c r="L932" s="1"/>
      <x:c r="M932" s="1"/>
      <x:c r="N932" s="1"/>
      <x:c r="O932" s="1"/>
    </x:row>
    <x:row r="933">
      <x:c r="A933" s="1" t="str">
        <x:v>S0932</x:v>
      </x:c>
      <x:c r="B933" s="1" t="str">
        <x:v>10</x:v>
      </x:c>
      <x:c r="C933" s="1" t="str">
        <x:v>basic</x:v>
      </x:c>
      <x:c r="D933" s="1" t="str">
        <x:v>9.99</x:v>
      </x:c>
      <x:c r="E933" s="1" t="str">
        <x:v>1</x:v>
      </x:c>
      <x:c r="F933" s="1" t="str">
        <x:v>20</x:v>
      </x:c>
      <x:c r="G933" s="1" t="str">
        <x:v>14</x:v>
      </x:c>
      <x:c r="H933" s="1" t="str">
        <x:v>0</x:v>
      </x:c>
      <x:c r="I933" s="1" t="str">
        <x:v>0</x:v>
      </x:c>
      <x:c r="J933" s="1" t="str">
        <x:v>no</x:v>
      </x:c>
      <x:c r="K933" s="1"/>
      <x:c r="L933" s="1"/>
      <x:c r="M933" s="1"/>
      <x:c r="N933" s="1"/>
      <x:c r="O933" s="1"/>
    </x:row>
    <x:row r="934">
      <x:c r="A934" s="1" t="str">
        <x:v>S0933</x:v>
      </x:c>
      <x:c r="B934" s="1" t="str">
        <x:v>25</x:v>
      </x:c>
      <x:c r="C934" s="1" t="str">
        <x:v>basic</x:v>
      </x:c>
      <x:c r="D934" s="1" t="str">
        <x:v>9.99</x:v>
      </x:c>
      <x:c r="E934" s="1" t="str">
        <x:v>0</x:v>
      </x:c>
      <x:c r="F934" s="1" t="str">
        <x:v>6</x:v>
      </x:c>
      <x:c r="G934" s="1" t="str">
        <x:v>21</x:v>
      </x:c>
      <x:c r="H934" s="1" t="str">
        <x:v>0</x:v>
      </x:c>
      <x:c r="I934" s="1" t="str">
        <x:v>0</x:v>
      </x:c>
      <x:c r="J934" s="1" t="str">
        <x:v>no</x:v>
      </x:c>
      <x:c r="K934" s="1"/>
      <x:c r="L934" s="1"/>
      <x:c r="M934" s="1"/>
      <x:c r="N934" s="1"/>
      <x:c r="O934" s="1"/>
    </x:row>
    <x:row r="935">
      <x:c r="A935" s="1" t="str">
        <x:v>S0934</x:v>
      </x:c>
      <x:c r="B935" s="1" t="str">
        <x:v>27</x:v>
      </x:c>
      <x:c r="C935" s="1" t="str">
        <x:v>basic</x:v>
      </x:c>
      <x:c r="D935" s="1" t="str">
        <x:v>9.99</x:v>
      </x:c>
      <x:c r="E935" s="1" t="str">
        <x:v>0</x:v>
      </x:c>
      <x:c r="F935" s="1" t="str">
        <x:v>14</x:v>
      </x:c>
      <x:c r="G935" s="1" t="str">
        <x:v>14</x:v>
      </x:c>
      <x:c r="H935" s="1" t="str">
        <x:v>0</x:v>
      </x:c>
      <x:c r="I935" s="1" t="str">
        <x:v>0</x:v>
      </x:c>
      <x:c r="J935" s="1" t="str">
        <x:v>no</x:v>
      </x:c>
      <x:c r="K935" s="1"/>
      <x:c r="L935" s="1"/>
      <x:c r="M935" s="1"/>
      <x:c r="N935" s="1"/>
      <x:c r="O935" s="1"/>
    </x:row>
    <x:row r="936">
      <x:c r="A936" s="1" t="str">
        <x:v>S0935</x:v>
      </x:c>
      <x:c r="B936" s="1" t="str">
        <x:v>44</x:v>
      </x:c>
      <x:c r="C936" s="1" t="str">
        <x:v>basic</x:v>
      </x:c>
      <x:c r="D936" s="1" t="str">
        <x:v>9.99</x:v>
      </x:c>
      <x:c r="E936" s="1" t="str">
        <x:v>1</x:v>
      </x:c>
      <x:c r="F936" s="1" t="str">
        <x:v>24</x:v>
      </x:c>
      <x:c r="G936" s="1" t="str">
        <x:v>6</x:v>
      </x:c>
      <x:c r="H936" s="1" t="str">
        <x:v>0</x:v>
      </x:c>
      <x:c r="I936" s="1" t="str">
        <x:v>0</x:v>
      </x:c>
      <x:c r="J936" s="1" t="str">
        <x:v>no</x:v>
      </x:c>
      <x:c r="K936" s="1"/>
      <x:c r="L936" s="1"/>
      <x:c r="M936" s="1"/>
      <x:c r="N936" s="1"/>
      <x:c r="O936" s="1"/>
    </x:row>
    <x:row r="937">
      <x:c r="A937" s="1" t="str">
        <x:v>S0936</x:v>
      </x:c>
      <x:c r="B937" s="1" t="str">
        <x:v>16</x:v>
      </x:c>
      <x:c r="C937" s="1" t="str">
        <x:v>basic</x:v>
      </x:c>
      <x:c r="D937" s="1" t="str">
        <x:v>9.99</x:v>
      </x:c>
      <x:c r="E937" s="1" t="str">
        <x:v>0</x:v>
      </x:c>
      <x:c r="F937" s="1" t="str">
        <x:v>23</x:v>
      </x:c>
      <x:c r="G937" s="1" t="str">
        <x:v>8</x:v>
      </x:c>
      <x:c r="H937" s="1" t="str">
        <x:v>0</x:v>
      </x:c>
      <x:c r="I937" s="1" t="str">
        <x:v>0</x:v>
      </x:c>
      <x:c r="J937" s="1" t="str">
        <x:v>no</x:v>
      </x:c>
      <x:c r="K937" s="1"/>
      <x:c r="L937" s="1"/>
      <x:c r="M937" s="1"/>
      <x:c r="N937" s="1"/>
      <x:c r="O937" s="1"/>
    </x:row>
    <x:row r="938">
      <x:c r="A938" s="1" t="str">
        <x:v>S0937</x:v>
      </x:c>
      <x:c r="B938" s="1" t="str">
        <x:v>33</x:v>
      </x:c>
      <x:c r="C938" s="1" t="str">
        <x:v>premium</x:v>
      </x:c>
      <x:c r="D938" s="1" t="str">
        <x:v>15.99</x:v>
      </x:c>
      <x:c r="E938" s="1" t="str">
        <x:v>1</x:v>
      </x:c>
      <x:c r="F938" s="1" t="str">
        <x:v>26</x:v>
      </x:c>
      <x:c r="G938" s="1" t="str">
        <x:v>1</x:v>
      </x:c>
      <x:c r="H938" s="1" t="str">
        <x:v>0</x:v>
      </x:c>
      <x:c r="I938" s="1" t="str">
        <x:v>0</x:v>
      </x:c>
      <x:c r="J938" s="1" t="str">
        <x:v>no</x:v>
      </x:c>
      <x:c r="K938" s="1"/>
      <x:c r="L938" s="1"/>
      <x:c r="M938" s="1"/>
      <x:c r="N938" s="1"/>
      <x:c r="O938" s="1"/>
    </x:row>
    <x:row r="939">
      <x:c r="A939" s="1" t="str">
        <x:v>S0938</x:v>
      </x:c>
      <x:c r="B939" s="1" t="str">
        <x:v>3</x:v>
      </x:c>
      <x:c r="C939" s="1" t="str">
        <x:v>premium</x:v>
      </x:c>
      <x:c r="D939" s="1" t="str">
        <x:v>15.99</x:v>
      </x:c>
      <x:c r="E939" s="1" t="str">
        <x:v>0</x:v>
      </x:c>
      <x:c r="F939" s="1" t="str">
        <x:v>20</x:v>
      </x:c>
      <x:c r="G939" s="1" t="str">
        <x:v>21</x:v>
      </x:c>
      <x:c r="H939" s="1" t="str">
        <x:v>1</x:v>
      </x:c>
      <x:c r="I939" s="1" t="str">
        <x:v>0</x:v>
      </x:c>
      <x:c r="J939" s="1" t="str">
        <x:v>no</x:v>
      </x:c>
      <x:c r="K939" s="1"/>
      <x:c r="L939" s="1"/>
      <x:c r="M939" s="1"/>
      <x:c r="N939" s="1"/>
      <x:c r="O939" s="1"/>
    </x:row>
    <x:row r="940">
      <x:c r="A940" s="1" t="str">
        <x:v>S0939</x:v>
      </x:c>
      <x:c r="B940" s="1" t="str">
        <x:v>4</x:v>
      </x:c>
      <x:c r="C940" s="1" t="str">
        <x:v>premium</x:v>
      </x:c>
      <x:c r="D940" s="1" t="str">
        <x:v>15.99</x:v>
      </x:c>
      <x:c r="E940" s="1" t="str">
        <x:v>0</x:v>
      </x:c>
      <x:c r="F940" s="1" t="str">
        <x:v>23</x:v>
      </x:c>
      <x:c r="G940" s="1" t="str">
        <x:v>5</x:v>
      </x:c>
      <x:c r="H940" s="1" t="str">
        <x:v>0</x:v>
      </x:c>
      <x:c r="I940" s="1" t="str">
        <x:v>0</x:v>
      </x:c>
      <x:c r="J940" s="1" t="str">
        <x:v>no</x:v>
      </x:c>
      <x:c r="K940" s="1"/>
      <x:c r="L940" s="1"/>
      <x:c r="M940" s="1"/>
      <x:c r="N940" s="1"/>
      <x:c r="O940" s="1"/>
    </x:row>
    <x:row r="941">
      <x:c r="A941" s="1" t="str">
        <x:v>S0940</x:v>
      </x:c>
      <x:c r="B941" s="1" t="str">
        <x:v>46</x:v>
      </x:c>
      <x:c r="C941" s="1" t="str">
        <x:v>basic</x:v>
      </x:c>
      <x:c r="D941" s="1" t="str">
        <x:v>9.99</x:v>
      </x:c>
      <x:c r="E941" s="1" t="str">
        <x:v>1</x:v>
      </x:c>
      <x:c r="F941" s="1" t="str">
        <x:v>24</x:v>
      </x:c>
      <x:c r="G941" s="1" t="str">
        <x:v>0</x:v>
      </x:c>
      <x:c r="H941" s="1" t="str">
        <x:v>0</x:v>
      </x:c>
      <x:c r="I941" s="1" t="str">
        <x:v>1</x:v>
      </x:c>
      <x:c r="J941" s="1" t="str">
        <x:v>no</x:v>
      </x:c>
      <x:c r="K941" s="1"/>
      <x:c r="L941" s="1"/>
      <x:c r="M941" s="1"/>
      <x:c r="N941" s="1"/>
      <x:c r="O941" s="1"/>
    </x:row>
    <x:row r="942">
      <x:c r="A942" s="1" t="str">
        <x:v>S0941</x:v>
      </x:c>
      <x:c r="B942" s="1" t="str">
        <x:v>32</x:v>
      </x:c>
      <x:c r="C942" s="1" t="str">
        <x:v>premium</x:v>
      </x:c>
      <x:c r="D942" s="1" t="str">
        <x:v>15.99</x:v>
      </x:c>
      <x:c r="E942" s="1" t="str">
        <x:v>0</x:v>
      </x:c>
      <x:c r="F942" s="1" t="str">
        <x:v>32</x:v>
      </x:c>
      <x:c r="G942" s="1" t="str">
        <x:v>1</x:v>
      </x:c>
      <x:c r="H942" s="1" t="str">
        <x:v>0</x:v>
      </x:c>
      <x:c r="I942" s="1" t="str">
        <x:v>0</x:v>
      </x:c>
      <x:c r="J942" s="1" t="str">
        <x:v>no</x:v>
      </x:c>
      <x:c r="K942" s="1"/>
      <x:c r="L942" s="1"/>
      <x:c r="M942" s="1"/>
      <x:c r="N942" s="1"/>
      <x:c r="O942" s="1"/>
    </x:row>
    <x:row r="943">
      <x:c r="A943" s="1" t="str">
        <x:v>S0942</x:v>
      </x:c>
      <x:c r="B943" s="1" t="str">
        <x:v>19</x:v>
      </x:c>
      <x:c r="C943" s="1" t="str">
        <x:v>basic</x:v>
      </x:c>
      <x:c r="D943" s="1" t="str">
        <x:v>9.99</x:v>
      </x:c>
      <x:c r="E943" s="1" t="str">
        <x:v>0</x:v>
      </x:c>
      <x:c r="F943" s="1" t="str">
        <x:v>18</x:v>
      </x:c>
      <x:c r="G943" s="1" t="str">
        <x:v>0</x:v>
      </x:c>
      <x:c r="H943" s="1" t="str">
        <x:v>0</x:v>
      </x:c>
      <x:c r="I943" s="1" t="str">
        <x:v>0</x:v>
      </x:c>
      <x:c r="J943" s="1" t="str">
        <x:v>no</x:v>
      </x:c>
      <x:c r="K943" s="1"/>
      <x:c r="L943" s="1"/>
      <x:c r="M943" s="1"/>
      <x:c r="N943" s="1"/>
      <x:c r="O943" s="1"/>
    </x:row>
    <x:row r="944">
      <x:c r="A944" s="1" t="str">
        <x:v>S0943</x:v>
      </x:c>
      <x:c r="B944" s="1" t="str">
        <x:v>47</x:v>
      </x:c>
      <x:c r="C944" s="1" t="str">
        <x:v>premium</x:v>
      </x:c>
      <x:c r="D944" s="1" t="str">
        <x:v>15.99</x:v>
      </x:c>
      <x:c r="E944" s="1" t="str">
        <x:v>4</x:v>
      </x:c>
      <x:c r="F944" s="1" t="str">
        <x:v>18</x:v>
      </x:c>
      <x:c r="G944" s="1" t="str">
        <x:v>4</x:v>
      </x:c>
      <x:c r="H944" s="1" t="str">
        <x:v>0</x:v>
      </x:c>
      <x:c r="I944" s="1" t="str">
        <x:v>1</x:v>
      </x:c>
      <x:c r="J944" s="1" t="str">
        <x:v>no</x:v>
      </x:c>
      <x:c r="K944" s="1"/>
      <x:c r="L944" s="1"/>
      <x:c r="M944" s="1"/>
      <x:c r="N944" s="1"/>
      <x:c r="O944" s="1"/>
    </x:row>
    <x:row r="945">
      <x:c r="A945" s="1" t="str">
        <x:v>S0944</x:v>
      </x:c>
      <x:c r="B945" s="1" t="str">
        <x:v>41</x:v>
      </x:c>
      <x:c r="C945" s="1" t="str">
        <x:v>premium</x:v>
      </x:c>
      <x:c r="D945" s="1" t="str">
        <x:v>15.99</x:v>
      </x:c>
      <x:c r="E945" s="1" t="str">
        <x:v>0</x:v>
      </x:c>
      <x:c r="F945" s="1" t="str">
        <x:v>22</x:v>
      </x:c>
      <x:c r="G945" s="1" t="str">
        <x:v>1</x:v>
      </x:c>
      <x:c r="H945" s="1" t="str">
        <x:v>0</x:v>
      </x:c>
      <x:c r="I945" s="1" t="str">
        <x:v>0</x:v>
      </x:c>
      <x:c r="J945" s="1" t="str">
        <x:v>no</x:v>
      </x:c>
      <x:c r="K945" s="1"/>
      <x:c r="L945" s="1"/>
      <x:c r="M945" s="1"/>
      <x:c r="N945" s="1"/>
      <x:c r="O945" s="1"/>
    </x:row>
    <x:row r="946">
      <x:c r="A946" s="1" t="str">
        <x:v>S0945</x:v>
      </x:c>
      <x:c r="B946" s="1" t="str">
        <x:v>13</x:v>
      </x:c>
      <x:c r="C946" s="1" t="str">
        <x:v>basic</x:v>
      </x:c>
      <x:c r="D946" s="1" t="str">
        <x:v>9.99</x:v>
      </x:c>
      <x:c r="E946" s="1" t="str">
        <x:v>0</x:v>
      </x:c>
      <x:c r="F946" s="1" t="str">
        <x:v>10</x:v>
      </x:c>
      <x:c r="G946" s="1" t="str">
        <x:v>5</x:v>
      </x:c>
      <x:c r="H946" s="1" t="str">
        <x:v>0</x:v>
      </x:c>
      <x:c r="I946" s="1" t="str">
        <x:v>1</x:v>
      </x:c>
      <x:c r="J946" s="1" t="str">
        <x:v>no</x:v>
      </x:c>
      <x:c r="K946" s="1"/>
      <x:c r="L946" s="1"/>
      <x:c r="M946" s="1"/>
      <x:c r="N946" s="1"/>
      <x:c r="O946" s="1"/>
    </x:row>
    <x:row r="947">
      <x:c r="A947" s="1" t="str">
        <x:v>S0946</x:v>
      </x:c>
      <x:c r="B947" s="1" t="str">
        <x:v>3</x:v>
      </x:c>
      <x:c r="C947" s="1" t="str">
        <x:v>premium</x:v>
      </x:c>
      <x:c r="D947" s="1" t="str">
        <x:v>15.99</x:v>
      </x:c>
      <x:c r="E947" s="1" t="str">
        <x:v>0</x:v>
      </x:c>
      <x:c r="F947" s="1" t="str">
        <x:v>16</x:v>
      </x:c>
      <x:c r="G947" s="1" t="str">
        <x:v>15</x:v>
      </x:c>
      <x:c r="H947" s="1" t="str">
        <x:v>2</x:v>
      </x:c>
      <x:c r="I947" s="1" t="str">
        <x:v>0</x:v>
      </x:c>
      <x:c r="J947" s="1" t="str">
        <x:v>yes</x:v>
      </x:c>
      <x:c r="K947" s="1"/>
      <x:c r="L947" s="1"/>
      <x:c r="M947" s="1"/>
      <x:c r="N947" s="1"/>
      <x:c r="O947" s="1"/>
    </x:row>
    <x:row r="948">
      <x:c r="A948" s="1" t="str">
        <x:v>S0947</x:v>
      </x:c>
      <x:c r="B948" s="1" t="str">
        <x:v>24</x:v>
      </x:c>
      <x:c r="C948" s="1" t="str">
        <x:v>basic</x:v>
      </x:c>
      <x:c r="D948" s="1" t="str">
        <x:v>9.99</x:v>
      </x:c>
      <x:c r="E948" s="1" t="str">
        <x:v>0</x:v>
      </x:c>
      <x:c r="F948" s="1" t="str">
        <x:v>9</x:v>
      </x:c>
      <x:c r="G948" s="1" t="str">
        <x:v>6</x:v>
      </x:c>
      <x:c r="H948" s="1" t="str">
        <x:v>0</x:v>
      </x:c>
      <x:c r="I948" s="1" t="str">
        <x:v>0</x:v>
      </x:c>
      <x:c r="J948" s="1" t="str">
        <x:v>no</x:v>
      </x:c>
      <x:c r="K948" s="1"/>
      <x:c r="L948" s="1"/>
      <x:c r="M948" s="1"/>
      <x:c r="N948" s="1"/>
      <x:c r="O948" s="1"/>
    </x:row>
    <x:row r="949">
      <x:c r="A949" s="1" t="str">
        <x:v>S0948</x:v>
      </x:c>
      <x:c r="B949" s="1" t="str">
        <x:v>41</x:v>
      </x:c>
      <x:c r="C949" s="1" t="str">
        <x:v>basic</x:v>
      </x:c>
      <x:c r="D949" s="1" t="str">
        <x:v>9.99</x:v>
      </x:c>
      <x:c r="E949" s="1" t="str">
        <x:v>0</x:v>
      </x:c>
      <x:c r="F949" s="1" t="str">
        <x:v>10</x:v>
      </x:c>
      <x:c r="G949" s="1" t="str">
        <x:v>20</x:v>
      </x:c>
      <x:c r="H949" s="1" t="str">
        <x:v>0</x:v>
      </x:c>
      <x:c r="I949" s="1" t="str">
        <x:v>0</x:v>
      </x:c>
      <x:c r="J949" s="1" t="str">
        <x:v>no</x:v>
      </x:c>
      <x:c r="K949" s="1"/>
      <x:c r="L949" s="1"/>
      <x:c r="M949" s="1"/>
      <x:c r="N949" s="1"/>
      <x:c r="O949" s="1"/>
    </x:row>
    <x:row r="950">
      <x:c r="A950" s="1" t="str">
        <x:v>S0949</x:v>
      </x:c>
      <x:c r="B950" s="1" t="str">
        <x:v>3</x:v>
      </x:c>
      <x:c r="C950" s="1" t="str">
        <x:v>basic</x:v>
      </x:c>
      <x:c r="D950" s="1" t="str">
        <x:v>9.99</x:v>
      </x:c>
      <x:c r="E950" s="1" t="str">
        <x:v>2</x:v>
      </x:c>
      <x:c r="F950" s="1" t="str">
        <x:v>33</x:v>
      </x:c>
      <x:c r="G950" s="1" t="str">
        <x:v>1</x:v>
      </x:c>
      <x:c r="H950" s="1" t="str">
        <x:v>0</x:v>
      </x:c>
      <x:c r="I950" s="1" t="str">
        <x:v>0</x:v>
      </x:c>
      <x:c r="J950" s="1" t="str">
        <x:v>no</x:v>
      </x:c>
      <x:c r="K950" s="1"/>
      <x:c r="L950" s="1"/>
      <x:c r="M950" s="1"/>
      <x:c r="N950" s="1"/>
      <x:c r="O950" s="1"/>
    </x:row>
    <x:row r="951">
      <x:c r="A951" s="1" t="str">
        <x:v>S0950</x:v>
      </x:c>
      <x:c r="B951" s="1" t="str">
        <x:v>21</x:v>
      </x:c>
      <x:c r="C951" s="1" t="str">
        <x:v>basic</x:v>
      </x:c>
      <x:c r="D951" s="1" t="str">
        <x:v>9.99</x:v>
      </x:c>
      <x:c r="E951" s="1" t="str">
        <x:v>0</x:v>
      </x:c>
      <x:c r="F951" s="1" t="str">
        <x:v>5</x:v>
      </x:c>
      <x:c r="G951" s="1" t="str">
        <x:v>1</x:v>
      </x:c>
      <x:c r="H951" s="1" t="str">
        <x:v>1</x:v>
      </x:c>
      <x:c r="I951" s="1" t="str">
        <x:v>1</x:v>
      </x:c>
      <x:c r="J951" s="1" t="str">
        <x:v>yes</x:v>
      </x:c>
      <x:c r="K951" s="1"/>
      <x:c r="L951" s="1"/>
      <x:c r="M951" s="1"/>
      <x:c r="N951" s="1"/>
      <x:c r="O951" s="1"/>
    </x:row>
    <x:row r="952">
      <x:c r="A952" s="1" t="str">
        <x:v>S0951</x:v>
      </x:c>
      <x:c r="B952" s="1" t="str">
        <x:v>35</x:v>
      </x:c>
      <x:c r="C952" s="1" t="str">
        <x:v>basic</x:v>
      </x:c>
      <x:c r="D952" s="1" t="str">
        <x:v>9.99</x:v>
      </x:c>
      <x:c r="E952" s="1" t="str">
        <x:v>3</x:v>
      </x:c>
      <x:c r="F952" s="1" t="str">
        <x:v>23</x:v>
      </x:c>
      <x:c r="G952" s="1" t="str">
        <x:v>0</x:v>
      </x:c>
      <x:c r="H952" s="1" t="str">
        <x:v>0</x:v>
      </x:c>
      <x:c r="I952" s="1" t="str">
        <x:v>0</x:v>
      </x:c>
      <x:c r="J952" s="1" t="str">
        <x:v>no</x:v>
      </x:c>
      <x:c r="K952" s="1"/>
      <x:c r="L952" s="1"/>
      <x:c r="M952" s="1"/>
      <x:c r="N952" s="1"/>
      <x:c r="O952" s="1"/>
    </x:row>
    <x:row r="953">
      <x:c r="A953" s="1" t="str">
        <x:v>S0952</x:v>
      </x:c>
      <x:c r="B953" s="1" t="str">
        <x:v>28</x:v>
      </x:c>
      <x:c r="C953" s="1" t="str">
        <x:v>premium</x:v>
      </x:c>
      <x:c r="D953" s="1" t="str">
        <x:v>15.99</x:v>
      </x:c>
      <x:c r="E953" s="1" t="str">
        <x:v>0</x:v>
      </x:c>
      <x:c r="F953" s="1" t="str">
        <x:v>2</x:v>
      </x:c>
      <x:c r="G953" s="1" t="str">
        <x:v>18</x:v>
      </x:c>
      <x:c r="H953" s="1" t="str">
        <x:v>0</x:v>
      </x:c>
      <x:c r="I953" s="1" t="str">
        <x:v>0</x:v>
      </x:c>
      <x:c r="J953" s="1" t="str">
        <x:v>no</x:v>
      </x:c>
      <x:c r="K953" s="1"/>
      <x:c r="L953" s="1"/>
      <x:c r="M953" s="1"/>
      <x:c r="N953" s="1"/>
      <x:c r="O953" s="1"/>
    </x:row>
    <x:row r="954">
      <x:c r="A954" s="1" t="str">
        <x:v>S0953</x:v>
      </x:c>
      <x:c r="B954" s="1" t="str">
        <x:v>30</x:v>
      </x:c>
      <x:c r="C954" s="1" t="str">
        <x:v>premium</x:v>
      </x:c>
      <x:c r="D954" s="1" t="str">
        <x:v>15.99</x:v>
      </x:c>
      <x:c r="E954" s="1" t="str">
        <x:v>0</x:v>
      </x:c>
      <x:c r="F954" s="1" t="str">
        <x:v>15</x:v>
      </x:c>
      <x:c r="G954" s="1" t="str">
        <x:v>4</x:v>
      </x:c>
      <x:c r="H954" s="1" t="str">
        <x:v>0</x:v>
      </x:c>
      <x:c r="I954" s="1" t="str">
        <x:v>0</x:v>
      </x:c>
      <x:c r="J954" s="1" t="str">
        <x:v>no</x:v>
      </x:c>
      <x:c r="K954" s="1"/>
      <x:c r="L954" s="1"/>
      <x:c r="M954" s="1"/>
      <x:c r="N954" s="1"/>
      <x:c r="O954" s="1"/>
    </x:row>
    <x:row r="955">
      <x:c r="A955" s="1" t="str">
        <x:v>S0954</x:v>
      </x:c>
      <x:c r="B955" s="1" t="str">
        <x:v>32</x:v>
      </x:c>
      <x:c r="C955" s="1" t="str">
        <x:v>basic</x:v>
      </x:c>
      <x:c r="D955" s="1" t="str">
        <x:v>9.99</x:v>
      </x:c>
      <x:c r="E955" s="1" t="str">
        <x:v>0</x:v>
      </x:c>
      <x:c r="F955" s="1" t="str">
        <x:v>15</x:v>
      </x:c>
      <x:c r="G955" s="1" t="str">
        <x:v>18</x:v>
      </x:c>
      <x:c r="H955" s="1" t="str">
        <x:v>0</x:v>
      </x:c>
      <x:c r="I955" s="1" t="str">
        <x:v>0</x:v>
      </x:c>
      <x:c r="J955" s="1" t="str">
        <x:v>no</x:v>
      </x:c>
      <x:c r="K955" s="1"/>
      <x:c r="L955" s="1"/>
      <x:c r="M955" s="1"/>
      <x:c r="N955" s="1"/>
      <x:c r="O955" s="1"/>
    </x:row>
    <x:row r="956">
      <x:c r="A956" s="1" t="str">
        <x:v>S0955</x:v>
      </x:c>
      <x:c r="B956" s="1" t="str">
        <x:v>24</x:v>
      </x:c>
      <x:c r="C956" s="1" t="str">
        <x:v>basic</x:v>
      </x:c>
      <x:c r="D956" s="1" t="str">
        <x:v>9.99</x:v>
      </x:c>
      <x:c r="E956" s="1" t="str">
        <x:v>0</x:v>
      </x:c>
      <x:c r="F956" s="1" t="str">
        <x:v>13</x:v>
      </x:c>
      <x:c r="G956" s="1" t="str">
        <x:v>28</x:v>
      </x:c>
      <x:c r="H956" s="1" t="str">
        <x:v>0</x:v>
      </x:c>
      <x:c r="I956" s="1" t="str">
        <x:v>0</x:v>
      </x:c>
      <x:c r="J956" s="1" t="str">
        <x:v>no</x:v>
      </x:c>
      <x:c r="K956" s="1"/>
      <x:c r="L956" s="1"/>
      <x:c r="M956" s="1"/>
      <x:c r="N956" s="1"/>
      <x:c r="O956" s="1"/>
    </x:row>
    <x:row r="957">
      <x:c r="A957" s="1" t="str">
        <x:v>S0956</x:v>
      </x:c>
      <x:c r="B957" s="1" t="str">
        <x:v>16</x:v>
      </x:c>
      <x:c r="C957" s="1" t="str">
        <x:v>basic</x:v>
      </x:c>
      <x:c r="D957" s="1" t="str">
        <x:v>9.99</x:v>
      </x:c>
      <x:c r="E957" s="1" t="str">
        <x:v>2</x:v>
      </x:c>
      <x:c r="F957" s="1" t="str">
        <x:v>16</x:v>
      </x:c>
      <x:c r="G957" s="1" t="str">
        <x:v>27</x:v>
      </x:c>
      <x:c r="H957" s="1" t="str">
        <x:v>0</x:v>
      </x:c>
      <x:c r="I957" s="1" t="str">
        <x:v>0</x:v>
      </x:c>
      <x:c r="J957" s="1" t="str">
        <x:v>no</x:v>
      </x:c>
      <x:c r="K957" s="1"/>
      <x:c r="L957" s="1"/>
      <x:c r="M957" s="1"/>
      <x:c r="N957" s="1"/>
      <x:c r="O957" s="1"/>
    </x:row>
    <x:row r="958">
      <x:c r="A958" s="1" t="str">
        <x:v>S0957</x:v>
      </x:c>
      <x:c r="B958" s="1" t="str">
        <x:v>6</x:v>
      </x:c>
      <x:c r="C958" s="1" t="str">
        <x:v>basic</x:v>
      </x:c>
      <x:c r="D958" s="1" t="str">
        <x:v>9.99</x:v>
      </x:c>
      <x:c r="E958" s="1" t="str">
        <x:v>0</x:v>
      </x:c>
      <x:c r="F958" s="1" t="str">
        <x:v>9</x:v>
      </x:c>
      <x:c r="G958" s="1" t="str">
        <x:v>6</x:v>
      </x:c>
      <x:c r="H958" s="1" t="str">
        <x:v>0</x:v>
      </x:c>
      <x:c r="I958" s="1" t="str">
        <x:v>0</x:v>
      </x:c>
      <x:c r="J958" s="1" t="str">
        <x:v>yes</x:v>
      </x:c>
      <x:c r="K958" s="1"/>
      <x:c r="L958" s="1"/>
      <x:c r="M958" s="1"/>
      <x:c r="N958" s="1"/>
      <x:c r="O958" s="1"/>
    </x:row>
    <x:row r="959">
      <x:c r="A959" s="1" t="str">
        <x:v>S0958</x:v>
      </x:c>
      <x:c r="B959" s="1" t="str">
        <x:v>33</x:v>
      </x:c>
      <x:c r="C959" s="1" t="str">
        <x:v>basic</x:v>
      </x:c>
      <x:c r="D959" s="1" t="str">
        <x:v>9.99</x:v>
      </x:c>
      <x:c r="E959" s="1" t="str">
        <x:v>1</x:v>
      </x:c>
      <x:c r="F959" s="1" t="str">
        <x:v>24</x:v>
      </x:c>
      <x:c r="G959" s="1" t="str">
        <x:v>0</x:v>
      </x:c>
      <x:c r="H959" s="1" t="str">
        <x:v>0</x:v>
      </x:c>
      <x:c r="I959" s="1" t="str">
        <x:v>0</x:v>
      </x:c>
      <x:c r="J959" s="1" t="str">
        <x:v>no</x:v>
      </x:c>
      <x:c r="K959" s="1"/>
      <x:c r="L959" s="1"/>
      <x:c r="M959" s="1"/>
      <x:c r="N959" s="1"/>
      <x:c r="O959" s="1"/>
    </x:row>
    <x:row r="960">
      <x:c r="A960" s="1" t="str">
        <x:v>S0959</x:v>
      </x:c>
      <x:c r="B960" s="1" t="str">
        <x:v>40</x:v>
      </x:c>
      <x:c r="C960" s="1" t="str">
        <x:v>premium</x:v>
      </x:c>
      <x:c r="D960" s="1" t="str">
        <x:v>15.99</x:v>
      </x:c>
      <x:c r="E960" s="1" t="str">
        <x:v>1</x:v>
      </x:c>
      <x:c r="F960" s="1" t="str">
        <x:v>17</x:v>
      </x:c>
      <x:c r="G960" s="1" t="str">
        <x:v>3</x:v>
      </x:c>
      <x:c r="H960" s="1" t="str">
        <x:v>0</x:v>
      </x:c>
      <x:c r="I960" s="1" t="str">
        <x:v>1</x:v>
      </x:c>
      <x:c r="J960" s="1" t="str">
        <x:v>no</x:v>
      </x:c>
      <x:c r="K960" s="1"/>
      <x:c r="L960" s="1"/>
      <x:c r="M960" s="1"/>
      <x:c r="N960" s="1"/>
      <x:c r="O960" s="1"/>
    </x:row>
    <x:row r="961">
      <x:c r="A961" s="1" t="str">
        <x:v>S0960</x:v>
      </x:c>
      <x:c r="B961" s="1" t="str">
        <x:v>48</x:v>
      </x:c>
      <x:c r="C961" s="1" t="str">
        <x:v>premium</x:v>
      </x:c>
      <x:c r="D961" s="1" t="str">
        <x:v>15.99</x:v>
      </x:c>
      <x:c r="E961" s="1" t="str">
        <x:v>3</x:v>
      </x:c>
      <x:c r="F961" s="1" t="str">
        <x:v>11</x:v>
      </x:c>
      <x:c r="G961" s="1" t="str">
        <x:v>24</x:v>
      </x:c>
      <x:c r="H961" s="1" t="str">
        <x:v>0</x:v>
      </x:c>
      <x:c r="I961" s="1" t="str">
        <x:v>0</x:v>
      </x:c>
      <x:c r="J961" s="1" t="str">
        <x:v>no</x:v>
      </x:c>
      <x:c r="K961" s="1"/>
      <x:c r="L961" s="1"/>
      <x:c r="M961" s="1"/>
      <x:c r="N961" s="1"/>
      <x:c r="O961" s="1"/>
    </x:row>
    <x:row r="962">
      <x:c r="A962" s="1" t="str">
        <x:v>S0961</x:v>
      </x:c>
      <x:c r="B962" s="1" t="str">
        <x:v>36</x:v>
      </x:c>
      <x:c r="C962" s="1" t="str">
        <x:v>basic</x:v>
      </x:c>
      <x:c r="D962" s="1" t="str">
        <x:v>9.99</x:v>
      </x:c>
      <x:c r="E962" s="1" t="str">
        <x:v>0</x:v>
      </x:c>
      <x:c r="F962" s="1" t="str">
        <x:v>0</x:v>
      </x:c>
      <x:c r="G962" s="1" t="str">
        <x:v>38</x:v>
      </x:c>
      <x:c r="H962" s="1" t="str">
        <x:v>0</x:v>
      </x:c>
      <x:c r="I962" s="1" t="str">
        <x:v>1</x:v>
      </x:c>
      <x:c r="J962" s="1" t="str">
        <x:v>no</x:v>
      </x:c>
      <x:c r="K962" s="1"/>
      <x:c r="L962" s="1"/>
      <x:c r="M962" s="1"/>
      <x:c r="N962" s="1"/>
      <x:c r="O962" s="1"/>
    </x:row>
    <x:row r="963">
      <x:c r="A963" s="1" t="str">
        <x:v>S0962</x:v>
      </x:c>
      <x:c r="B963" s="1" t="str">
        <x:v>38</x:v>
      </x:c>
      <x:c r="C963" s="1" t="str">
        <x:v>basic</x:v>
      </x:c>
      <x:c r="D963" s="1" t="str">
        <x:v>9.99</x:v>
      </x:c>
      <x:c r="E963" s="1" t="str">
        <x:v>1</x:v>
      </x:c>
      <x:c r="F963" s="1" t="str">
        <x:v>13</x:v>
      </x:c>
      <x:c r="G963" s="1" t="str">
        <x:v>5</x:v>
      </x:c>
      <x:c r="H963" s="1" t="str">
        <x:v>1</x:v>
      </x:c>
      <x:c r="I963" s="1" t="str">
        <x:v>0</x:v>
      </x:c>
      <x:c r="J963" s="1" t="str">
        <x:v>no</x:v>
      </x:c>
      <x:c r="K963" s="1"/>
      <x:c r="L963" s="1"/>
      <x:c r="M963" s="1"/>
      <x:c r="N963" s="1"/>
      <x:c r="O963" s="1"/>
    </x:row>
    <x:row r="964">
      <x:c r="A964" s="1" t="str">
        <x:v>S0963</x:v>
      </x:c>
      <x:c r="B964" s="1" t="str">
        <x:v>14</x:v>
      </x:c>
      <x:c r="C964" s="1" t="str">
        <x:v>basic</x:v>
      </x:c>
      <x:c r="D964" s="1" t="str">
        <x:v>9.99</x:v>
      </x:c>
      <x:c r="E964" s="1" t="str">
        <x:v>1</x:v>
      </x:c>
      <x:c r="F964" s="1" t="str">
        <x:v>27</x:v>
      </x:c>
      <x:c r="G964" s="1" t="str">
        <x:v>19</x:v>
      </x:c>
      <x:c r="H964" s="1" t="str">
        <x:v>0</x:v>
      </x:c>
      <x:c r="I964" s="1" t="str">
        <x:v>1</x:v>
      </x:c>
      <x:c r="J964" s="1" t="str">
        <x:v>no</x:v>
      </x:c>
      <x:c r="K964" s="1"/>
      <x:c r="L964" s="1"/>
      <x:c r="M964" s="1"/>
      <x:c r="N964" s="1"/>
      <x:c r="O964" s="1"/>
    </x:row>
    <x:row r="965">
      <x:c r="A965" s="1" t="str">
        <x:v>S0964</x:v>
      </x:c>
      <x:c r="B965" s="1" t="str">
        <x:v>4</x:v>
      </x:c>
      <x:c r="C965" s="1" t="str">
        <x:v>premium</x:v>
      </x:c>
      <x:c r="D965" s="1" t="str">
        <x:v>15.99</x:v>
      </x:c>
      <x:c r="E965" s="1" t="str">
        <x:v>0</x:v>
      </x:c>
      <x:c r="F965" s="1" t="str">
        <x:v>25</x:v>
      </x:c>
      <x:c r="G965" s="1" t="str">
        <x:v>1</x:v>
      </x:c>
      <x:c r="H965" s="1" t="str">
        <x:v>0</x:v>
      </x:c>
      <x:c r="I965" s="1" t="str">
        <x:v>1</x:v>
      </x:c>
      <x:c r="J965" s="1" t="str">
        <x:v>no</x:v>
      </x:c>
      <x:c r="K965" s="1"/>
      <x:c r="L965" s="1"/>
      <x:c r="M965" s="1"/>
      <x:c r="N965" s="1"/>
      <x:c r="O965" s="1"/>
    </x:row>
    <x:row r="966">
      <x:c r="A966" s="1" t="str">
        <x:v>S0965</x:v>
      </x:c>
      <x:c r="B966" s="1" t="str">
        <x:v>22</x:v>
      </x:c>
      <x:c r="C966" s="1" t="str">
        <x:v>basic</x:v>
      </x:c>
      <x:c r="D966" s="1" t="str">
        <x:v>9.99</x:v>
      </x:c>
      <x:c r="E966" s="1" t="str">
        <x:v>4</x:v>
      </x:c>
      <x:c r="F966" s="1" t="str">
        <x:v>16</x:v>
      </x:c>
      <x:c r="G966" s="1" t="str">
        <x:v>4</x:v>
      </x:c>
      <x:c r="H966" s="1" t="str">
        <x:v>0</x:v>
      </x:c>
      <x:c r="I966" s="1" t="str">
        <x:v>0</x:v>
      </x:c>
      <x:c r="J966" s="1" t="str">
        <x:v>yes</x:v>
      </x:c>
      <x:c r="K966" s="1"/>
      <x:c r="L966" s="1"/>
      <x:c r="M966" s="1"/>
      <x:c r="N966" s="1"/>
      <x:c r="O966" s="1"/>
    </x:row>
    <x:row r="967">
      <x:c r="A967" s="1" t="str">
        <x:v>S0966</x:v>
      </x:c>
      <x:c r="B967" s="1" t="str">
        <x:v>32</x:v>
      </x:c>
      <x:c r="C967" s="1" t="str">
        <x:v>premium</x:v>
      </x:c>
      <x:c r="D967" s="1" t="str">
        <x:v>15.99</x:v>
      </x:c>
      <x:c r="E967" s="1" t="str">
        <x:v>2</x:v>
      </x:c>
      <x:c r="F967" s="1" t="str">
        <x:v>0</x:v>
      </x:c>
      <x:c r="G967" s="1" t="str">
        <x:v>58</x:v>
      </x:c>
      <x:c r="H967" s="1" t="str">
        <x:v>0</x:v>
      </x:c>
      <x:c r="I967" s="1" t="str">
        <x:v>1</x:v>
      </x:c>
      <x:c r="J967" s="1" t="str">
        <x:v>yes</x:v>
      </x:c>
      <x:c r="K967" s="1"/>
      <x:c r="L967" s="1"/>
      <x:c r="M967" s="1"/>
      <x:c r="N967" s="1"/>
      <x:c r="O967" s="1"/>
    </x:row>
    <x:row r="968">
      <x:c r="A968" s="1" t="str">
        <x:v>S0967</x:v>
      </x:c>
      <x:c r="B968" s="1" t="str">
        <x:v>18</x:v>
      </x:c>
      <x:c r="C968" s="1" t="str">
        <x:v>basic</x:v>
      </x:c>
      <x:c r="D968" s="1" t="str">
        <x:v>9.99</x:v>
      </x:c>
      <x:c r="E968" s="1" t="str">
        <x:v>0</x:v>
      </x:c>
      <x:c r="F968" s="1" t="str">
        <x:v>1</x:v>
      </x:c>
      <x:c r="G968" s="1" t="str">
        <x:v>25</x:v>
      </x:c>
      <x:c r="H968" s="1" t="str">
        <x:v>0</x:v>
      </x:c>
      <x:c r="I968" s="1" t="str">
        <x:v>1</x:v>
      </x:c>
      <x:c r="J968" s="1" t="str">
        <x:v>no</x:v>
      </x:c>
      <x:c r="K968" s="1"/>
      <x:c r="L968" s="1"/>
      <x:c r="M968" s="1"/>
      <x:c r="N968" s="1"/>
      <x:c r="O968" s="1"/>
    </x:row>
    <x:row r="969">
      <x:c r="A969" s="1" t="str">
        <x:v>S0968</x:v>
      </x:c>
      <x:c r="B969" s="1" t="str">
        <x:v>22</x:v>
      </x:c>
      <x:c r="C969" s="1" t="str">
        <x:v>basic</x:v>
      </x:c>
      <x:c r="D969" s="1" t="str">
        <x:v>9.99</x:v>
      </x:c>
      <x:c r="E969" s="1" t="str">
        <x:v>0</x:v>
      </x:c>
      <x:c r="F969" s="1" t="str">
        <x:v>10</x:v>
      </x:c>
      <x:c r="G969" s="1" t="str">
        <x:v>22</x:v>
      </x:c>
      <x:c r="H969" s="1" t="str">
        <x:v>0</x:v>
      </x:c>
      <x:c r="I969" s="1" t="str">
        <x:v>1</x:v>
      </x:c>
      <x:c r="J969" s="1" t="str">
        <x:v>no</x:v>
      </x:c>
      <x:c r="K969" s="1"/>
      <x:c r="L969" s="1"/>
      <x:c r="M969" s="1"/>
      <x:c r="N969" s="1"/>
      <x:c r="O969" s="1"/>
    </x:row>
    <x:row r="970">
      <x:c r="A970" s="1" t="str">
        <x:v>S0969</x:v>
      </x:c>
      <x:c r="B970" s="1" t="str">
        <x:v>37</x:v>
      </x:c>
      <x:c r="C970" s="1" t="str">
        <x:v>premium</x:v>
      </x:c>
      <x:c r="D970" s="1" t="str">
        <x:v>15.99</x:v>
      </x:c>
      <x:c r="E970" s="1" t="str">
        <x:v>1</x:v>
      </x:c>
      <x:c r="F970" s="1" t="str">
        <x:v>0</x:v>
      </x:c>
      <x:c r="G970" s="1" t="str">
        <x:v>38</x:v>
      </x:c>
      <x:c r="H970" s="1" t="str">
        <x:v>0</x:v>
      </x:c>
      <x:c r="I970" s="1" t="str">
        <x:v>0</x:v>
      </x:c>
      <x:c r="J970" s="1" t="str">
        <x:v>no</x:v>
      </x:c>
      <x:c r="K970" s="1"/>
      <x:c r="L970" s="1"/>
      <x:c r="M970" s="1"/>
      <x:c r="N970" s="1"/>
      <x:c r="O970" s="1"/>
    </x:row>
    <x:row r="971">
      <x:c r="A971" s="1" t="str">
        <x:v>S0970</x:v>
      </x:c>
      <x:c r="B971" s="1" t="str">
        <x:v>33</x:v>
      </x:c>
      <x:c r="C971" s="1" t="str">
        <x:v>basic</x:v>
      </x:c>
      <x:c r="D971" s="1" t="str">
        <x:v>9.99</x:v>
      </x:c>
      <x:c r="E971" s="1" t="str">
        <x:v>0</x:v>
      </x:c>
      <x:c r="F971" s="1" t="str">
        <x:v>11</x:v>
      </x:c>
      <x:c r="G971" s="1" t="str">
        <x:v>1</x:v>
      </x:c>
      <x:c r="H971" s="1" t="str">
        <x:v>0</x:v>
      </x:c>
      <x:c r="I971" s="1" t="str">
        <x:v>0</x:v>
      </x:c>
      <x:c r="J971" s="1" t="str">
        <x:v>no</x:v>
      </x:c>
      <x:c r="K971" s="1"/>
      <x:c r="L971" s="1"/>
      <x:c r="M971" s="1"/>
      <x:c r="N971" s="1"/>
      <x:c r="O971" s="1"/>
    </x:row>
    <x:row r="972">
      <x:c r="A972" s="1" t="str">
        <x:v>S0971</x:v>
      </x:c>
      <x:c r="B972" s="1" t="str">
        <x:v>22</x:v>
      </x:c>
      <x:c r="C972" s="1" t="str">
        <x:v>basic</x:v>
      </x:c>
      <x:c r="D972" s="1" t="str">
        <x:v>9.99</x:v>
      </x:c>
      <x:c r="E972" s="1" t="str">
        <x:v>0</x:v>
      </x:c>
      <x:c r="F972" s="1" t="str">
        <x:v>0</x:v>
      </x:c>
      <x:c r="G972" s="1" t="str">
        <x:v>42</x:v>
      </x:c>
      <x:c r="H972" s="1" t="str">
        <x:v>0</x:v>
      </x:c>
      <x:c r="I972" s="1" t="str">
        <x:v>0</x:v>
      </x:c>
      <x:c r="J972" s="1" t="str">
        <x:v>yes</x:v>
      </x:c>
      <x:c r="K972" s="1"/>
      <x:c r="L972" s="1"/>
      <x:c r="M972" s="1"/>
      <x:c r="N972" s="1"/>
      <x:c r="O972" s="1"/>
    </x:row>
    <x:row r="973">
      <x:c r="A973" s="1" t="str">
        <x:v>S0972</x:v>
      </x:c>
      <x:c r="B973" s="1" t="str">
        <x:v>22</x:v>
      </x:c>
      <x:c r="C973" s="1" t="str">
        <x:v>premium</x:v>
      </x:c>
      <x:c r="D973" s="1" t="str">
        <x:v>15.99</x:v>
      </x:c>
      <x:c r="E973" s="1" t="str">
        <x:v>0</x:v>
      </x:c>
      <x:c r="F973" s="1" t="str">
        <x:v>25</x:v>
      </x:c>
      <x:c r="G973" s="1" t="str">
        <x:v>7</x:v>
      </x:c>
      <x:c r="H973" s="1" t="str">
        <x:v>0</x:v>
      </x:c>
      <x:c r="I973" s="1" t="str">
        <x:v>1</x:v>
      </x:c>
      <x:c r="J973" s="1" t="str">
        <x:v>no</x:v>
      </x:c>
      <x:c r="K973" s="1"/>
      <x:c r="L973" s="1"/>
      <x:c r="M973" s="1"/>
      <x:c r="N973" s="1"/>
      <x:c r="O973" s="1"/>
    </x:row>
    <x:row r="974">
      <x:c r="A974" s="1" t="str">
        <x:v>S0973</x:v>
      </x:c>
      <x:c r="B974" s="1" t="str">
        <x:v>11</x:v>
      </x:c>
      <x:c r="C974" s="1" t="str">
        <x:v>basic</x:v>
      </x:c>
      <x:c r="D974" s="1" t="str">
        <x:v>9.99</x:v>
      </x:c>
      <x:c r="E974" s="1" t="str">
        <x:v>2</x:v>
      </x:c>
      <x:c r="F974" s="1" t="str">
        <x:v>24</x:v>
      </x:c>
      <x:c r="G974" s="1" t="str">
        <x:v>7</x:v>
      </x:c>
      <x:c r="H974" s="1" t="str">
        <x:v>0</x:v>
      </x:c>
      <x:c r="I974" s="1" t="str">
        <x:v>1</x:v>
      </x:c>
      <x:c r="J974" s="1" t="str">
        <x:v>no</x:v>
      </x:c>
      <x:c r="K974" s="1"/>
      <x:c r="L974" s="1"/>
      <x:c r="M974" s="1"/>
      <x:c r="N974" s="1"/>
      <x:c r="O974" s="1"/>
    </x:row>
    <x:row r="975">
      <x:c r="A975" s="1" t="str">
        <x:v>S0974</x:v>
      </x:c>
      <x:c r="B975" s="1" t="str">
        <x:v>6</x:v>
      </x:c>
      <x:c r="C975" s="1" t="str">
        <x:v>basic</x:v>
      </x:c>
      <x:c r="D975" s="1" t="str">
        <x:v>9.99</x:v>
      </x:c>
      <x:c r="E975" s="1" t="str">
        <x:v>0</x:v>
      </x:c>
      <x:c r="F975" s="1" t="str">
        <x:v>0</x:v>
      </x:c>
      <x:c r="G975" s="1" t="str">
        <x:v>31</x:v>
      </x:c>
      <x:c r="H975" s="1" t="str">
        <x:v>0</x:v>
      </x:c>
      <x:c r="I975" s="1" t="str">
        <x:v>0</x:v>
      </x:c>
      <x:c r="J975" s="1" t="str">
        <x:v>yes</x:v>
      </x:c>
      <x:c r="K975" s="1"/>
      <x:c r="L975" s="1"/>
      <x:c r="M975" s="1"/>
      <x:c r="N975" s="1"/>
      <x:c r="O975" s="1"/>
    </x:row>
    <x:row r="976">
      <x:c r="A976" s="1" t="str">
        <x:v>S0975</x:v>
      </x:c>
      <x:c r="B976" s="1" t="str">
        <x:v>15</x:v>
      </x:c>
      <x:c r="C976" s="1" t="str">
        <x:v>premium</x:v>
      </x:c>
      <x:c r="D976" s="1" t="str">
        <x:v>15.99</x:v>
      </x:c>
      <x:c r="E976" s="1" t="str">
        <x:v>0</x:v>
      </x:c>
      <x:c r="F976" s="1" t="str">
        <x:v>11</x:v>
      </x:c>
      <x:c r="G976" s="1" t="str">
        <x:v>2</x:v>
      </x:c>
      <x:c r="H976" s="1" t="str">
        <x:v>0</x:v>
      </x:c>
      <x:c r="I976" s="1" t="str">
        <x:v>1</x:v>
      </x:c>
      <x:c r="J976" s="1" t="str">
        <x:v>no</x:v>
      </x:c>
      <x:c r="K976" s="1"/>
      <x:c r="L976" s="1"/>
      <x:c r="M976" s="1"/>
      <x:c r="N976" s="1"/>
      <x:c r="O976" s="1"/>
    </x:row>
    <x:row r="977">
      <x:c r="A977" s="1" t="str">
        <x:v>S0976</x:v>
      </x:c>
      <x:c r="B977" s="1" t="str">
        <x:v>19</x:v>
      </x:c>
      <x:c r="C977" s="1" t="str">
        <x:v>premium</x:v>
      </x:c>
      <x:c r="D977" s="1" t="str">
        <x:v>15.99</x:v>
      </x:c>
      <x:c r="E977" s="1" t="str">
        <x:v>3</x:v>
      </x:c>
      <x:c r="F977" s="1" t="str">
        <x:v>26</x:v>
      </x:c>
      <x:c r="G977" s="1" t="str">
        <x:v>2</x:v>
      </x:c>
      <x:c r="H977" s="1" t="str">
        <x:v>0</x:v>
      </x:c>
      <x:c r="I977" s="1" t="str">
        <x:v>1</x:v>
      </x:c>
      <x:c r="J977" s="1" t="str">
        <x:v>no</x:v>
      </x:c>
      <x:c r="K977" s="1"/>
      <x:c r="L977" s="1"/>
      <x:c r="M977" s="1"/>
      <x:c r="N977" s="1"/>
      <x:c r="O977" s="1"/>
    </x:row>
    <x:row r="978">
      <x:c r="A978" s="1" t="str">
        <x:v>S0977</x:v>
      </x:c>
      <x:c r="B978" s="1" t="str">
        <x:v>35</x:v>
      </x:c>
      <x:c r="C978" s="1" t="str">
        <x:v>premium</x:v>
      </x:c>
      <x:c r="D978" s="1" t="str">
        <x:v>15.99</x:v>
      </x:c>
      <x:c r="E978" s="1" t="str">
        <x:v>0</x:v>
      </x:c>
      <x:c r="F978" s="1" t="str">
        <x:v>3</x:v>
      </x:c>
      <x:c r="G978" s="1" t="str">
        <x:v>6</x:v>
      </x:c>
      <x:c r="H978" s="1" t="str">
        <x:v>0</x:v>
      </x:c>
      <x:c r="I978" s="1" t="str">
        <x:v>1</x:v>
      </x:c>
      <x:c r="J978" s="1" t="str">
        <x:v>no</x:v>
      </x:c>
      <x:c r="K978" s="1"/>
      <x:c r="L978" s="1"/>
      <x:c r="M978" s="1"/>
      <x:c r="N978" s="1"/>
      <x:c r="O978" s="1"/>
    </x:row>
    <x:row r="979">
      <x:c r="A979" s="1" t="str">
        <x:v>S0978</x:v>
      </x:c>
      <x:c r="B979" s="1" t="str">
        <x:v>31</x:v>
      </x:c>
      <x:c r="C979" s="1" t="str">
        <x:v>basic</x:v>
      </x:c>
      <x:c r="D979" s="1" t="str">
        <x:v>9.99</x:v>
      </x:c>
      <x:c r="E979" s="1" t="str">
        <x:v>0</x:v>
      </x:c>
      <x:c r="F979" s="1" t="str">
        <x:v>15</x:v>
      </x:c>
      <x:c r="G979" s="1" t="str">
        <x:v>5</x:v>
      </x:c>
      <x:c r="H979" s="1" t="str">
        <x:v>0</x:v>
      </x:c>
      <x:c r="I979" s="1" t="str">
        <x:v>1</x:v>
      </x:c>
      <x:c r="J979" s="1" t="str">
        <x:v>no</x:v>
      </x:c>
      <x:c r="K979" s="1"/>
      <x:c r="L979" s="1"/>
      <x:c r="M979" s="1"/>
      <x:c r="N979" s="1"/>
      <x:c r="O979" s="1"/>
    </x:row>
    <x:row r="980">
      <x:c r="A980" s="1" t="str">
        <x:v>S0979</x:v>
      </x:c>
      <x:c r="B980" s="1" t="str">
        <x:v>21</x:v>
      </x:c>
      <x:c r="C980" s="1" t="str">
        <x:v>basic</x:v>
      </x:c>
      <x:c r="D980" s="1" t="str">
        <x:v>9.99</x:v>
      </x:c>
      <x:c r="E980" s="1" t="str">
        <x:v>1</x:v>
      </x:c>
      <x:c r="F980" s="1" t="str">
        <x:v>19</x:v>
      </x:c>
      <x:c r="G980" s="1" t="str">
        <x:v>3</x:v>
      </x:c>
      <x:c r="H980" s="1" t="str">
        <x:v>0</x:v>
      </x:c>
      <x:c r="I980" s="1" t="str">
        <x:v>0</x:v>
      </x:c>
      <x:c r="J980" s="1" t="str">
        <x:v>no</x:v>
      </x:c>
      <x:c r="K980" s="1"/>
      <x:c r="L980" s="1"/>
      <x:c r="M980" s="1"/>
      <x:c r="N980" s="1"/>
      <x:c r="O980" s="1"/>
    </x:row>
    <x:row r="981">
      <x:c r="A981" s="1" t="str">
        <x:v>S0980</x:v>
      </x:c>
      <x:c r="B981" s="1" t="str">
        <x:v>28</x:v>
      </x:c>
      <x:c r="C981" s="1" t="str">
        <x:v>basic</x:v>
      </x:c>
      <x:c r="D981" s="1" t="str">
        <x:v>9.99</x:v>
      </x:c>
      <x:c r="E981" s="1" t="str">
        <x:v>4</x:v>
      </x:c>
      <x:c r="F981" s="1" t="str">
        <x:v>14</x:v>
      </x:c>
      <x:c r="G981" s="1" t="str">
        <x:v>3</x:v>
      </x:c>
      <x:c r="H981" s="1" t="str">
        <x:v>0</x:v>
      </x:c>
      <x:c r="I981" s="1" t="str">
        <x:v>0</x:v>
      </x:c>
      <x:c r="J981" s="1" t="str">
        <x:v>no</x:v>
      </x:c>
      <x:c r="K981" s="1"/>
      <x:c r="L981" s="1"/>
      <x:c r="M981" s="1"/>
      <x:c r="N981" s="1"/>
      <x:c r="O981" s="1"/>
    </x:row>
    <x:row r="982">
      <x:c r="A982" s="1" t="str">
        <x:v>S0981</x:v>
      </x:c>
      <x:c r="B982" s="1" t="str">
        <x:v>37</x:v>
      </x:c>
      <x:c r="C982" s="1" t="str">
        <x:v>basic</x:v>
      </x:c>
      <x:c r="D982" s="1" t="str">
        <x:v>9.99</x:v>
      </x:c>
      <x:c r="E982" s="1" t="str">
        <x:v>1</x:v>
      </x:c>
      <x:c r="F982" s="1" t="str">
        <x:v>24</x:v>
      </x:c>
      <x:c r="G982" s="1" t="str">
        <x:v>0</x:v>
      </x:c>
      <x:c r="H982" s="1" t="str">
        <x:v>0</x:v>
      </x:c>
      <x:c r="I982" s="1" t="str">
        <x:v>0</x:v>
      </x:c>
      <x:c r="J982" s="1" t="str">
        <x:v>no</x:v>
      </x:c>
      <x:c r="K982" s="1"/>
      <x:c r="L982" s="1"/>
      <x:c r="M982" s="1"/>
      <x:c r="N982" s="1"/>
      <x:c r="O982" s="1"/>
    </x:row>
    <x:row r="983">
      <x:c r="A983" s="1" t="str">
        <x:v>S0982</x:v>
      </x:c>
      <x:c r="B983" s="1" t="str">
        <x:v>41</x:v>
      </x:c>
      <x:c r="C983" s="1" t="str">
        <x:v>basic</x:v>
      </x:c>
      <x:c r="D983" s="1" t="str">
        <x:v>9.99</x:v>
      </x:c>
      <x:c r="E983" s="1" t="str">
        <x:v>0</x:v>
      </x:c>
      <x:c r="F983" s="1" t="str">
        <x:v>20</x:v>
      </x:c>
      <x:c r="G983" s="1" t="str">
        <x:v>3</x:v>
      </x:c>
      <x:c r="H983" s="1" t="str">
        <x:v>1</x:v>
      </x:c>
      <x:c r="I983" s="1" t="str">
        <x:v>0</x:v>
      </x:c>
      <x:c r="J983" s="1" t="str">
        <x:v>no</x:v>
      </x:c>
      <x:c r="K983" s="1"/>
      <x:c r="L983" s="1"/>
      <x:c r="M983" s="1"/>
      <x:c r="N983" s="1"/>
      <x:c r="O983" s="1"/>
    </x:row>
    <x:row r="984">
      <x:c r="A984" s="1" t="str">
        <x:v>S0983</x:v>
      </x:c>
      <x:c r="B984" s="1" t="str">
        <x:v>37</x:v>
      </x:c>
      <x:c r="C984" s="1" t="str">
        <x:v>basic</x:v>
      </x:c>
      <x:c r="D984" s="1" t="str">
        <x:v>9.99</x:v>
      </x:c>
      <x:c r="E984" s="1" t="str">
        <x:v>0</x:v>
      </x:c>
      <x:c r="F984" s="1" t="str">
        <x:v>9</x:v>
      </x:c>
      <x:c r="G984" s="1" t="str">
        <x:v>28</x:v>
      </x:c>
      <x:c r="H984" s="1" t="str">
        <x:v>0</x:v>
      </x:c>
      <x:c r="I984" s="1" t="str">
        <x:v>0</x:v>
      </x:c>
      <x:c r="J984" s="1" t="str">
        <x:v>no</x:v>
      </x:c>
      <x:c r="K984" s="1"/>
      <x:c r="L984" s="1"/>
      <x:c r="M984" s="1"/>
      <x:c r="N984" s="1"/>
      <x:c r="O984" s="1"/>
    </x:row>
    <x:row r="985">
      <x:c r="A985" s="1" t="str">
        <x:v>S0984</x:v>
      </x:c>
      <x:c r="B985" s="1" t="str">
        <x:v>48</x:v>
      </x:c>
      <x:c r="C985" s="1" t="str">
        <x:v>basic</x:v>
      </x:c>
      <x:c r="D985" s="1" t="str">
        <x:v>9.99</x:v>
      </x:c>
      <x:c r="E985" s="1" t="str">
        <x:v>1</x:v>
      </x:c>
      <x:c r="F985" s="1" t="str">
        <x:v>24</x:v>
      </x:c>
      <x:c r="G985" s="1" t="str">
        <x:v>5</x:v>
      </x:c>
      <x:c r="H985" s="1" t="str">
        <x:v>0</x:v>
      </x:c>
      <x:c r="I985" s="1" t="str">
        <x:v>0</x:v>
      </x:c>
      <x:c r="J985" s="1" t="str">
        <x:v>no</x:v>
      </x:c>
      <x:c r="K985" s="1"/>
      <x:c r="L985" s="1"/>
      <x:c r="M985" s="1"/>
      <x:c r="N985" s="1"/>
      <x:c r="O985" s="1"/>
    </x:row>
    <x:row r="986">
      <x:c r="A986" s="1" t="str">
        <x:v>S0985</x:v>
      </x:c>
      <x:c r="B986" s="1" t="str">
        <x:v>47</x:v>
      </x:c>
      <x:c r="C986" s="1" t="str">
        <x:v>basic</x:v>
      </x:c>
      <x:c r="D986" s="1" t="str">
        <x:v>9.99</x:v>
      </x:c>
      <x:c r="E986" s="1" t="str">
        <x:v>0</x:v>
      </x:c>
      <x:c r="F986" s="1" t="str">
        <x:v>11</x:v>
      </x:c>
      <x:c r="G986" s="1" t="str">
        <x:v>3</x:v>
      </x:c>
      <x:c r="H986" s="1" t="str">
        <x:v>0</x:v>
      </x:c>
      <x:c r="I986" s="1" t="str">
        <x:v>0</x:v>
      </x:c>
      <x:c r="J986" s="1" t="str">
        <x:v>no</x:v>
      </x:c>
      <x:c r="K986" s="1"/>
      <x:c r="L986" s="1"/>
      <x:c r="M986" s="1"/>
      <x:c r="N986" s="1"/>
      <x:c r="O986" s="1"/>
    </x:row>
    <x:row r="987">
      <x:c r="A987" s="1" t="str">
        <x:v>S0986</x:v>
      </x:c>
      <x:c r="B987" s="1" t="str">
        <x:v>45</x:v>
      </x:c>
      <x:c r="C987" s="1" t="str">
        <x:v>basic</x:v>
      </x:c>
      <x:c r="D987" s="1" t="str">
        <x:v>9.99</x:v>
      </x:c>
      <x:c r="E987" s="1" t="str">
        <x:v>3</x:v>
      </x:c>
      <x:c r="F987" s="1" t="str">
        <x:v>6</x:v>
      </x:c>
      <x:c r="G987" s="1" t="str">
        <x:v>1</x:v>
      </x:c>
      <x:c r="H987" s="1" t="str">
        <x:v>0</x:v>
      </x:c>
      <x:c r="I987" s="1" t="str">
        <x:v>0</x:v>
      </x:c>
      <x:c r="J987" s="1" t="str">
        <x:v>no</x:v>
      </x:c>
      <x:c r="K987" s="1"/>
      <x:c r="L987" s="1"/>
      <x:c r="M987" s="1"/>
      <x:c r="N987" s="1"/>
      <x:c r="O987" s="1"/>
    </x:row>
    <x:row r="988">
      <x:c r="A988" s="1" t="str">
        <x:v>S0987</x:v>
      </x:c>
      <x:c r="B988" s="1" t="str">
        <x:v>12</x:v>
      </x:c>
      <x:c r="C988" s="1" t="str">
        <x:v>premium</x:v>
      </x:c>
      <x:c r="D988" s="1" t="str">
        <x:v>15.99</x:v>
      </x:c>
      <x:c r="E988" s="1" t="str">
        <x:v>0</x:v>
      </x:c>
      <x:c r="F988" s="1" t="str">
        <x:v>30</x:v>
      </x:c>
      <x:c r="G988" s="1" t="str">
        <x:v>5</x:v>
      </x:c>
      <x:c r="H988" s="1" t="str">
        <x:v>1</x:v>
      </x:c>
      <x:c r="I988" s="1" t="str">
        <x:v>0</x:v>
      </x:c>
      <x:c r="J988" s="1" t="str">
        <x:v>no</x:v>
      </x:c>
      <x:c r="K988" s="1"/>
      <x:c r="L988" s="1"/>
      <x:c r="M988" s="1"/>
      <x:c r="N988" s="1"/>
      <x:c r="O988" s="1"/>
    </x:row>
    <x:row r="989">
      <x:c r="A989" s="1" t="str">
        <x:v>S0988</x:v>
      </x:c>
      <x:c r="B989" s="1" t="str">
        <x:v>45</x:v>
      </x:c>
      <x:c r="C989" s="1" t="str">
        <x:v>basic</x:v>
      </x:c>
      <x:c r="D989" s="1" t="str">
        <x:v>9.99</x:v>
      </x:c>
      <x:c r="E989" s="1" t="str">
        <x:v>0</x:v>
      </x:c>
      <x:c r="F989" s="1" t="str">
        <x:v>20</x:v>
      </x:c>
      <x:c r="G989" s="1" t="str">
        <x:v>8</x:v>
      </x:c>
      <x:c r="H989" s="1" t="str">
        <x:v>0</x:v>
      </x:c>
      <x:c r="I989" s="1" t="str">
        <x:v>0</x:v>
      </x:c>
      <x:c r="J989" s="1" t="str">
        <x:v>no</x:v>
      </x:c>
      <x:c r="K989" s="1"/>
      <x:c r="L989" s="1"/>
      <x:c r="M989" s="1"/>
      <x:c r="N989" s="1"/>
      <x:c r="O989" s="1"/>
    </x:row>
    <x:row r="990">
      <x:c r="A990" s="1" t="str">
        <x:v>S0989</x:v>
      </x:c>
      <x:c r="B990" s="1" t="str">
        <x:v>46</x:v>
      </x:c>
      <x:c r="C990" s="1" t="str">
        <x:v>basic</x:v>
      </x:c>
      <x:c r="D990" s="1" t="str">
        <x:v>9.99</x:v>
      </x:c>
      <x:c r="E990" s="1" t="str">
        <x:v>1</x:v>
      </x:c>
      <x:c r="F990" s="1" t="str">
        <x:v>14</x:v>
      </x:c>
      <x:c r="G990" s="1" t="str">
        <x:v>1</x:v>
      </x:c>
      <x:c r="H990" s="1" t="str">
        <x:v>0</x:v>
      </x:c>
      <x:c r="I990" s="1" t="str">
        <x:v>1</x:v>
      </x:c>
      <x:c r="J990" s="1" t="str">
        <x:v>no</x:v>
      </x:c>
      <x:c r="K990" s="1"/>
      <x:c r="L990" s="1"/>
      <x:c r="M990" s="1"/>
      <x:c r="N990" s="1"/>
      <x:c r="O990" s="1"/>
    </x:row>
    <x:row r="991">
      <x:c r="A991" s="1" t="str">
        <x:v>S0990</x:v>
      </x:c>
      <x:c r="B991" s="1" t="str">
        <x:v>28</x:v>
      </x:c>
      <x:c r="C991" s="1" t="str">
        <x:v>basic</x:v>
      </x:c>
      <x:c r="D991" s="1" t="str">
        <x:v>9.99</x:v>
      </x:c>
      <x:c r="E991" s="1" t="str">
        <x:v>0</x:v>
      </x:c>
      <x:c r="F991" s="1" t="str">
        <x:v>21</x:v>
      </x:c>
      <x:c r="G991" s="1" t="str">
        <x:v>6</x:v>
      </x:c>
      <x:c r="H991" s="1" t="str">
        <x:v>0</x:v>
      </x:c>
      <x:c r="I991" s="1" t="str">
        <x:v>1</x:v>
      </x:c>
      <x:c r="J991" s="1" t="str">
        <x:v>no</x:v>
      </x:c>
      <x:c r="K991" s="1"/>
      <x:c r="L991" s="1"/>
      <x:c r="M991" s="1"/>
      <x:c r="N991" s="1"/>
      <x:c r="O991" s="1"/>
    </x:row>
    <x:row r="992">
      <x:c r="A992" s="1" t="str">
        <x:v>S0991</x:v>
      </x:c>
      <x:c r="B992" s="1" t="str">
        <x:v>46</x:v>
      </x:c>
      <x:c r="C992" s="1" t="str">
        <x:v>basic</x:v>
      </x:c>
      <x:c r="D992" s="1" t="str">
        <x:v>9.99</x:v>
      </x:c>
      <x:c r="E992" s="1" t="str">
        <x:v>0</x:v>
      </x:c>
      <x:c r="F992" s="1" t="str">
        <x:v>9</x:v>
      </x:c>
      <x:c r="G992" s="1" t="str">
        <x:v>1</x:v>
      </x:c>
      <x:c r="H992" s="1" t="str">
        <x:v>0</x:v>
      </x:c>
      <x:c r="I992" s="1" t="str">
        <x:v>0</x:v>
      </x:c>
      <x:c r="J992" s="1" t="str">
        <x:v>no</x:v>
      </x:c>
      <x:c r="K992" s="1"/>
      <x:c r="L992" s="1"/>
      <x:c r="M992" s="1"/>
      <x:c r="N992" s="1"/>
      <x:c r="O992" s="1"/>
    </x:row>
    <x:row r="993">
      <x:c r="A993" s="1" t="str">
        <x:v>S0992</x:v>
      </x:c>
      <x:c r="B993" s="1" t="str">
        <x:v>29</x:v>
      </x:c>
      <x:c r="C993" s="1" t="str">
        <x:v>basic</x:v>
      </x:c>
      <x:c r="D993" s="1" t="str">
        <x:v>9.99</x:v>
      </x:c>
      <x:c r="E993" s="1" t="str">
        <x:v>0</x:v>
      </x:c>
      <x:c r="F993" s="1" t="str">
        <x:v>10</x:v>
      </x:c>
      <x:c r="G993" s="1" t="str">
        <x:v>21</x:v>
      </x:c>
      <x:c r="H993" s="1" t="str">
        <x:v>0</x:v>
      </x:c>
      <x:c r="I993" s="1" t="str">
        <x:v>1</x:v>
      </x:c>
      <x:c r="J993" s="1" t="str">
        <x:v>yes</x:v>
      </x:c>
      <x:c r="K993" s="1"/>
      <x:c r="L993" s="1"/>
      <x:c r="M993" s="1"/>
      <x:c r="N993" s="1"/>
      <x:c r="O993" s="1"/>
    </x:row>
    <x:row r="994">
      <x:c r="A994" s="1" t="str">
        <x:v>S0993</x:v>
      </x:c>
      <x:c r="B994" s="1" t="str">
        <x:v>44</x:v>
      </x:c>
      <x:c r="C994" s="1" t="str">
        <x:v>basic</x:v>
      </x:c>
      <x:c r="D994" s="1" t="str">
        <x:v>9.99</x:v>
      </x:c>
      <x:c r="E994" s="1" t="str">
        <x:v>1</x:v>
      </x:c>
      <x:c r="F994" s="1" t="str">
        <x:v>27</x:v>
      </x:c>
      <x:c r="G994" s="1" t="str">
        <x:v>0</x:v>
      </x:c>
      <x:c r="H994" s="1" t="str">
        <x:v>1</x:v>
      </x:c>
      <x:c r="I994" s="1" t="str">
        <x:v>0</x:v>
      </x:c>
      <x:c r="J994" s="1" t="str">
        <x:v>no</x:v>
      </x:c>
      <x:c r="K994" s="1"/>
      <x:c r="L994" s="1"/>
      <x:c r="M994" s="1"/>
      <x:c r="N994" s="1"/>
      <x:c r="O994" s="1"/>
    </x:row>
    <x:row r="995">
      <x:c r="A995" s="1" t="str">
        <x:v>S0994</x:v>
      </x:c>
      <x:c r="B995" s="1" t="str">
        <x:v>45</x:v>
      </x:c>
      <x:c r="C995" s="1" t="str">
        <x:v>basic</x:v>
      </x:c>
      <x:c r="D995" s="1" t="str">
        <x:v>9.99</x:v>
      </x:c>
      <x:c r="E995" s="1" t="str">
        <x:v>1</x:v>
      </x:c>
      <x:c r="F995" s="1" t="str">
        <x:v>9</x:v>
      </x:c>
      <x:c r="G995" s="1" t="str">
        <x:v>26</x:v>
      </x:c>
      <x:c r="H995" s="1" t="str">
        <x:v>1</x:v>
      </x:c>
      <x:c r="I995" s="1" t="str">
        <x:v>0</x:v>
      </x:c>
      <x:c r="J995" s="1" t="str">
        <x:v>yes</x:v>
      </x:c>
      <x:c r="K995" s="1"/>
      <x:c r="L995" s="1"/>
      <x:c r="M995" s="1"/>
      <x:c r="N995" s="1"/>
      <x:c r="O995" s="1"/>
    </x:row>
    <x:row r="996">
      <x:c r="A996" s="1" t="str">
        <x:v>S0995</x:v>
      </x:c>
      <x:c r="B996" s="1" t="str">
        <x:v>14</x:v>
      </x:c>
      <x:c r="C996" s="1" t="str">
        <x:v>premium</x:v>
      </x:c>
      <x:c r="D996" s="1" t="str">
        <x:v>15.99</x:v>
      </x:c>
      <x:c r="E996" s="1" t="str">
        <x:v>0</x:v>
      </x:c>
      <x:c r="F996" s="1" t="str">
        <x:v>10</x:v>
      </x:c>
      <x:c r="G996" s="1" t="str">
        <x:v>3</x:v>
      </x:c>
      <x:c r="H996" s="1" t="str">
        <x:v>0</x:v>
      </x:c>
      <x:c r="I996" s="1" t="str">
        <x:v>0</x:v>
      </x:c>
      <x:c r="J996" s="1" t="str">
        <x:v>yes</x:v>
      </x:c>
      <x:c r="K996" s="1"/>
      <x:c r="L996" s="1"/>
      <x:c r="M996" s="1"/>
      <x:c r="N996" s="1"/>
      <x:c r="O996" s="1"/>
    </x:row>
    <x:row r="997">
      <x:c r="A997" s="1" t="str">
        <x:v>S0996</x:v>
      </x:c>
      <x:c r="B997" s="1" t="str">
        <x:v>16</x:v>
      </x:c>
      <x:c r="C997" s="1" t="str">
        <x:v>basic</x:v>
      </x:c>
      <x:c r="D997" s="1" t="str">
        <x:v>9.99</x:v>
      </x:c>
      <x:c r="E997" s="1" t="str">
        <x:v>2</x:v>
      </x:c>
      <x:c r="F997" s="1" t="str">
        <x:v>0</x:v>
      </x:c>
      <x:c r="G997" s="1" t="str">
        <x:v>37</x:v>
      </x:c>
      <x:c r="H997" s="1" t="str">
        <x:v>1</x:v>
      </x:c>
      <x:c r="I997" s="1" t="str">
        <x:v>0</x:v>
      </x:c>
      <x:c r="J997" s="1" t="str">
        <x:v>yes</x:v>
      </x:c>
      <x:c r="K997" s="1"/>
      <x:c r="L997" s="1"/>
      <x:c r="M997" s="1"/>
      <x:c r="N997" s="1"/>
      <x:c r="O997" s="1"/>
    </x:row>
    <x:row r="998">
      <x:c r="A998" s="1" t="str">
        <x:v>S0997</x:v>
      </x:c>
      <x:c r="B998" s="1" t="str">
        <x:v>5</x:v>
      </x:c>
      <x:c r="C998" s="1" t="str">
        <x:v>basic</x:v>
      </x:c>
      <x:c r="D998" s="1" t="str">
        <x:v>9.99</x:v>
      </x:c>
      <x:c r="E998" s="1" t="str">
        <x:v>0</x:v>
      </x:c>
      <x:c r="F998" s="1" t="str">
        <x:v>5</x:v>
      </x:c>
      <x:c r="G998" s="1" t="str">
        <x:v>21</x:v>
      </x:c>
      <x:c r="H998" s="1" t="str">
        <x:v>0</x:v>
      </x:c>
      <x:c r="I998" s="1" t="str">
        <x:v>0</x:v>
      </x:c>
      <x:c r="J998" s="1" t="str">
        <x:v>yes</x:v>
      </x:c>
      <x:c r="K998" s="1"/>
      <x:c r="L998" s="1"/>
      <x:c r="M998" s="1"/>
      <x:c r="N998" s="1"/>
      <x:c r="O998" s="1"/>
    </x:row>
    <x:row r="999">
      <x:c r="A999" s="1" t="str">
        <x:v>S0998</x:v>
      </x:c>
      <x:c r="B999" s="1" t="str">
        <x:v>40</x:v>
      </x:c>
      <x:c r="C999" s="1" t="str">
        <x:v>basic</x:v>
      </x:c>
      <x:c r="D999" s="1" t="str">
        <x:v>9.99</x:v>
      </x:c>
      <x:c r="E999" s="1" t="str">
        <x:v>0</x:v>
      </x:c>
      <x:c r="F999" s="1" t="str">
        <x:v>5</x:v>
      </x:c>
      <x:c r="G999" s="1" t="str">
        <x:v>3</x:v>
      </x:c>
      <x:c r="H999" s="1" t="str">
        <x:v>0</x:v>
      </x:c>
      <x:c r="I999" s="1" t="str">
        <x:v>0</x:v>
      </x:c>
      <x:c r="J999" s="1" t="str">
        <x:v>no</x:v>
      </x:c>
      <x:c r="K999" s="1"/>
      <x:c r="L999" s="1"/>
      <x:c r="M999" s="1"/>
      <x:c r="N999" s="1"/>
      <x:c r="O999" s="1"/>
    </x:row>
    <x:row r="1000">
      <x:c r="A1000" s="1" t="str">
        <x:v>S0999</x:v>
      </x:c>
      <x:c r="B1000" s="1" t="str">
        <x:v>38</x:v>
      </x:c>
      <x:c r="C1000" s="1" t="str">
        <x:v>premium</x:v>
      </x:c>
      <x:c r="D1000" s="1" t="str">
        <x:v>15.99</x:v>
      </x:c>
      <x:c r="E1000" s="1" t="str">
        <x:v>3</x:v>
      </x:c>
      <x:c r="F1000" s="1" t="str">
        <x:v>13</x:v>
      </x:c>
      <x:c r="G1000" s="1" t="str">
        <x:v>2</x:v>
      </x:c>
      <x:c r="H1000" s="1" t="str">
        <x:v>0</x:v>
      </x:c>
      <x:c r="I1000" s="1" t="str">
        <x:v>1</x:v>
      </x:c>
      <x:c r="J1000" s="1" t="str">
        <x:v>no</x:v>
      </x:c>
      <x:c r="K1000" s="1"/>
      <x:c r="L1000" s="1"/>
      <x:c r="M1000" s="1"/>
      <x:c r="N1000" s="1"/>
      <x:c r="O1000" s="1"/>
    </x:row>
    <x:row r="1001">
      <x:c r="A1001" s="1" t="str">
        <x:v>S1000</x:v>
      </x:c>
      <x:c r="B1001" s="1" t="str">
        <x:v>27</x:v>
      </x:c>
      <x:c r="C1001" s="1" t="str">
        <x:v>premium</x:v>
      </x:c>
      <x:c r="D1001" s="1" t="str">
        <x:v>15.99</x:v>
      </x:c>
      <x:c r="E1001" s="1" t="str">
        <x:v>1</x:v>
      </x:c>
      <x:c r="F1001" s="1" t="str">
        <x:v>20</x:v>
      </x:c>
      <x:c r="G1001" s="1" t="str">
        <x:v>7</x:v>
      </x:c>
      <x:c r="H1001" s="1" t="str">
        <x:v>0</x:v>
      </x:c>
      <x:c r="I1001" s="1" t="str">
        <x:v>0</x:v>
      </x:c>
      <x:c r="J1001" s="1" t="str">
        <x:v>no</x:v>
      </x:c>
      <x:c r="K1001" s="1"/>
      <x:c r="L1001" s="1"/>
      <x:c r="M1001" s="1"/>
      <x:c r="N1001" s="1"/>
      <x:c r="O1001" s="1"/>
    </x:row>
    <x:row r="1002">
      <x:c r="A1002" s="1" t="str">
        <x:v>S1001</x:v>
      </x:c>
      <x:c r="B1002" s="1" t="str">
        <x:v>27</x:v>
      </x:c>
      <x:c r="C1002" s="1" t="str">
        <x:v>premium</x:v>
      </x:c>
      <x:c r="D1002" s="1" t="str">
        <x:v>15.99</x:v>
      </x:c>
      <x:c r="E1002" s="1" t="str">
        <x:v>0</x:v>
      </x:c>
      <x:c r="F1002" s="1" t="str">
        <x:v>23</x:v>
      </x:c>
      <x:c r="G1002" s="1" t="str">
        <x:v>7</x:v>
      </x:c>
      <x:c r="H1002" s="1" t="str">
        <x:v>1</x:v>
      </x:c>
      <x:c r="I1002" s="1" t="str">
        <x:v>0</x:v>
      </x:c>
      <x:c r="J1002" s="1" t="str">
        <x:v>no</x:v>
      </x:c>
      <x:c r="K1002" s="1"/>
      <x:c r="L1002" s="1"/>
      <x:c r="M1002" s="1"/>
      <x:c r="N1002" s="1"/>
      <x:c r="O1002" s="1"/>
    </x:row>
    <x:row r="1003">
      <x:c r="A1003" s="1" t="str">
        <x:v>S1002</x:v>
      </x:c>
      <x:c r="B1003" s="1" t="str">
        <x:v>16</x:v>
      </x:c>
      <x:c r="C1003" s="1" t="str">
        <x:v>basic</x:v>
      </x:c>
      <x:c r="D1003" s="1" t="str">
        <x:v>9.99</x:v>
      </x:c>
      <x:c r="E1003" s="1" t="str">
        <x:v>0</x:v>
      </x:c>
      <x:c r="F1003" s="1" t="str">
        <x:v>18</x:v>
      </x:c>
      <x:c r="G1003" s="1" t="str">
        <x:v>5</x:v>
      </x:c>
      <x:c r="H1003" s="1" t="str">
        <x:v>0</x:v>
      </x:c>
      <x:c r="I1003" s="1" t="str">
        <x:v>1</x:v>
      </x:c>
      <x:c r="J1003" s="1" t="str">
        <x:v>no</x:v>
      </x:c>
      <x:c r="K1003" s="1"/>
      <x:c r="L1003" s="1"/>
      <x:c r="M1003" s="1"/>
      <x:c r="N1003" s="1"/>
      <x:c r="O1003" s="1"/>
    </x:row>
    <x:row r="1004">
      <x:c r="A1004" s="1" t="str">
        <x:v>S1003</x:v>
      </x:c>
      <x:c r="B1004" s="1" t="str">
        <x:v>11</x:v>
      </x:c>
      <x:c r="C1004" s="1" t="str">
        <x:v>basic</x:v>
      </x:c>
      <x:c r="D1004" s="1" t="str">
        <x:v>9.99</x:v>
      </x:c>
      <x:c r="E1004" s="1" t="str">
        <x:v>1</x:v>
      </x:c>
      <x:c r="F1004" s="1" t="str">
        <x:v>19</x:v>
      </x:c>
      <x:c r="G1004" s="1" t="str">
        <x:v>15</x:v>
      </x:c>
      <x:c r="H1004" s="1" t="str">
        <x:v>0</x:v>
      </x:c>
      <x:c r="I1004" s="1" t="str">
        <x:v>0</x:v>
      </x:c>
      <x:c r="J1004" s="1" t="str">
        <x:v>yes</x:v>
      </x:c>
      <x:c r="K1004" s="1"/>
      <x:c r="L1004" s="1"/>
      <x:c r="M1004" s="1"/>
      <x:c r="N1004" s="1"/>
      <x:c r="O1004" s="1"/>
    </x:row>
    <x:row r="1005">
      <x:c r="A1005" s="1" t="str">
        <x:v>S1004</x:v>
      </x:c>
      <x:c r="B1005" s="1" t="str">
        <x:v>9</x:v>
      </x:c>
      <x:c r="C1005" s="1" t="str">
        <x:v>premium</x:v>
      </x:c>
      <x:c r="D1005" s="1" t="str">
        <x:v>15.99</x:v>
      </x:c>
      <x:c r="E1005" s="1" t="str">
        <x:v>2</x:v>
      </x:c>
      <x:c r="F1005" s="1" t="str">
        <x:v>18</x:v>
      </x:c>
      <x:c r="G1005" s="1" t="str">
        <x:v>5</x:v>
      </x:c>
      <x:c r="H1005" s="1" t="str">
        <x:v>1</x:v>
      </x:c>
      <x:c r="I1005" s="1" t="str">
        <x:v>0</x:v>
      </x:c>
      <x:c r="J1005" s="1" t="str">
        <x:v>yes</x:v>
      </x:c>
      <x:c r="K1005" s="1"/>
      <x:c r="L1005" s="1"/>
      <x:c r="M1005" s="1"/>
      <x:c r="N1005" s="1"/>
      <x:c r="O1005" s="1"/>
    </x:row>
    <x:row r="1006">
      <x:c r="A1006" s="1" t="str">
        <x:v>S1005</x:v>
      </x:c>
      <x:c r="B1006" s="1" t="str">
        <x:v>29</x:v>
      </x:c>
      <x:c r="C1006" s="1" t="str">
        <x:v>premium</x:v>
      </x:c>
      <x:c r="D1006" s="1" t="str">
        <x:v>15.99</x:v>
      </x:c>
      <x:c r="E1006" s="1" t="str">
        <x:v>1</x:v>
      </x:c>
      <x:c r="F1006" s="1" t="str">
        <x:v>24</x:v>
      </x:c>
      <x:c r="G1006" s="1" t="str">
        <x:v>7</x:v>
      </x:c>
      <x:c r="H1006" s="1" t="str">
        <x:v>0</x:v>
      </x:c>
      <x:c r="I1006" s="1" t="str">
        <x:v>0</x:v>
      </x:c>
      <x:c r="J1006" s="1" t="str">
        <x:v>no</x:v>
      </x:c>
      <x:c r="K1006" s="1"/>
      <x:c r="L1006" s="1"/>
      <x:c r="M1006" s="1"/>
      <x:c r="N1006" s="1"/>
      <x:c r="O1006" s="1"/>
    </x:row>
    <x:row r="1007">
      <x:c r="A1007" s="1" t="str">
        <x:v>S1006</x:v>
      </x:c>
      <x:c r="B1007" s="1" t="str">
        <x:v>17</x:v>
      </x:c>
      <x:c r="C1007" s="1" t="str">
        <x:v>premium</x:v>
      </x:c>
      <x:c r="D1007" s="1" t="str">
        <x:v>15.99</x:v>
      </x:c>
      <x:c r="E1007" s="1" t="str">
        <x:v>1</x:v>
      </x:c>
      <x:c r="F1007" s="1" t="str">
        <x:v>34</x:v>
      </x:c>
      <x:c r="G1007" s="1" t="str">
        <x:v>0</x:v>
      </x:c>
      <x:c r="H1007" s="1" t="str">
        <x:v>0</x:v>
      </x:c>
      <x:c r="I1007" s="1" t="str">
        <x:v>0</x:v>
      </x:c>
      <x:c r="J1007" s="1" t="str">
        <x:v>no</x:v>
      </x:c>
      <x:c r="K1007" s="1"/>
      <x:c r="L1007" s="1"/>
      <x:c r="M1007" s="1"/>
      <x:c r="N1007" s="1"/>
      <x:c r="O1007" s="1"/>
    </x:row>
    <x:row r="1008">
      <x:c r="A1008" s="1" t="str">
        <x:v>S1007</x:v>
      </x:c>
      <x:c r="B1008" s="1" t="str">
        <x:v>16</x:v>
      </x:c>
      <x:c r="C1008" s="1" t="str">
        <x:v>premium</x:v>
      </x:c>
      <x:c r="D1008" s="1" t="str">
        <x:v>15.99</x:v>
      </x:c>
      <x:c r="E1008" s="1" t="str">
        <x:v>1</x:v>
      </x:c>
      <x:c r="F1008" s="1" t="str">
        <x:v>30</x:v>
      </x:c>
      <x:c r="G1008" s="1" t="str">
        <x:v>4</x:v>
      </x:c>
      <x:c r="H1008" s="1" t="str">
        <x:v>0</x:v>
      </x:c>
      <x:c r="I1008" s="1" t="str">
        <x:v>1</x:v>
      </x:c>
      <x:c r="J1008" s="1" t="str">
        <x:v>no</x:v>
      </x:c>
      <x:c r="K1008" s="1"/>
      <x:c r="L1008" s="1"/>
      <x:c r="M1008" s="1"/>
      <x:c r="N1008" s="1"/>
      <x:c r="O1008" s="1"/>
    </x:row>
    <x:row r="1009">
      <x:c r="A1009" s="1" t="str">
        <x:v>S1008</x:v>
      </x:c>
      <x:c r="B1009" s="1" t="str">
        <x:v>17</x:v>
      </x:c>
      <x:c r="C1009" s="1" t="str">
        <x:v>basic</x:v>
      </x:c>
      <x:c r="D1009" s="1" t="str">
        <x:v>9.99</x:v>
      </x:c>
      <x:c r="E1009" s="1" t="str">
        <x:v>0</x:v>
      </x:c>
      <x:c r="F1009" s="1" t="str">
        <x:v>11</x:v>
      </x:c>
      <x:c r="G1009" s="1" t="str">
        <x:v>13</x:v>
      </x:c>
      <x:c r="H1009" s="1" t="str">
        <x:v>0</x:v>
      </x:c>
      <x:c r="I1009" s="1" t="str">
        <x:v>0</x:v>
      </x:c>
      <x:c r="J1009" s="1" t="str">
        <x:v>no</x:v>
      </x:c>
      <x:c r="K1009" s="1"/>
      <x:c r="L1009" s="1"/>
      <x:c r="M1009" s="1"/>
      <x:c r="N1009" s="1"/>
      <x:c r="O1009" s="1"/>
    </x:row>
    <x:row r="1010">
      <x:c r="A1010" s="1" t="str">
        <x:v>S1009</x:v>
      </x:c>
      <x:c r="B1010" s="1" t="str">
        <x:v>12</x:v>
      </x:c>
      <x:c r="C1010" s="1" t="str">
        <x:v>premium</x:v>
      </x:c>
      <x:c r="D1010" s="1" t="str">
        <x:v>15.99</x:v>
      </x:c>
      <x:c r="E1010" s="1" t="str">
        <x:v>0</x:v>
      </x:c>
      <x:c r="F1010" s="1" t="str">
        <x:v>25</x:v>
      </x:c>
      <x:c r="G1010" s="1" t="str">
        <x:v>1</x:v>
      </x:c>
      <x:c r="H1010" s="1" t="str">
        <x:v>0</x:v>
      </x:c>
      <x:c r="I1010" s="1" t="str">
        <x:v>0</x:v>
      </x:c>
      <x:c r="J1010" s="1" t="str">
        <x:v>no</x:v>
      </x:c>
      <x:c r="K1010" s="1"/>
      <x:c r="L1010" s="1"/>
      <x:c r="M1010" s="1"/>
      <x:c r="N1010" s="1"/>
      <x:c r="O1010" s="1"/>
    </x:row>
    <x:row r="1011">
      <x:c r="A1011" s="1" t="str">
        <x:v>S1010</x:v>
      </x:c>
      <x:c r="B1011" s="1" t="str">
        <x:v>36</x:v>
      </x:c>
      <x:c r="C1011" s="1" t="str">
        <x:v>premium</x:v>
      </x:c>
      <x:c r="D1011" s="1" t="str">
        <x:v>15.99</x:v>
      </x:c>
      <x:c r="E1011" s="1" t="str">
        <x:v>0</x:v>
      </x:c>
      <x:c r="F1011" s="1" t="str">
        <x:v>30</x:v>
      </x:c>
      <x:c r="G1011" s="1" t="str">
        <x:v>7</x:v>
      </x:c>
      <x:c r="H1011" s="1" t="str">
        <x:v>0</x:v>
      </x:c>
      <x:c r="I1011" s="1" t="str">
        <x:v>0</x:v>
      </x:c>
      <x:c r="J1011" s="1" t="str">
        <x:v>no</x:v>
      </x:c>
      <x:c r="K1011" s="1"/>
      <x:c r="L1011" s="1"/>
      <x:c r="M1011" s="1"/>
      <x:c r="N1011" s="1"/>
      <x:c r="O1011" s="1"/>
    </x:row>
    <x:row r="1012">
      <x:c r="A1012" s="1" t="str">
        <x:v>S1011</x:v>
      </x:c>
      <x:c r="B1012" s="1" t="str">
        <x:v>27</x:v>
      </x:c>
      <x:c r="C1012" s="1" t="str">
        <x:v>basic</x:v>
      </x:c>
      <x:c r="D1012" s="1" t="str">
        <x:v>9.99</x:v>
      </x:c>
      <x:c r="E1012" s="1" t="str">
        <x:v>3</x:v>
      </x:c>
      <x:c r="F1012" s="1" t="str">
        <x:v>15</x:v>
      </x:c>
      <x:c r="G1012" s="1" t="str">
        <x:v>5</x:v>
      </x:c>
      <x:c r="H1012" s="1" t="str">
        <x:v>0</x:v>
      </x:c>
      <x:c r="I1012" s="1" t="str">
        <x:v>0</x:v>
      </x:c>
      <x:c r="J1012" s="1" t="str">
        <x:v>no</x:v>
      </x:c>
      <x:c r="K1012" s="1"/>
      <x:c r="L1012" s="1"/>
      <x:c r="M1012" s="1"/>
      <x:c r="N1012" s="1"/>
      <x:c r="O1012" s="1"/>
    </x:row>
    <x:row r="1013">
      <x:c r="A1013" s="1" t="str">
        <x:v>S1012</x:v>
      </x:c>
      <x:c r="B1013" s="1" t="str">
        <x:v>1</x:v>
      </x:c>
      <x:c r="C1013" s="1" t="str">
        <x:v>basic</x:v>
      </x:c>
      <x:c r="D1013" s="1" t="str">
        <x:v>9.99</x:v>
      </x:c>
      <x:c r="E1013" s="1" t="str">
        <x:v>0</x:v>
      </x:c>
      <x:c r="F1013" s="1" t="str">
        <x:v>1</x:v>
      </x:c>
      <x:c r="G1013" s="1" t="str">
        <x:v>11</x:v>
      </x:c>
      <x:c r="H1013" s="1" t="str">
        <x:v>2</x:v>
      </x:c>
      <x:c r="I1013" s="1" t="str">
        <x:v>0</x:v>
      </x:c>
      <x:c r="J1013" s="1" t="str">
        <x:v>yes</x:v>
      </x:c>
      <x:c r="K1013" s="1"/>
      <x:c r="L1013" s="1"/>
      <x:c r="M1013" s="1"/>
      <x:c r="N1013" s="1"/>
      <x:c r="O1013" s="1"/>
    </x:row>
    <x:row r="1014">
      <x:c r="A1014" s="1" t="str">
        <x:v>S1013</x:v>
      </x:c>
      <x:c r="B1014" s="1" t="str">
        <x:v>47</x:v>
      </x:c>
      <x:c r="C1014" s="1" t="str">
        <x:v>basic</x:v>
      </x:c>
      <x:c r="D1014" s="1" t="str">
        <x:v>9.99</x:v>
      </x:c>
      <x:c r="E1014" s="1" t="str">
        <x:v>1</x:v>
      </x:c>
      <x:c r="F1014" s="1" t="str">
        <x:v>0</x:v>
      </x:c>
      <x:c r="G1014" s="1" t="str">
        <x:v>47</x:v>
      </x:c>
      <x:c r="H1014" s="1" t="str">
        <x:v>0</x:v>
      </x:c>
      <x:c r="I1014" s="1" t="str">
        <x:v>0</x:v>
      </x:c>
      <x:c r="J1014" s="1" t="str">
        <x:v>yes</x:v>
      </x:c>
      <x:c r="K1014" s="1"/>
      <x:c r="L1014" s="1"/>
      <x:c r="M1014" s="1"/>
      <x:c r="N1014" s="1"/>
      <x:c r="O1014" s="1"/>
    </x:row>
    <x:row r="1015">
      <x:c r="A1015" s="1" t="str">
        <x:v>S1014</x:v>
      </x:c>
      <x:c r="B1015" s="1" t="str">
        <x:v>48</x:v>
      </x:c>
      <x:c r="C1015" s="1" t="str">
        <x:v>basic</x:v>
      </x:c>
      <x:c r="D1015" s="1" t="str">
        <x:v>9.99</x:v>
      </x:c>
      <x:c r="E1015" s="1" t="str">
        <x:v>0</x:v>
      </x:c>
      <x:c r="F1015" s="1" t="str">
        <x:v>6</x:v>
      </x:c>
      <x:c r="G1015" s="1" t="str">
        <x:v>24</x:v>
      </x:c>
      <x:c r="H1015" s="1" t="str">
        <x:v>0</x:v>
      </x:c>
      <x:c r="I1015" s="1" t="str">
        <x:v>0</x:v>
      </x:c>
      <x:c r="J1015" s="1" t="str">
        <x:v>no</x:v>
      </x:c>
      <x:c r="K1015" s="1"/>
      <x:c r="L1015" s="1"/>
      <x:c r="M1015" s="1"/>
      <x:c r="N1015" s="1"/>
      <x:c r="O1015" s="1"/>
    </x:row>
    <x:row r="1016">
      <x:c r="A1016" s="1" t="str">
        <x:v>S1015</x:v>
      </x:c>
      <x:c r="B1016" s="1" t="str">
        <x:v>40</x:v>
      </x:c>
      <x:c r="C1016" s="1" t="str">
        <x:v>basic</x:v>
      </x:c>
      <x:c r="D1016" s="1" t="str">
        <x:v>9.99</x:v>
      </x:c>
      <x:c r="E1016" s="1" t="str">
        <x:v>1</x:v>
      </x:c>
      <x:c r="F1016" s="1" t="str">
        <x:v>17</x:v>
      </x:c>
      <x:c r="G1016" s="1" t="str">
        <x:v>12</x:v>
      </x:c>
      <x:c r="H1016" s="1" t="str">
        <x:v>0</x:v>
      </x:c>
      <x:c r="I1016" s="1" t="str">
        <x:v>0</x:v>
      </x:c>
      <x:c r="J1016" s="1" t="str">
        <x:v>no</x:v>
      </x:c>
      <x:c r="K1016" s="1"/>
      <x:c r="L1016" s="1"/>
      <x:c r="M1016" s="1"/>
      <x:c r="N1016" s="1"/>
      <x:c r="O1016" s="1"/>
    </x:row>
    <x:row r="1017">
      <x:c r="A1017" s="1" t="str">
        <x:v>S1016</x:v>
      </x:c>
      <x:c r="B1017" s="1" t="str">
        <x:v>23</x:v>
      </x:c>
      <x:c r="C1017" s="1" t="str">
        <x:v>basic</x:v>
      </x:c>
      <x:c r="D1017" s="1" t="str">
        <x:v>9.99</x:v>
      </x:c>
      <x:c r="E1017" s="1" t="str">
        <x:v>2</x:v>
      </x:c>
      <x:c r="F1017" s="1" t="str">
        <x:v>21</x:v>
      </x:c>
      <x:c r="G1017" s="1" t="str">
        <x:v>0</x:v>
      </x:c>
      <x:c r="H1017" s="1" t="str">
        <x:v>0</x:v>
      </x:c>
      <x:c r="I1017" s="1" t="str">
        <x:v>1</x:v>
      </x:c>
      <x:c r="J1017" s="1" t="str">
        <x:v>no</x:v>
      </x:c>
      <x:c r="K1017" s="1"/>
      <x:c r="L1017" s="1"/>
      <x:c r="M1017" s="1"/>
      <x:c r="N1017" s="1"/>
      <x:c r="O1017" s="1"/>
    </x:row>
    <x:row r="1018">
      <x:c r="A1018" s="1" t="str">
        <x:v>S1017</x:v>
      </x:c>
      <x:c r="B1018" s="1" t="str">
        <x:v>25</x:v>
      </x:c>
      <x:c r="C1018" s="1" t="str">
        <x:v>premium</x:v>
      </x:c>
      <x:c r="D1018" s="1" t="str">
        <x:v>15.99</x:v>
      </x:c>
      <x:c r="E1018" s="1" t="str">
        <x:v>1</x:v>
      </x:c>
      <x:c r="F1018" s="1" t="str">
        <x:v>30</x:v>
      </x:c>
      <x:c r="G1018" s="1" t="str">
        <x:v>3</x:v>
      </x:c>
      <x:c r="H1018" s="1" t="str">
        <x:v>0</x:v>
      </x:c>
      <x:c r="I1018" s="1" t="str">
        <x:v>0</x:v>
      </x:c>
      <x:c r="J1018" s="1" t="str">
        <x:v>no</x:v>
      </x:c>
      <x:c r="K1018" s="1"/>
      <x:c r="L1018" s="1"/>
      <x:c r="M1018" s="1"/>
      <x:c r="N1018" s="1"/>
      <x:c r="O1018" s="1"/>
    </x:row>
    <x:row r="1019">
      <x:c r="A1019" s="1" t="str">
        <x:v>S1018</x:v>
      </x:c>
      <x:c r="B1019" s="1" t="str">
        <x:v>16</x:v>
      </x:c>
      <x:c r="C1019" s="1" t="str">
        <x:v>basic</x:v>
      </x:c>
      <x:c r="D1019" s="1" t="str">
        <x:v>9.99</x:v>
      </x:c>
      <x:c r="E1019" s="1" t="str">
        <x:v>0</x:v>
      </x:c>
      <x:c r="F1019" s="1" t="str">
        <x:v>4</x:v>
      </x:c>
      <x:c r="G1019" s="1" t="str">
        <x:v>1</x:v>
      </x:c>
      <x:c r="H1019" s="1" t="str">
        <x:v>0</x:v>
      </x:c>
      <x:c r="I1019" s="1" t="str">
        <x:v>1</x:v>
      </x:c>
      <x:c r="J1019" s="1" t="str">
        <x:v>no</x:v>
      </x:c>
      <x:c r="K1019" s="1"/>
      <x:c r="L1019" s="1"/>
      <x:c r="M1019" s="1"/>
      <x:c r="N1019" s="1"/>
      <x:c r="O1019" s="1"/>
    </x:row>
    <x:row r="1020">
      <x:c r="A1020" s="1" t="str">
        <x:v>S1019</x:v>
      </x:c>
      <x:c r="B1020" s="1" t="str">
        <x:v>30</x:v>
      </x:c>
      <x:c r="C1020" s="1" t="str">
        <x:v>basic</x:v>
      </x:c>
      <x:c r="D1020" s="1" t="str">
        <x:v>9.99</x:v>
      </x:c>
      <x:c r="E1020" s="1" t="str">
        <x:v>0</x:v>
      </x:c>
      <x:c r="F1020" s="1" t="str">
        <x:v>15</x:v>
      </x:c>
      <x:c r="G1020" s="1" t="str">
        <x:v>28</x:v>
      </x:c>
      <x:c r="H1020" s="1" t="str">
        <x:v>0</x:v>
      </x:c>
      <x:c r="I1020" s="1" t="str">
        <x:v>0</x:v>
      </x:c>
      <x:c r="J1020" s="1" t="str">
        <x:v>yes</x:v>
      </x:c>
      <x:c r="K1020" s="1"/>
      <x:c r="L1020" s="1"/>
      <x:c r="M1020" s="1"/>
      <x:c r="N1020" s="1"/>
      <x:c r="O1020" s="1"/>
    </x:row>
    <x:row r="1021">
      <x:c r="A1021" s="1" t="str">
        <x:v>S1020</x:v>
      </x:c>
      <x:c r="B1021" s="1" t="str">
        <x:v>35</x:v>
      </x:c>
      <x:c r="C1021" s="1" t="str">
        <x:v>basic</x:v>
      </x:c>
      <x:c r="D1021" s="1" t="str">
        <x:v>9.99</x:v>
      </x:c>
      <x:c r="E1021" s="1" t="str">
        <x:v>0</x:v>
      </x:c>
      <x:c r="F1021" s="1" t="str">
        <x:v>12</x:v>
      </x:c>
      <x:c r="G1021" s="1" t="str">
        <x:v>29</x:v>
      </x:c>
      <x:c r="H1021" s="1" t="str">
        <x:v>0</x:v>
      </x:c>
      <x:c r="I1021" s="1" t="str">
        <x:v>0</x:v>
      </x:c>
      <x:c r="J1021" s="1" t="str">
        <x:v>no</x:v>
      </x:c>
      <x:c r="K1021" s="1"/>
      <x:c r="L1021" s="1"/>
      <x:c r="M1021" s="1"/>
      <x:c r="N1021" s="1"/>
      <x:c r="O1021" s="1"/>
    </x:row>
    <x:row r="1022">
      <x:c r="A1022" s="1" t="str">
        <x:v>S1021</x:v>
      </x:c>
      <x:c r="B1022" s="1" t="str">
        <x:v>21</x:v>
      </x:c>
      <x:c r="C1022" s="1" t="str">
        <x:v>basic</x:v>
      </x:c>
      <x:c r="D1022" s="1" t="str">
        <x:v>9.99</x:v>
      </x:c>
      <x:c r="E1022" s="1" t="str">
        <x:v>0</x:v>
      </x:c>
      <x:c r="F1022" s="1" t="str">
        <x:v>0</x:v>
      </x:c>
      <x:c r="G1022" s="1" t="str">
        <x:v>35</x:v>
      </x:c>
      <x:c r="H1022" s="1" t="str">
        <x:v>0</x:v>
      </x:c>
      <x:c r="I1022" s="1" t="str">
        <x:v>0</x:v>
      </x:c>
      <x:c r="J1022" s="1" t="str">
        <x:v>yes</x:v>
      </x:c>
      <x:c r="K1022" s="1"/>
      <x:c r="L1022" s="1"/>
      <x:c r="M1022" s="1"/>
      <x:c r="N1022" s="1"/>
      <x:c r="O1022" s="1"/>
    </x:row>
    <x:row r="1023">
      <x:c r="A1023" s="1" t="str">
        <x:v>S1022</x:v>
      </x:c>
      <x:c r="B1023" s="1" t="str">
        <x:v>15</x:v>
      </x:c>
      <x:c r="C1023" s="1" t="str">
        <x:v>basic</x:v>
      </x:c>
      <x:c r="D1023" s="1" t="str">
        <x:v>9.99</x:v>
      </x:c>
      <x:c r="E1023" s="1" t="str">
        <x:v>0</x:v>
      </x:c>
      <x:c r="F1023" s="1" t="str">
        <x:v>0</x:v>
      </x:c>
      <x:c r="G1023" s="1" t="str">
        <x:v>33</x:v>
      </x:c>
      <x:c r="H1023" s="1" t="str">
        <x:v>0</x:v>
      </x:c>
      <x:c r="I1023" s="1" t="str">
        <x:v>1</x:v>
      </x:c>
      <x:c r="J1023" s="1" t="str">
        <x:v>yes</x:v>
      </x:c>
      <x:c r="K1023" s="1"/>
      <x:c r="L1023" s="1"/>
      <x:c r="M1023" s="1"/>
      <x:c r="N1023" s="1"/>
      <x:c r="O1023" s="1"/>
    </x:row>
    <x:row r="1024">
      <x:c r="A1024" s="1" t="str">
        <x:v>S1023</x:v>
      </x:c>
      <x:c r="B1024" s="1" t="str">
        <x:v>45</x:v>
      </x:c>
      <x:c r="C1024" s="1" t="str">
        <x:v>premium</x:v>
      </x:c>
      <x:c r="D1024" s="1" t="str">
        <x:v>15.99</x:v>
      </x:c>
      <x:c r="E1024" s="1" t="str">
        <x:v>0</x:v>
      </x:c>
      <x:c r="F1024" s="1" t="str">
        <x:v>11</x:v>
      </x:c>
      <x:c r="G1024" s="1" t="str">
        <x:v>16</x:v>
      </x:c>
      <x:c r="H1024" s="1" t="str">
        <x:v>0</x:v>
      </x:c>
      <x:c r="I1024" s="1" t="str">
        <x:v>0</x:v>
      </x:c>
      <x:c r="J1024" s="1" t="str">
        <x:v>no</x:v>
      </x:c>
      <x:c r="K1024" s="1"/>
      <x:c r="L1024" s="1"/>
      <x:c r="M1024" s="1"/>
      <x:c r="N1024" s="1"/>
      <x:c r="O1024" s="1"/>
    </x:row>
    <x:row r="1025">
      <x:c r="A1025" s="1" t="str">
        <x:v>S1024</x:v>
      </x:c>
      <x:c r="B1025" s="1" t="str">
        <x:v>31</x:v>
      </x:c>
      <x:c r="C1025" s="1" t="str">
        <x:v>premium</x:v>
      </x:c>
      <x:c r="D1025" s="1" t="str">
        <x:v>15.99</x:v>
      </x:c>
      <x:c r="E1025" s="1" t="str">
        <x:v>0</x:v>
      </x:c>
      <x:c r="F1025" s="1" t="str">
        <x:v>14</x:v>
      </x:c>
      <x:c r="G1025" s="1" t="str">
        <x:v>1</x:v>
      </x:c>
      <x:c r="H1025" s="1" t="str">
        <x:v>0</x:v>
      </x:c>
      <x:c r="I1025" s="1" t="str">
        <x:v>0</x:v>
      </x:c>
      <x:c r="J1025" s="1" t="str">
        <x:v>no</x:v>
      </x:c>
      <x:c r="K1025" s="1"/>
      <x:c r="L1025" s="1"/>
      <x:c r="M1025" s="1"/>
      <x:c r="N1025" s="1"/>
      <x:c r="O1025" s="1"/>
    </x:row>
    <x:row r="1026">
      <x:c r="A1026" s="1" t="str">
        <x:v>S1025</x:v>
      </x:c>
      <x:c r="B1026" s="1" t="str">
        <x:v>9</x:v>
      </x:c>
      <x:c r="C1026" s="1" t="str">
        <x:v>basic</x:v>
      </x:c>
      <x:c r="D1026" s="1" t="str">
        <x:v>9.99</x:v>
      </x:c>
      <x:c r="E1026" s="1" t="str">
        <x:v>0</x:v>
      </x:c>
      <x:c r="F1026" s="1" t="str">
        <x:v>19</x:v>
      </x:c>
      <x:c r="G1026" s="1" t="str">
        <x:v>0</x:v>
      </x:c>
      <x:c r="H1026" s="1" t="str">
        <x:v>0</x:v>
      </x:c>
      <x:c r="I1026" s="1" t="str">
        <x:v>0</x:v>
      </x:c>
      <x:c r="J1026" s="1" t="str">
        <x:v>no</x:v>
      </x:c>
      <x:c r="K1026" s="1"/>
      <x:c r="L1026" s="1"/>
      <x:c r="M1026" s="1"/>
      <x:c r="N1026" s="1"/>
      <x:c r="O1026" s="1"/>
    </x:row>
    <x:row r="1027">
      <x:c r="A1027" s="1" t="str">
        <x:v>S1026</x:v>
      </x:c>
      <x:c r="B1027" s="1" t="str">
        <x:v>36</x:v>
      </x:c>
      <x:c r="C1027" s="1" t="str">
        <x:v>premium</x:v>
      </x:c>
      <x:c r="D1027" s="1" t="str">
        <x:v>15.99</x:v>
      </x:c>
      <x:c r="E1027" s="1" t="str">
        <x:v>3</x:v>
      </x:c>
      <x:c r="F1027" s="1" t="str">
        <x:v>1</x:v>
      </x:c>
      <x:c r="G1027" s="1" t="str">
        <x:v>26</x:v>
      </x:c>
      <x:c r="H1027" s="1" t="str">
        <x:v>0</x:v>
      </x:c>
      <x:c r="I1027" s="1" t="str">
        <x:v>1</x:v>
      </x:c>
      <x:c r="J1027" s="1" t="str">
        <x:v>no</x:v>
      </x:c>
      <x:c r="K1027" s="1"/>
      <x:c r="L1027" s="1"/>
      <x:c r="M1027" s="1"/>
      <x:c r="N1027" s="1"/>
      <x:c r="O1027" s="1"/>
    </x:row>
    <x:row r="1028">
      <x:c r="A1028" s="1" t="str">
        <x:v>S1027</x:v>
      </x:c>
      <x:c r="B1028" s="1" t="str">
        <x:v>27</x:v>
      </x:c>
      <x:c r="C1028" s="1" t="str">
        <x:v>basic</x:v>
      </x:c>
      <x:c r="D1028" s="1" t="str">
        <x:v>9.99</x:v>
      </x:c>
      <x:c r="E1028" s="1" t="str">
        <x:v>2</x:v>
      </x:c>
      <x:c r="F1028" s="1" t="str">
        <x:v>0</x:v>
      </x:c>
      <x:c r="G1028" s="1" t="str">
        <x:v>35</x:v>
      </x:c>
      <x:c r="H1028" s="1" t="str">
        <x:v>0</x:v>
      </x:c>
      <x:c r="I1028" s="1" t="str">
        <x:v>0</x:v>
      </x:c>
      <x:c r="J1028" s="1" t="str">
        <x:v>no</x:v>
      </x:c>
      <x:c r="K1028" s="1"/>
      <x:c r="L1028" s="1"/>
      <x:c r="M1028" s="1"/>
      <x:c r="N1028" s="1"/>
      <x:c r="O1028" s="1"/>
    </x:row>
    <x:row r="1029">
      <x:c r="A1029" s="1" t="str">
        <x:v>S1028</x:v>
      </x:c>
      <x:c r="B1029" s="1" t="str">
        <x:v>12</x:v>
      </x:c>
      <x:c r="C1029" s="1" t="str">
        <x:v>basic</x:v>
      </x:c>
      <x:c r="D1029" s="1" t="str">
        <x:v>9.99</x:v>
      </x:c>
      <x:c r="E1029" s="1" t="str">
        <x:v>2</x:v>
      </x:c>
      <x:c r="F1029" s="1" t="str">
        <x:v>19</x:v>
      </x:c>
      <x:c r="G1029" s="1" t="str">
        <x:v>6</x:v>
      </x:c>
      <x:c r="H1029" s="1" t="str">
        <x:v>0</x:v>
      </x:c>
      <x:c r="I1029" s="1" t="str">
        <x:v>0</x:v>
      </x:c>
      <x:c r="J1029" s="1" t="str">
        <x:v>no</x:v>
      </x:c>
      <x:c r="K1029" s="1"/>
      <x:c r="L1029" s="1"/>
      <x:c r="M1029" s="1"/>
      <x:c r="N1029" s="1"/>
      <x:c r="O1029" s="1"/>
    </x:row>
    <x:row r="1030">
      <x:c r="A1030" s="1" t="str">
        <x:v>S1029</x:v>
      </x:c>
      <x:c r="B1030" s="1" t="str">
        <x:v>30</x:v>
      </x:c>
      <x:c r="C1030" s="1" t="str">
        <x:v>basic</x:v>
      </x:c>
      <x:c r="D1030" s="1" t="str">
        <x:v>9.99</x:v>
      </x:c>
      <x:c r="E1030" s="1" t="str">
        <x:v>3</x:v>
      </x:c>
      <x:c r="F1030" s="1" t="str">
        <x:v>5</x:v>
      </x:c>
      <x:c r="G1030" s="1" t="str">
        <x:v>14</x:v>
      </x:c>
      <x:c r="H1030" s="1" t="str">
        <x:v>0</x:v>
      </x:c>
      <x:c r="I1030" s="1" t="str">
        <x:v>0</x:v>
      </x:c>
      <x:c r="J1030" s="1" t="str">
        <x:v>no</x:v>
      </x:c>
      <x:c r="K1030" s="1"/>
      <x:c r="L1030" s="1"/>
      <x:c r="M1030" s="1"/>
      <x:c r="N1030" s="1"/>
      <x:c r="O1030" s="1"/>
    </x:row>
    <x:row r="1031">
      <x:c r="A1031" s="1" t="str">
        <x:v>S1030</x:v>
      </x:c>
      <x:c r="B1031" s="1" t="str">
        <x:v>5</x:v>
      </x:c>
      <x:c r="C1031" s="1" t="str">
        <x:v>premium</x:v>
      </x:c>
      <x:c r="D1031" s="1" t="str">
        <x:v>15.99</x:v>
      </x:c>
      <x:c r="E1031" s="1" t="str">
        <x:v>1</x:v>
      </x:c>
      <x:c r="F1031" s="1" t="str">
        <x:v>6</x:v>
      </x:c>
      <x:c r="G1031" s="1" t="str">
        <x:v>20</x:v>
      </x:c>
      <x:c r="H1031" s="1" t="str">
        <x:v>0</x:v>
      </x:c>
      <x:c r="I1031" s="1" t="str">
        <x:v>0</x:v>
      </x:c>
      <x:c r="J1031" s="1" t="str">
        <x:v>yes</x:v>
      </x:c>
      <x:c r="K1031" s="1"/>
      <x:c r="L1031" s="1"/>
      <x:c r="M1031" s="1"/>
      <x:c r="N1031" s="1"/>
      <x:c r="O1031" s="1"/>
    </x:row>
    <x:row r="1032">
      <x:c r="A1032" s="1" t="str">
        <x:v>S1031</x:v>
      </x:c>
      <x:c r="B1032" s="1" t="str">
        <x:v>42</x:v>
      </x:c>
      <x:c r="C1032" s="1" t="str">
        <x:v>premium</x:v>
      </x:c>
      <x:c r="D1032" s="1" t="str">
        <x:v>15.99</x:v>
      </x:c>
      <x:c r="E1032" s="1" t="str">
        <x:v>0</x:v>
      </x:c>
      <x:c r="F1032" s="1" t="str">
        <x:v>28</x:v>
      </x:c>
      <x:c r="G1032" s="1" t="str">
        <x:v>1</x:v>
      </x:c>
      <x:c r="H1032" s="1" t="str">
        <x:v>0</x:v>
      </x:c>
      <x:c r="I1032" s="1" t="str">
        <x:v>1</x:v>
      </x:c>
      <x:c r="J1032" s="1" t="str">
        <x:v>no</x:v>
      </x:c>
      <x:c r="K1032" s="1"/>
      <x:c r="L1032" s="1"/>
      <x:c r="M1032" s="1"/>
      <x:c r="N1032" s="1"/>
      <x:c r="O1032" s="1"/>
    </x:row>
    <x:row r="1033">
      <x:c r="A1033" s="1" t="str">
        <x:v>S1032</x:v>
      </x:c>
      <x:c r="B1033" s="1" t="str">
        <x:v>15</x:v>
      </x:c>
      <x:c r="C1033" s="1" t="str">
        <x:v>premium</x:v>
      </x:c>
      <x:c r="D1033" s="1" t="str">
        <x:v>15.99</x:v>
      </x:c>
      <x:c r="E1033" s="1" t="str">
        <x:v>0</x:v>
      </x:c>
      <x:c r="F1033" s="1" t="str">
        <x:v>0</x:v>
      </x:c>
      <x:c r="G1033" s="1" t="str">
        <x:v>31</x:v>
      </x:c>
      <x:c r="H1033" s="1" t="str">
        <x:v>0</x:v>
      </x:c>
      <x:c r="I1033" s="1" t="str">
        <x:v>1</x:v>
      </x:c>
      <x:c r="J1033" s="1" t="str">
        <x:v>no</x:v>
      </x:c>
      <x:c r="K1033" s="1"/>
      <x:c r="L1033" s="1"/>
      <x:c r="M1033" s="1"/>
      <x:c r="N1033" s="1"/>
      <x:c r="O1033" s="1"/>
    </x:row>
    <x:row r="1034">
      <x:c r="A1034" s="1" t="str">
        <x:v>S1033</x:v>
      </x:c>
      <x:c r="B1034" s="1" t="str">
        <x:v>8</x:v>
      </x:c>
      <x:c r="C1034" s="1" t="str">
        <x:v>basic</x:v>
      </x:c>
      <x:c r="D1034" s="1" t="str">
        <x:v>9.99</x:v>
      </x:c>
      <x:c r="E1034" s="1" t="str">
        <x:v>1</x:v>
      </x:c>
      <x:c r="F1034" s="1" t="str">
        <x:v>18</x:v>
      </x:c>
      <x:c r="G1034" s="1" t="str">
        <x:v>4</x:v>
      </x:c>
      <x:c r="H1034" s="1" t="str">
        <x:v>0</x:v>
      </x:c>
      <x:c r="I1034" s="1" t="str">
        <x:v>1</x:v>
      </x:c>
      <x:c r="J1034" s="1" t="str">
        <x:v>no</x:v>
      </x:c>
      <x:c r="K1034" s="1"/>
      <x:c r="L1034" s="1"/>
      <x:c r="M1034" s="1"/>
      <x:c r="N1034" s="1"/>
      <x:c r="O1034" s="1"/>
    </x:row>
    <x:row r="1035">
      <x:c r="A1035" s="1" t="str">
        <x:v>S1034</x:v>
      </x:c>
      <x:c r="B1035" s="1" t="str">
        <x:v>30</x:v>
      </x:c>
      <x:c r="C1035" s="1" t="str">
        <x:v>basic</x:v>
      </x:c>
      <x:c r="D1035" s="1" t="str">
        <x:v>9.99</x:v>
      </x:c>
      <x:c r="E1035" s="1" t="str">
        <x:v>3</x:v>
      </x:c>
      <x:c r="F1035" s="1" t="str">
        <x:v>1</x:v>
      </x:c>
      <x:c r="G1035" s="1" t="str">
        <x:v>21</x:v>
      </x:c>
      <x:c r="H1035" s="1" t="str">
        <x:v>0</x:v>
      </x:c>
      <x:c r="I1035" s="1" t="str">
        <x:v>0</x:v>
      </x:c>
      <x:c r="J1035" s="1" t="str">
        <x:v>no</x:v>
      </x:c>
      <x:c r="K1035" s="1"/>
      <x:c r="L1035" s="1"/>
      <x:c r="M1035" s="1"/>
      <x:c r="N1035" s="1"/>
      <x:c r="O1035" s="1"/>
    </x:row>
    <x:row r="1036">
      <x:c r="A1036" s="1" t="str">
        <x:v>S1035</x:v>
      </x:c>
      <x:c r="B1036" s="1" t="str">
        <x:v>14</x:v>
      </x:c>
      <x:c r="C1036" s="1" t="str">
        <x:v>basic</x:v>
      </x:c>
      <x:c r="D1036" s="1" t="str">
        <x:v>9.99</x:v>
      </x:c>
      <x:c r="E1036" s="1" t="str">
        <x:v>0</x:v>
      </x:c>
      <x:c r="F1036" s="1" t="str">
        <x:v>6</x:v>
      </x:c>
      <x:c r="G1036" s="1" t="str">
        <x:v>27</x:v>
      </x:c>
      <x:c r="H1036" s="1" t="str">
        <x:v>0</x:v>
      </x:c>
      <x:c r="I1036" s="1" t="str">
        <x:v>1</x:v>
      </x:c>
      <x:c r="J1036" s="1" t="str">
        <x:v>no</x:v>
      </x:c>
      <x:c r="K1036" s="1"/>
      <x:c r="L1036" s="1"/>
      <x:c r="M1036" s="1"/>
      <x:c r="N1036" s="1"/>
      <x:c r="O1036" s="1"/>
    </x:row>
    <x:row r="1037">
      <x:c r="A1037" s="1" t="str">
        <x:v>S1036</x:v>
      </x:c>
      <x:c r="B1037" s="1" t="str">
        <x:v>33</x:v>
      </x:c>
      <x:c r="C1037" s="1" t="str">
        <x:v>basic</x:v>
      </x:c>
      <x:c r="D1037" s="1" t="str">
        <x:v>9.99</x:v>
      </x:c>
      <x:c r="E1037" s="1" t="str">
        <x:v>1</x:v>
      </x:c>
      <x:c r="F1037" s="1" t="str">
        <x:v>14</x:v>
      </x:c>
      <x:c r="G1037" s="1" t="str">
        <x:v>23</x:v>
      </x:c>
      <x:c r="H1037" s="1" t="str">
        <x:v>0</x:v>
      </x:c>
      <x:c r="I1037" s="1" t="str">
        <x:v>0</x:v>
      </x:c>
      <x:c r="J1037" s="1" t="str">
        <x:v>no</x:v>
      </x:c>
      <x:c r="K1037" s="1"/>
      <x:c r="L1037" s="1"/>
      <x:c r="M1037" s="1"/>
      <x:c r="N1037" s="1"/>
      <x:c r="O1037" s="1"/>
    </x:row>
    <x:row r="1038">
      <x:c r="A1038" s="1" t="str">
        <x:v>S1037</x:v>
      </x:c>
      <x:c r="B1038" s="1" t="str">
        <x:v>4</x:v>
      </x:c>
      <x:c r="C1038" s="1" t="str">
        <x:v>premium</x:v>
      </x:c>
      <x:c r="D1038" s="1" t="str">
        <x:v>15.99</x:v>
      </x:c>
      <x:c r="E1038" s="1" t="str">
        <x:v>1</x:v>
      </x:c>
      <x:c r="F1038" s="1" t="str">
        <x:v>18</x:v>
      </x:c>
      <x:c r="G1038" s="1" t="str">
        <x:v>0</x:v>
      </x:c>
      <x:c r="H1038" s="1" t="str">
        <x:v>0</x:v>
      </x:c>
      <x:c r="I1038" s="1" t="str">
        <x:v>1</x:v>
      </x:c>
      <x:c r="J1038" s="1" t="str">
        <x:v>no</x:v>
      </x:c>
      <x:c r="K1038" s="1"/>
      <x:c r="L1038" s="1"/>
      <x:c r="M1038" s="1"/>
      <x:c r="N1038" s="1"/>
      <x:c r="O1038" s="1"/>
    </x:row>
    <x:row r="1039">
      <x:c r="A1039" s="1" t="str">
        <x:v>S1038</x:v>
      </x:c>
      <x:c r="B1039" s="1" t="str">
        <x:v>39</x:v>
      </x:c>
      <x:c r="C1039" s="1" t="str">
        <x:v>basic</x:v>
      </x:c>
      <x:c r="D1039" s="1" t="str">
        <x:v>9.99</x:v>
      </x:c>
      <x:c r="E1039" s="1" t="str">
        <x:v>1</x:v>
      </x:c>
      <x:c r="F1039" s="1" t="str">
        <x:v>18</x:v>
      </x:c>
      <x:c r="G1039" s="1" t="str">
        <x:v>5</x:v>
      </x:c>
      <x:c r="H1039" s="1" t="str">
        <x:v>0</x:v>
      </x:c>
      <x:c r="I1039" s="1" t="str">
        <x:v>0</x:v>
      </x:c>
      <x:c r="J1039" s="1" t="str">
        <x:v>no</x:v>
      </x:c>
      <x:c r="K1039" s="1"/>
      <x:c r="L1039" s="1"/>
      <x:c r="M1039" s="1"/>
      <x:c r="N1039" s="1"/>
      <x:c r="O1039" s="1"/>
    </x:row>
    <x:row r="1040">
      <x:c r="A1040" s="1" t="str">
        <x:v>S1039</x:v>
      </x:c>
      <x:c r="B1040" s="1" t="str">
        <x:v>47</x:v>
      </x:c>
      <x:c r="C1040" s="1" t="str">
        <x:v>premium</x:v>
      </x:c>
      <x:c r="D1040" s="1" t="str">
        <x:v>15.99</x:v>
      </x:c>
      <x:c r="E1040" s="1" t="str">
        <x:v>0</x:v>
      </x:c>
      <x:c r="F1040" s="1" t="str">
        <x:v>11</x:v>
      </x:c>
      <x:c r="G1040" s="1" t="str">
        <x:v>12</x:v>
      </x:c>
      <x:c r="H1040" s="1" t="str">
        <x:v>0</x:v>
      </x:c>
      <x:c r="I1040" s="1" t="str">
        <x:v>0</x:v>
      </x:c>
      <x:c r="J1040" s="1" t="str">
        <x:v>no</x:v>
      </x:c>
      <x:c r="K1040" s="1"/>
      <x:c r="L1040" s="1"/>
      <x:c r="M1040" s="1"/>
      <x:c r="N1040" s="1"/>
      <x:c r="O1040" s="1"/>
    </x:row>
    <x:row r="1041">
      <x:c r="A1041" s="1" t="str">
        <x:v>S1040</x:v>
      </x:c>
      <x:c r="B1041" s="1" t="str">
        <x:v>38</x:v>
      </x:c>
      <x:c r="C1041" s="1" t="str">
        <x:v>premium</x:v>
      </x:c>
      <x:c r="D1041" s="1" t="str">
        <x:v>15.99</x:v>
      </x:c>
      <x:c r="E1041" s="1" t="str">
        <x:v>0</x:v>
      </x:c>
      <x:c r="F1041" s="1" t="str">
        <x:v>27</x:v>
      </x:c>
      <x:c r="G1041" s="1" t="str">
        <x:v>4</x:v>
      </x:c>
      <x:c r="H1041" s="1" t="str">
        <x:v>0</x:v>
      </x:c>
      <x:c r="I1041" s="1" t="str">
        <x:v>0</x:v>
      </x:c>
      <x:c r="J1041" s="1" t="str">
        <x:v>no</x:v>
      </x:c>
      <x:c r="K1041" s="1"/>
      <x:c r="L1041" s="1"/>
      <x:c r="M1041" s="1"/>
      <x:c r="N1041" s="1"/>
      <x:c r="O1041" s="1"/>
    </x:row>
    <x:row r="1042">
      <x:c r="A1042" s="1" t="str">
        <x:v>S1041</x:v>
      </x:c>
      <x:c r="B1042" s="1" t="str">
        <x:v>24</x:v>
      </x:c>
      <x:c r="C1042" s="1" t="str">
        <x:v>premium</x:v>
      </x:c>
      <x:c r="D1042" s="1" t="str">
        <x:v>15.99</x:v>
      </x:c>
      <x:c r="E1042" s="1" t="str">
        <x:v>4</x:v>
      </x:c>
      <x:c r="F1042" s="1" t="str">
        <x:v>15</x:v>
      </x:c>
      <x:c r="G1042" s="1" t="str">
        <x:v>6</x:v>
      </x:c>
      <x:c r="H1042" s="1" t="str">
        <x:v>0</x:v>
      </x:c>
      <x:c r="I1042" s="1" t="str">
        <x:v>0</x:v>
      </x:c>
      <x:c r="J1042" s="1" t="str">
        <x:v>no</x:v>
      </x:c>
      <x:c r="K1042" s="1"/>
      <x:c r="L1042" s="1"/>
      <x:c r="M1042" s="1"/>
      <x:c r="N1042" s="1"/>
      <x:c r="O1042" s="1"/>
    </x:row>
    <x:row r="1043">
      <x:c r="A1043" s="1" t="str">
        <x:v>S1042</x:v>
      </x:c>
      <x:c r="B1043" s="1" t="str">
        <x:v>42</x:v>
      </x:c>
      <x:c r="C1043" s="1" t="str">
        <x:v>basic</x:v>
      </x:c>
      <x:c r="D1043" s="1" t="str">
        <x:v>9.99</x:v>
      </x:c>
      <x:c r="E1043" s="1" t="str">
        <x:v>0</x:v>
      </x:c>
      <x:c r="F1043" s="1" t="str">
        <x:v>5</x:v>
      </x:c>
      <x:c r="G1043" s="1" t="str">
        <x:v>17</x:v>
      </x:c>
      <x:c r="H1043" s="1" t="str">
        <x:v>0</x:v>
      </x:c>
      <x:c r="I1043" s="1" t="str">
        <x:v>0</x:v>
      </x:c>
      <x:c r="J1043" s="1" t="str">
        <x:v>no</x:v>
      </x:c>
      <x:c r="K1043" s="1"/>
      <x:c r="L1043" s="1"/>
      <x:c r="M1043" s="1"/>
      <x:c r="N1043" s="1"/>
      <x:c r="O1043" s="1"/>
    </x:row>
    <x:row r="1044">
      <x:c r="A1044" s="1" t="str">
        <x:v>S1043</x:v>
      </x:c>
      <x:c r="B1044" s="1" t="str">
        <x:v>44</x:v>
      </x:c>
      <x:c r="C1044" s="1" t="str">
        <x:v>basic</x:v>
      </x:c>
      <x:c r="D1044" s="1" t="str">
        <x:v>9.99</x:v>
      </x:c>
      <x:c r="E1044" s="1" t="str">
        <x:v>1</x:v>
      </x:c>
      <x:c r="F1044" s="1" t="str">
        <x:v>20</x:v>
      </x:c>
      <x:c r="G1044" s="1" t="str">
        <x:v>7</x:v>
      </x:c>
      <x:c r="H1044" s="1" t="str">
        <x:v>0</x:v>
      </x:c>
      <x:c r="I1044" s="1" t="str">
        <x:v>0</x:v>
      </x:c>
      <x:c r="J1044" s="1" t="str">
        <x:v>no</x:v>
      </x:c>
      <x:c r="K1044" s="1"/>
      <x:c r="L1044" s="1"/>
      <x:c r="M1044" s="1"/>
      <x:c r="N1044" s="1"/>
      <x:c r="O1044" s="1"/>
    </x:row>
    <x:row r="1045">
      <x:c r="A1045" s="1" t="str">
        <x:v>S1044</x:v>
      </x:c>
      <x:c r="B1045" s="1" t="str">
        <x:v>41</x:v>
      </x:c>
      <x:c r="C1045" s="1" t="str">
        <x:v>premium</x:v>
      </x:c>
      <x:c r="D1045" s="1" t="str">
        <x:v>15.99</x:v>
      </x:c>
      <x:c r="E1045" s="1" t="str">
        <x:v>0</x:v>
      </x:c>
      <x:c r="F1045" s="1" t="str">
        <x:v>22</x:v>
      </x:c>
      <x:c r="G1045" s="1" t="str">
        <x:v>1</x:v>
      </x:c>
      <x:c r="H1045" s="1" t="str">
        <x:v>0</x:v>
      </x:c>
      <x:c r="I1045" s="1" t="str">
        <x:v>0</x:v>
      </x:c>
      <x:c r="J1045" s="1" t="str">
        <x:v>no</x:v>
      </x:c>
      <x:c r="K1045" s="1"/>
      <x:c r="L1045" s="1"/>
      <x:c r="M1045" s="1"/>
      <x:c r="N1045" s="1"/>
      <x:c r="O1045" s="1"/>
    </x:row>
    <x:row r="1046">
      <x:c r="A1046" s="1" t="str">
        <x:v>S1045</x:v>
      </x:c>
      <x:c r="B1046" s="1" t="str">
        <x:v>37</x:v>
      </x:c>
      <x:c r="C1046" s="1" t="str">
        <x:v>basic</x:v>
      </x:c>
      <x:c r="D1046" s="1" t="str">
        <x:v>9.99</x:v>
      </x:c>
      <x:c r="E1046" s="1" t="str">
        <x:v>2</x:v>
      </x:c>
      <x:c r="F1046" s="1" t="str">
        <x:v>16</x:v>
      </x:c>
      <x:c r="G1046" s="1" t="str">
        <x:v>6</x:v>
      </x:c>
      <x:c r="H1046" s="1" t="str">
        <x:v>0</x:v>
      </x:c>
      <x:c r="I1046" s="1" t="str">
        <x:v>0</x:v>
      </x:c>
      <x:c r="J1046" s="1" t="str">
        <x:v>no</x:v>
      </x:c>
      <x:c r="K1046" s="1"/>
      <x:c r="L1046" s="1"/>
      <x:c r="M1046" s="1"/>
      <x:c r="N1046" s="1"/>
      <x:c r="O1046" s="1"/>
    </x:row>
    <x:row r="1047">
      <x:c r="A1047" s="1" t="str">
        <x:v>S1046</x:v>
      </x:c>
      <x:c r="B1047" s="1" t="str">
        <x:v>17</x:v>
      </x:c>
      <x:c r="C1047" s="1" t="str">
        <x:v>premium</x:v>
      </x:c>
      <x:c r="D1047" s="1" t="str">
        <x:v>15.99</x:v>
      </x:c>
      <x:c r="E1047" s="1" t="str">
        <x:v>3</x:v>
      </x:c>
      <x:c r="F1047" s="1" t="str">
        <x:v>24</x:v>
      </x:c>
      <x:c r="G1047" s="1" t="str">
        <x:v>6</x:v>
      </x:c>
      <x:c r="H1047" s="1" t="str">
        <x:v>0</x:v>
      </x:c>
      <x:c r="I1047" s="1" t="str">
        <x:v>1</x:v>
      </x:c>
      <x:c r="J1047" s="1" t="str">
        <x:v>no</x:v>
      </x:c>
      <x:c r="K1047" s="1"/>
      <x:c r="L1047" s="1"/>
      <x:c r="M1047" s="1"/>
      <x:c r="N1047" s="1"/>
      <x:c r="O1047" s="1"/>
    </x:row>
    <x:row r="1048">
      <x:c r="A1048" s="1" t="str">
        <x:v>S1047</x:v>
      </x:c>
      <x:c r="B1048" s="1" t="str">
        <x:v>26</x:v>
      </x:c>
      <x:c r="C1048" s="1" t="str">
        <x:v>basic</x:v>
      </x:c>
      <x:c r="D1048" s="1" t="str">
        <x:v>9.99</x:v>
      </x:c>
      <x:c r="E1048" s="1" t="str">
        <x:v>3</x:v>
      </x:c>
      <x:c r="F1048" s="1" t="str">
        <x:v>31</x:v>
      </x:c>
      <x:c r="G1048" s="1" t="str">
        <x:v>7</x:v>
      </x:c>
      <x:c r="H1048" s="1" t="str">
        <x:v>0</x:v>
      </x:c>
      <x:c r="I1048" s="1" t="str">
        <x:v>0</x:v>
      </x:c>
      <x:c r="J1048" s="1" t="str">
        <x:v>no</x:v>
      </x:c>
      <x:c r="K1048" s="1"/>
      <x:c r="L1048" s="1"/>
      <x:c r="M1048" s="1"/>
      <x:c r="N1048" s="1"/>
      <x:c r="O1048" s="1"/>
    </x:row>
    <x:row r="1049">
      <x:c r="A1049" s="1" t="str">
        <x:v>S1048</x:v>
      </x:c>
      <x:c r="B1049" s="1" t="str">
        <x:v>19</x:v>
      </x:c>
      <x:c r="C1049" s="1" t="str">
        <x:v>premium</x:v>
      </x:c>
      <x:c r="D1049" s="1" t="str">
        <x:v>15.99</x:v>
      </x:c>
      <x:c r="E1049" s="1" t="str">
        <x:v>0</x:v>
      </x:c>
      <x:c r="F1049" s="1" t="str">
        <x:v>13</x:v>
      </x:c>
      <x:c r="G1049" s="1" t="str">
        <x:v>26</x:v>
      </x:c>
      <x:c r="H1049" s="1" t="str">
        <x:v>0</x:v>
      </x:c>
      <x:c r="I1049" s="1" t="str">
        <x:v>1</x:v>
      </x:c>
      <x:c r="J1049" s="1" t="str">
        <x:v>no</x:v>
      </x:c>
      <x:c r="K1049" s="1"/>
      <x:c r="L1049" s="1"/>
      <x:c r="M1049" s="1"/>
      <x:c r="N1049" s="1"/>
      <x:c r="O1049" s="1"/>
    </x:row>
    <x:row r="1050">
      <x:c r="A1050" s="1" t="str">
        <x:v>S1049</x:v>
      </x:c>
      <x:c r="B1050" s="1" t="str">
        <x:v>21</x:v>
      </x:c>
      <x:c r="C1050" s="1" t="str">
        <x:v>premium</x:v>
      </x:c>
      <x:c r="D1050" s="1" t="str">
        <x:v>15.99</x:v>
      </x:c>
      <x:c r="E1050" s="1" t="str">
        <x:v>0</x:v>
      </x:c>
      <x:c r="F1050" s="1" t="str">
        <x:v>9</x:v>
      </x:c>
      <x:c r="G1050" s="1" t="str">
        <x:v>29</x:v>
      </x:c>
      <x:c r="H1050" s="1" t="str">
        <x:v>0</x:v>
      </x:c>
      <x:c r="I1050" s="1" t="str">
        <x:v>0</x:v>
      </x:c>
      <x:c r="J1050" s="1" t="str">
        <x:v>no</x:v>
      </x:c>
      <x:c r="K1050" s="1"/>
      <x:c r="L1050" s="1"/>
      <x:c r="M1050" s="1"/>
      <x:c r="N1050" s="1"/>
      <x:c r="O1050" s="1"/>
    </x:row>
    <x:row r="1051">
      <x:c r="A1051" s="1" t="str">
        <x:v>S1050</x:v>
      </x:c>
      <x:c r="B1051" s="1" t="str">
        <x:v>21</x:v>
      </x:c>
      <x:c r="C1051" s="1" t="str">
        <x:v>basic</x:v>
      </x:c>
      <x:c r="D1051" s="1" t="str">
        <x:v>9.99</x:v>
      </x:c>
      <x:c r="E1051" s="1" t="str">
        <x:v>0</x:v>
      </x:c>
      <x:c r="F1051" s="1" t="str">
        <x:v>19</x:v>
      </x:c>
      <x:c r="G1051" s="1" t="str">
        <x:v>24</x:v>
      </x:c>
      <x:c r="H1051" s="1" t="str">
        <x:v>0</x:v>
      </x:c>
      <x:c r="I1051" s="1" t="str">
        <x:v>1</x:v>
      </x:c>
      <x:c r="J1051" s="1" t="str">
        <x:v>no</x:v>
      </x:c>
      <x:c r="K1051" s="1"/>
      <x:c r="L1051" s="1"/>
      <x:c r="M1051" s="1"/>
      <x:c r="N1051" s="1"/>
      <x:c r="O1051" s="1"/>
    </x:row>
    <x:row r="1052">
      <x:c r="A1052" s="1" t="str">
        <x:v>S1051</x:v>
      </x:c>
      <x:c r="B1052" s="1" t="str">
        <x:v>23</x:v>
      </x:c>
      <x:c r="C1052" s="1" t="str">
        <x:v>premium</x:v>
      </x:c>
      <x:c r="D1052" s="1" t="str">
        <x:v>15.99</x:v>
      </x:c>
      <x:c r="E1052" s="1" t="str">
        <x:v>3</x:v>
      </x:c>
      <x:c r="F1052" s="1" t="str">
        <x:v>21</x:v>
      </x:c>
      <x:c r="G1052" s="1" t="str">
        <x:v>3</x:v>
      </x:c>
      <x:c r="H1052" s="1" t="str">
        <x:v>0</x:v>
      </x:c>
      <x:c r="I1052" s="1" t="str">
        <x:v>0</x:v>
      </x:c>
      <x:c r="J1052" s="1" t="str">
        <x:v>no</x:v>
      </x:c>
      <x:c r="K1052" s="1"/>
      <x:c r="L1052" s="1"/>
      <x:c r="M1052" s="1"/>
      <x:c r="N1052" s="1"/>
      <x:c r="O1052" s="1"/>
    </x:row>
    <x:row r="1053">
      <x:c r="A1053" s="1" t="str">
        <x:v>S1052</x:v>
      </x:c>
      <x:c r="B1053" s="1" t="str">
        <x:v>30</x:v>
      </x:c>
      <x:c r="C1053" s="1" t="str">
        <x:v>premium</x:v>
      </x:c>
      <x:c r="D1053" s="1" t="str">
        <x:v>15.99</x:v>
      </x:c>
      <x:c r="E1053" s="1" t="str">
        <x:v>0</x:v>
      </x:c>
      <x:c r="F1053" s="1" t="str">
        <x:v>23</x:v>
      </x:c>
      <x:c r="G1053" s="1" t="str">
        <x:v>0</x:v>
      </x:c>
      <x:c r="H1053" s="1" t="str">
        <x:v>0</x:v>
      </x:c>
      <x:c r="I1053" s="1" t="str">
        <x:v>0</x:v>
      </x:c>
      <x:c r="J1053" s="1" t="str">
        <x:v>no</x:v>
      </x:c>
      <x:c r="K1053" s="1"/>
      <x:c r="L1053" s="1"/>
      <x:c r="M1053" s="1"/>
      <x:c r="N1053" s="1"/>
      <x:c r="O1053" s="1"/>
    </x:row>
    <x:row r="1054">
      <x:c r="A1054" s="1" t="str">
        <x:v>S1053</x:v>
      </x:c>
      <x:c r="B1054" s="1" t="str">
        <x:v>3</x:v>
      </x:c>
      <x:c r="C1054" s="1" t="str">
        <x:v>premium</x:v>
      </x:c>
      <x:c r="D1054" s="1" t="str">
        <x:v>15.99</x:v>
      </x:c>
      <x:c r="E1054" s="1" t="str">
        <x:v>2</x:v>
      </x:c>
      <x:c r="F1054" s="1" t="str">
        <x:v>24</x:v>
      </x:c>
      <x:c r="G1054" s="1" t="str">
        <x:v>7</x:v>
      </x:c>
      <x:c r="H1054" s="1" t="str">
        <x:v>0</x:v>
      </x:c>
      <x:c r="I1054" s="1" t="str">
        <x:v>0</x:v>
      </x:c>
      <x:c r="J1054" s="1" t="str">
        <x:v>no</x:v>
      </x:c>
      <x:c r="K1054" s="1"/>
      <x:c r="L1054" s="1"/>
      <x:c r="M1054" s="1"/>
      <x:c r="N1054" s="1"/>
      <x:c r="O1054" s="1"/>
    </x:row>
    <x:row r="1055">
      <x:c r="A1055" s="1" t="str">
        <x:v>S1054</x:v>
      </x:c>
      <x:c r="B1055" s="1" t="str">
        <x:v>34</x:v>
      </x:c>
      <x:c r="C1055" s="1" t="str">
        <x:v>basic</x:v>
      </x:c>
      <x:c r="D1055" s="1" t="str">
        <x:v>9.99</x:v>
      </x:c>
      <x:c r="E1055" s="1" t="str">
        <x:v>0</x:v>
      </x:c>
      <x:c r="F1055" s="1" t="str">
        <x:v>17</x:v>
      </x:c>
      <x:c r="G1055" s="1" t="str">
        <x:v>15</x:v>
      </x:c>
      <x:c r="H1055" s="1" t="str">
        <x:v>0</x:v>
      </x:c>
      <x:c r="I1055" s="1" t="str">
        <x:v>1</x:v>
      </x:c>
      <x:c r="J1055" s="1" t="str">
        <x:v>no</x:v>
      </x:c>
      <x:c r="K1055" s="1"/>
      <x:c r="L1055" s="1"/>
      <x:c r="M1055" s="1"/>
      <x:c r="N1055" s="1"/>
      <x:c r="O1055" s="1"/>
    </x:row>
    <x:row r="1056">
      <x:c r="A1056" s="1" t="str">
        <x:v>S1055</x:v>
      </x:c>
      <x:c r="B1056" s="1" t="str">
        <x:v>13</x:v>
      </x:c>
      <x:c r="C1056" s="1" t="str">
        <x:v>basic</x:v>
      </x:c>
      <x:c r="D1056" s="1" t="str">
        <x:v>9.99</x:v>
      </x:c>
      <x:c r="E1056" s="1" t="str">
        <x:v>0</x:v>
      </x:c>
      <x:c r="F1056" s="1" t="str">
        <x:v>11</x:v>
      </x:c>
      <x:c r="G1056" s="1" t="str">
        <x:v>1</x:v>
      </x:c>
      <x:c r="H1056" s="1" t="str">
        <x:v>0</x:v>
      </x:c>
      <x:c r="I1056" s="1" t="str">
        <x:v>0</x:v>
      </x:c>
      <x:c r="J1056" s="1" t="str">
        <x:v>no</x:v>
      </x:c>
      <x:c r="K1056" s="1"/>
      <x:c r="L1056" s="1"/>
      <x:c r="M1056" s="1"/>
      <x:c r="N1056" s="1"/>
      <x:c r="O1056" s="1"/>
    </x:row>
    <x:row r="1057">
      <x:c r="A1057" s="1" t="str">
        <x:v>S1056</x:v>
      </x:c>
      <x:c r="B1057" s="1" t="str">
        <x:v>33</x:v>
      </x:c>
      <x:c r="C1057" s="1" t="str">
        <x:v>premium</x:v>
      </x:c>
      <x:c r="D1057" s="1" t="str">
        <x:v>15.99</x:v>
      </x:c>
      <x:c r="E1057" s="1" t="str">
        <x:v>1</x:v>
      </x:c>
      <x:c r="F1057" s="1" t="str">
        <x:v>12</x:v>
      </x:c>
      <x:c r="G1057" s="1" t="str">
        <x:v>17</x:v>
      </x:c>
      <x:c r="H1057" s="1" t="str">
        <x:v>1</x:v>
      </x:c>
      <x:c r="I1057" s="1" t="str">
        <x:v>0</x:v>
      </x:c>
      <x:c r="J1057" s="1" t="str">
        <x:v>no</x:v>
      </x:c>
      <x:c r="K1057" s="1"/>
      <x:c r="L1057" s="1"/>
      <x:c r="M1057" s="1"/>
      <x:c r="N1057" s="1"/>
      <x:c r="O1057" s="1"/>
    </x:row>
    <x:row r="1058">
      <x:c r="A1058" s="1" t="str">
        <x:v>S1057</x:v>
      </x:c>
      <x:c r="B1058" s="1" t="str">
        <x:v>12</x:v>
      </x:c>
      <x:c r="C1058" s="1" t="str">
        <x:v>basic</x:v>
      </x:c>
      <x:c r="D1058" s="1" t="str">
        <x:v>9.99</x:v>
      </x:c>
      <x:c r="E1058" s="1" t="str">
        <x:v>0</x:v>
      </x:c>
      <x:c r="F1058" s="1" t="str">
        <x:v>21</x:v>
      </x:c>
      <x:c r="G1058" s="1" t="str">
        <x:v>9</x:v>
      </x:c>
      <x:c r="H1058" s="1" t="str">
        <x:v>0</x:v>
      </x:c>
      <x:c r="I1058" s="1" t="str">
        <x:v>1</x:v>
      </x:c>
      <x:c r="J1058" s="1" t="str">
        <x:v>no</x:v>
      </x:c>
      <x:c r="K1058" s="1"/>
      <x:c r="L1058" s="1"/>
      <x:c r="M1058" s="1"/>
      <x:c r="N1058" s="1"/>
      <x:c r="O1058" s="1"/>
    </x:row>
    <x:row r="1059">
      <x:c r="A1059" s="1" t="str">
        <x:v>S1058</x:v>
      </x:c>
      <x:c r="B1059" s="1" t="str">
        <x:v>19</x:v>
      </x:c>
      <x:c r="C1059" s="1" t="str">
        <x:v>basic</x:v>
      </x:c>
      <x:c r="D1059" s="1" t="str">
        <x:v>9.99</x:v>
      </x:c>
      <x:c r="E1059" s="1" t="str">
        <x:v>0</x:v>
      </x:c>
      <x:c r="F1059" s="1" t="str">
        <x:v>20</x:v>
      </x:c>
      <x:c r="G1059" s="1" t="str">
        <x:v>4</x:v>
      </x:c>
      <x:c r="H1059" s="1" t="str">
        <x:v>0</x:v>
      </x:c>
      <x:c r="I1059" s="1" t="str">
        <x:v>0</x:v>
      </x:c>
      <x:c r="J1059" s="1" t="str">
        <x:v>no</x:v>
      </x:c>
      <x:c r="K1059" s="1"/>
      <x:c r="L1059" s="1"/>
      <x:c r="M1059" s="1"/>
      <x:c r="N1059" s="1"/>
      <x:c r="O1059" s="1"/>
    </x:row>
    <x:row r="1060">
      <x:c r="A1060" s="1" t="str">
        <x:v>S1059</x:v>
      </x:c>
      <x:c r="B1060" s="1" t="str">
        <x:v>36</x:v>
      </x:c>
      <x:c r="C1060" s="1" t="str">
        <x:v>basic</x:v>
      </x:c>
      <x:c r="D1060" s="1" t="str">
        <x:v>9.99</x:v>
      </x:c>
      <x:c r="E1060" s="1" t="str">
        <x:v>1</x:v>
      </x:c>
      <x:c r="F1060" s="1" t="str">
        <x:v>26</x:v>
      </x:c>
      <x:c r="G1060" s="1" t="str">
        <x:v>4</x:v>
      </x:c>
      <x:c r="H1060" s="1" t="str">
        <x:v>1</x:v>
      </x:c>
      <x:c r="I1060" s="1" t="str">
        <x:v>0</x:v>
      </x:c>
      <x:c r="J1060" s="1" t="str">
        <x:v>no</x:v>
      </x:c>
      <x:c r="K1060" s="1"/>
      <x:c r="L1060" s="1"/>
      <x:c r="M1060" s="1"/>
      <x:c r="N1060" s="1"/>
      <x:c r="O1060" s="1"/>
    </x:row>
    <x:row r="1061">
      <x:c r="A1061" s="1" t="str">
        <x:v>S1060</x:v>
      </x:c>
      <x:c r="B1061" s="1" t="str">
        <x:v>8</x:v>
      </x:c>
      <x:c r="C1061" s="1" t="str">
        <x:v>basic</x:v>
      </x:c>
      <x:c r="D1061" s="1" t="str">
        <x:v>9.99</x:v>
      </x:c>
      <x:c r="E1061" s="1" t="str">
        <x:v>3</x:v>
      </x:c>
      <x:c r="F1061" s="1" t="str">
        <x:v>20</x:v>
      </x:c>
      <x:c r="G1061" s="1" t="str">
        <x:v>1</x:v>
      </x:c>
      <x:c r="H1061" s="1" t="str">
        <x:v>1</x:v>
      </x:c>
      <x:c r="I1061" s="1" t="str">
        <x:v>1</x:v>
      </x:c>
      <x:c r="J1061" s="1" t="str">
        <x:v>yes</x:v>
      </x:c>
      <x:c r="K1061" s="1"/>
      <x:c r="L1061" s="1"/>
      <x:c r="M1061" s="1"/>
      <x:c r="N1061" s="1"/>
      <x:c r="O1061" s="1"/>
    </x:row>
    <x:row r="1062">
      <x:c r="A1062" s="1" t="str">
        <x:v>S1061</x:v>
      </x:c>
      <x:c r="B1062" s="1" t="str">
        <x:v>44</x:v>
      </x:c>
      <x:c r="C1062" s="1" t="str">
        <x:v>basic</x:v>
      </x:c>
      <x:c r="D1062" s="1" t="str">
        <x:v>9.99</x:v>
      </x:c>
      <x:c r="E1062" s="1" t="str">
        <x:v>4</x:v>
      </x:c>
      <x:c r="F1062" s="1" t="str">
        <x:v>15</x:v>
      </x:c>
      <x:c r="G1062" s="1" t="str">
        <x:v>3</x:v>
      </x:c>
      <x:c r="H1062" s="1" t="str">
        <x:v>2</x:v>
      </x:c>
      <x:c r="I1062" s="1" t="str">
        <x:v>0</x:v>
      </x:c>
      <x:c r="J1062" s="1" t="str">
        <x:v>no</x:v>
      </x:c>
      <x:c r="K1062" s="1"/>
      <x:c r="L1062" s="1"/>
      <x:c r="M1062" s="1"/>
      <x:c r="N1062" s="1"/>
      <x:c r="O1062" s="1"/>
    </x:row>
    <x:row r="1063">
      <x:c r="A1063" s="1" t="str">
        <x:v>S1062</x:v>
      </x:c>
      <x:c r="B1063" s="1" t="str">
        <x:v>46</x:v>
      </x:c>
      <x:c r="C1063" s="1" t="str">
        <x:v>basic</x:v>
      </x:c>
      <x:c r="D1063" s="1" t="str">
        <x:v>9.99</x:v>
      </x:c>
      <x:c r="E1063" s="1" t="str">
        <x:v>2</x:v>
      </x:c>
      <x:c r="F1063" s="1" t="str">
        <x:v>14</x:v>
      </x:c>
      <x:c r="G1063" s="1" t="str">
        <x:v>15</x:v>
      </x:c>
      <x:c r="H1063" s="1" t="str">
        <x:v>0</x:v>
      </x:c>
      <x:c r="I1063" s="1" t="str">
        <x:v>0</x:v>
      </x:c>
      <x:c r="J1063" s="1" t="str">
        <x:v>no</x:v>
      </x:c>
      <x:c r="K1063" s="1"/>
      <x:c r="L1063" s="1"/>
      <x:c r="M1063" s="1"/>
      <x:c r="N1063" s="1"/>
      <x:c r="O1063" s="1"/>
    </x:row>
    <x:row r="1064">
      <x:c r="A1064" s="1" t="str">
        <x:v>S1063</x:v>
      </x:c>
      <x:c r="B1064" s="1" t="str">
        <x:v>37</x:v>
      </x:c>
      <x:c r="C1064" s="1" t="str">
        <x:v>premium</x:v>
      </x:c>
      <x:c r="D1064" s="1" t="str">
        <x:v>15.99</x:v>
      </x:c>
      <x:c r="E1064" s="1" t="str">
        <x:v>1</x:v>
      </x:c>
      <x:c r="F1064" s="1" t="str">
        <x:v>18</x:v>
      </x:c>
      <x:c r="G1064" s="1" t="str">
        <x:v>6</x:v>
      </x:c>
      <x:c r="H1064" s="1" t="str">
        <x:v>0</x:v>
      </x:c>
      <x:c r="I1064" s="1" t="str">
        <x:v>0</x:v>
      </x:c>
      <x:c r="J1064" s="1" t="str">
        <x:v>no</x:v>
      </x:c>
      <x:c r="K1064" s="1"/>
      <x:c r="L1064" s="1"/>
      <x:c r="M1064" s="1"/>
      <x:c r="N1064" s="1"/>
      <x:c r="O1064" s="1"/>
    </x:row>
    <x:row r="1065">
      <x:c r="A1065" s="1" t="str">
        <x:v>S1064</x:v>
      </x:c>
      <x:c r="B1065" s="1" t="str">
        <x:v>9</x:v>
      </x:c>
      <x:c r="C1065" s="1" t="str">
        <x:v>basic</x:v>
      </x:c>
      <x:c r="D1065" s="1" t="str">
        <x:v>9.99</x:v>
      </x:c>
      <x:c r="E1065" s="1" t="str">
        <x:v>0</x:v>
      </x:c>
      <x:c r="F1065" s="1" t="str">
        <x:v>13</x:v>
      </x:c>
      <x:c r="G1065" s="1" t="str">
        <x:v>6</x:v>
      </x:c>
      <x:c r="H1065" s="1" t="str">
        <x:v>0</x:v>
      </x:c>
      <x:c r="I1065" s="1" t="str">
        <x:v>0</x:v>
      </x:c>
      <x:c r="J1065" s="1" t="str">
        <x:v>no</x:v>
      </x:c>
      <x:c r="K1065" s="1"/>
      <x:c r="L1065" s="1"/>
      <x:c r="M1065" s="1"/>
      <x:c r="N1065" s="1"/>
      <x:c r="O1065" s="1"/>
    </x:row>
    <x:row r="1066">
      <x:c r="A1066" s="1" t="str">
        <x:v>S1065</x:v>
      </x:c>
      <x:c r="B1066" s="1" t="str">
        <x:v>5</x:v>
      </x:c>
      <x:c r="C1066" s="1" t="str">
        <x:v>premium</x:v>
      </x:c>
      <x:c r="D1066" s="1" t="str">
        <x:v>15.99</x:v>
      </x:c>
      <x:c r="E1066" s="1" t="str">
        <x:v>0</x:v>
      </x:c>
      <x:c r="F1066" s="1" t="str">
        <x:v>18</x:v>
      </x:c>
      <x:c r="G1066" s="1" t="str">
        <x:v>26</x:v>
      </x:c>
      <x:c r="H1066" s="1" t="str">
        <x:v>1</x:v>
      </x:c>
      <x:c r="I1066" s="1" t="str">
        <x:v>1</x:v>
      </x:c>
      <x:c r="J1066" s="1" t="str">
        <x:v>no</x:v>
      </x:c>
      <x:c r="K1066" s="1"/>
      <x:c r="L1066" s="1"/>
      <x:c r="M1066" s="1"/>
      <x:c r="N1066" s="1"/>
      <x:c r="O1066" s="1"/>
    </x:row>
    <x:row r="1067">
      <x:c r="A1067" s="1" t="str">
        <x:v>S1066</x:v>
      </x:c>
      <x:c r="B1067" s="1" t="str">
        <x:v>14</x:v>
      </x:c>
      <x:c r="C1067" s="1" t="str">
        <x:v>basic</x:v>
      </x:c>
      <x:c r="D1067" s="1" t="str">
        <x:v>9.99</x:v>
      </x:c>
      <x:c r="E1067" s="1" t="str">
        <x:v>4</x:v>
      </x:c>
      <x:c r="F1067" s="1" t="str">
        <x:v>23</x:v>
      </x:c>
      <x:c r="G1067" s="1" t="str">
        <x:v>0</x:v>
      </x:c>
      <x:c r="H1067" s="1" t="str">
        <x:v>0</x:v>
      </x:c>
      <x:c r="I1067" s="1" t="str">
        <x:v>1</x:v>
      </x:c>
      <x:c r="J1067" s="1" t="str">
        <x:v>no</x:v>
      </x:c>
      <x:c r="K1067" s="1"/>
      <x:c r="L1067" s="1"/>
      <x:c r="M1067" s="1"/>
      <x:c r="N1067" s="1"/>
      <x:c r="O1067" s="1"/>
    </x:row>
    <x:row r="1068">
      <x:c r="A1068" s="1" t="str">
        <x:v>S1067</x:v>
      </x:c>
      <x:c r="B1068" s="1" t="str">
        <x:v>5</x:v>
      </x:c>
      <x:c r="C1068" s="1" t="str">
        <x:v>basic</x:v>
      </x:c>
      <x:c r="D1068" s="1" t="str">
        <x:v>9.99</x:v>
      </x:c>
      <x:c r="E1068" s="1" t="str">
        <x:v>0</x:v>
      </x:c>
      <x:c r="F1068" s="1" t="str">
        <x:v>0</x:v>
      </x:c>
      <x:c r="G1068" s="1" t="str">
        <x:v>45</x:v>
      </x:c>
      <x:c r="H1068" s="1" t="str">
        <x:v>0</x:v>
      </x:c>
      <x:c r="I1068" s="1" t="str">
        <x:v>0</x:v>
      </x:c>
      <x:c r="J1068" s="1" t="str">
        <x:v>yes</x:v>
      </x:c>
      <x:c r="K1068" s="1"/>
      <x:c r="L1068" s="1"/>
      <x:c r="M1068" s="1"/>
      <x:c r="N1068" s="1"/>
      <x:c r="O1068" s="1"/>
    </x:row>
    <x:row r="1069">
      <x:c r="A1069" s="1" t="str">
        <x:v>S1068</x:v>
      </x:c>
      <x:c r="B1069" s="1" t="str">
        <x:v>7</x:v>
      </x:c>
      <x:c r="C1069" s="1" t="str">
        <x:v>premium</x:v>
      </x:c>
      <x:c r="D1069" s="1" t="str">
        <x:v>15.99</x:v>
      </x:c>
      <x:c r="E1069" s="1" t="str">
        <x:v>0</x:v>
      </x:c>
      <x:c r="F1069" s="1" t="str">
        <x:v>8</x:v>
      </x:c>
      <x:c r="G1069" s="1" t="str">
        <x:v>30</x:v>
      </x:c>
      <x:c r="H1069" s="1" t="str">
        <x:v>0</x:v>
      </x:c>
      <x:c r="I1069" s="1" t="str">
        <x:v>0</x:v>
      </x:c>
      <x:c r="J1069" s="1" t="str">
        <x:v>yes</x:v>
      </x:c>
      <x:c r="K1069" s="1"/>
      <x:c r="L1069" s="1"/>
      <x:c r="M1069" s="1"/>
      <x:c r="N1069" s="1"/>
      <x:c r="O1069" s="1"/>
    </x:row>
    <x:row r="1070">
      <x:c r="A1070" s="1" t="str">
        <x:v>S1069</x:v>
      </x:c>
      <x:c r="B1070" s="1" t="str">
        <x:v>2</x:v>
      </x:c>
      <x:c r="C1070" s="1" t="str">
        <x:v>basic</x:v>
      </x:c>
      <x:c r="D1070" s="1" t="str">
        <x:v>9.99</x:v>
      </x:c>
      <x:c r="E1070" s="1" t="str">
        <x:v>4</x:v>
      </x:c>
      <x:c r="F1070" s="1" t="str">
        <x:v>19</x:v>
      </x:c>
      <x:c r="G1070" s="1" t="str">
        <x:v>20</x:v>
      </x:c>
      <x:c r="H1070" s="1" t="str">
        <x:v>0</x:v>
      </x:c>
      <x:c r="I1070" s="1" t="str">
        <x:v>0</x:v>
      </x:c>
      <x:c r="J1070" s="1" t="str">
        <x:v>yes</x:v>
      </x:c>
      <x:c r="K1070" s="1"/>
      <x:c r="L1070" s="1"/>
      <x:c r="M1070" s="1"/>
      <x:c r="N1070" s="1"/>
      <x:c r="O1070" s="1"/>
    </x:row>
    <x:row r="1071">
      <x:c r="A1071" s="1" t="str">
        <x:v>S1070</x:v>
      </x:c>
      <x:c r="B1071" s="1" t="str">
        <x:v>43</x:v>
      </x:c>
      <x:c r="C1071" s="1" t="str">
        <x:v>premium</x:v>
      </x:c>
      <x:c r="D1071" s="1" t="str">
        <x:v>15.99</x:v>
      </x:c>
      <x:c r="E1071" s="1" t="str">
        <x:v>0</x:v>
      </x:c>
      <x:c r="F1071" s="1" t="str">
        <x:v>14</x:v>
      </x:c>
      <x:c r="G1071" s="1" t="str">
        <x:v>27</x:v>
      </x:c>
      <x:c r="H1071" s="1" t="str">
        <x:v>2</x:v>
      </x:c>
      <x:c r="I1071" s="1" t="str">
        <x:v>0</x:v>
      </x:c>
      <x:c r="J1071" s="1" t="str">
        <x:v>no</x:v>
      </x:c>
      <x:c r="K1071" s="1"/>
      <x:c r="L1071" s="1"/>
      <x:c r="M1071" s="1"/>
      <x:c r="N1071" s="1"/>
      <x:c r="O1071" s="1"/>
    </x:row>
    <x:row r="1072">
      <x:c r="A1072" s="1" t="str">
        <x:v>S1071</x:v>
      </x:c>
      <x:c r="B1072" s="1" t="str">
        <x:v>3</x:v>
      </x:c>
      <x:c r="C1072" s="1" t="str">
        <x:v>basic</x:v>
      </x:c>
      <x:c r="D1072" s="1" t="str">
        <x:v>9.99</x:v>
      </x:c>
      <x:c r="E1072" s="1" t="str">
        <x:v>1</x:v>
      </x:c>
      <x:c r="F1072" s="1" t="str">
        <x:v>0</x:v>
      </x:c>
      <x:c r="G1072" s="1" t="str">
        <x:v>56</x:v>
      </x:c>
      <x:c r="H1072" s="1" t="str">
        <x:v>0</x:v>
      </x:c>
      <x:c r="I1072" s="1" t="str">
        <x:v>0</x:v>
      </x:c>
      <x:c r="J1072" s="1" t="str">
        <x:v>yes</x:v>
      </x:c>
      <x:c r="K1072" s="1"/>
      <x:c r="L1072" s="1"/>
      <x:c r="M1072" s="1"/>
      <x:c r="N1072" s="1"/>
      <x:c r="O1072" s="1"/>
    </x:row>
    <x:row r="1073">
      <x:c r="A1073" s="1" t="str">
        <x:v>S1072</x:v>
      </x:c>
      <x:c r="B1073" s="1" t="str">
        <x:v>13</x:v>
      </x:c>
      <x:c r="C1073" s="1" t="str">
        <x:v>premium</x:v>
      </x:c>
      <x:c r="D1073" s="1" t="str">
        <x:v>15.99</x:v>
      </x:c>
      <x:c r="E1073" s="1" t="str">
        <x:v>0</x:v>
      </x:c>
      <x:c r="F1073" s="1" t="str">
        <x:v>7</x:v>
      </x:c>
      <x:c r="G1073" s="1" t="str">
        <x:v>30</x:v>
      </x:c>
      <x:c r="H1073" s="1" t="str">
        <x:v>0</x:v>
      </x:c>
      <x:c r="I1073" s="1" t="str">
        <x:v>0</x:v>
      </x:c>
      <x:c r="J1073" s="1" t="str">
        <x:v>no</x:v>
      </x:c>
      <x:c r="K1073" s="1"/>
      <x:c r="L1073" s="1"/>
      <x:c r="M1073" s="1"/>
      <x:c r="N1073" s="1"/>
      <x:c r="O1073" s="1"/>
    </x:row>
    <x:row r="1074">
      <x:c r="A1074" s="1" t="str">
        <x:v>S1073</x:v>
      </x:c>
      <x:c r="B1074" s="1" t="str">
        <x:v>20</x:v>
      </x:c>
      <x:c r="C1074" s="1" t="str">
        <x:v>basic</x:v>
      </x:c>
      <x:c r="D1074" s="1" t="str">
        <x:v>9.99</x:v>
      </x:c>
      <x:c r="E1074" s="1" t="str">
        <x:v>2</x:v>
      </x:c>
      <x:c r="F1074" s="1" t="str">
        <x:v>0</x:v>
      </x:c>
      <x:c r="G1074" s="1" t="str">
        <x:v>55</x:v>
      </x:c>
      <x:c r="H1074" s="1" t="str">
        <x:v>1</x:v>
      </x:c>
      <x:c r="I1074" s="1" t="str">
        <x:v>0</x:v>
      </x:c>
      <x:c r="J1074" s="1" t="str">
        <x:v>yes</x:v>
      </x:c>
      <x:c r="K1074" s="1"/>
      <x:c r="L1074" s="1"/>
      <x:c r="M1074" s="1"/>
      <x:c r="N1074" s="1"/>
      <x:c r="O1074" s="1"/>
    </x:row>
    <x:row r="1075">
      <x:c r="A1075" s="1" t="str">
        <x:v>S1074</x:v>
      </x:c>
      <x:c r="B1075" s="1" t="str">
        <x:v>43</x:v>
      </x:c>
      <x:c r="C1075" s="1" t="str">
        <x:v>basic</x:v>
      </x:c>
      <x:c r="D1075" s="1" t="str">
        <x:v>9.99</x:v>
      </x:c>
      <x:c r="E1075" s="1" t="str">
        <x:v>0</x:v>
      </x:c>
      <x:c r="F1075" s="1" t="str">
        <x:v>1</x:v>
      </x:c>
      <x:c r="G1075" s="1" t="str">
        <x:v>25</x:v>
      </x:c>
      <x:c r="H1075" s="1" t="str">
        <x:v>0</x:v>
      </x:c>
      <x:c r="I1075" s="1" t="str">
        <x:v>0</x:v>
      </x:c>
      <x:c r="J1075" s="1" t="str">
        <x:v>no</x:v>
      </x:c>
      <x:c r="K1075" s="1"/>
      <x:c r="L1075" s="1"/>
      <x:c r="M1075" s="1"/>
      <x:c r="N1075" s="1"/>
      <x:c r="O1075" s="1"/>
    </x:row>
    <x:row r="1076">
      <x:c r="A1076" s="1" t="str">
        <x:v>S1075</x:v>
      </x:c>
      <x:c r="B1076" s="1" t="str">
        <x:v>14</x:v>
      </x:c>
      <x:c r="C1076" s="1" t="str">
        <x:v>premium</x:v>
      </x:c>
      <x:c r="D1076" s="1" t="str">
        <x:v>15.99</x:v>
      </x:c>
      <x:c r="E1076" s="1" t="str">
        <x:v>1</x:v>
      </x:c>
      <x:c r="F1076" s="1" t="str">
        <x:v>0</x:v>
      </x:c>
      <x:c r="G1076" s="1" t="str">
        <x:v>53</x:v>
      </x:c>
      <x:c r="H1076" s="1" t="str">
        <x:v>1</x:v>
      </x:c>
      <x:c r="I1076" s="1" t="str">
        <x:v>0</x:v>
      </x:c>
      <x:c r="J1076" s="1" t="str">
        <x:v>yes</x:v>
      </x:c>
      <x:c r="K1076" s="1"/>
      <x:c r="L1076" s="1"/>
      <x:c r="M1076" s="1"/>
      <x:c r="N1076" s="1"/>
      <x:c r="O1076" s="1"/>
    </x:row>
    <x:row r="1077">
      <x:c r="A1077" s="1" t="str">
        <x:v>S1076</x:v>
      </x:c>
      <x:c r="B1077" s="1" t="str">
        <x:v>38</x:v>
      </x:c>
      <x:c r="C1077" s="1" t="str">
        <x:v>basic</x:v>
      </x:c>
      <x:c r="D1077" s="1" t="str">
        <x:v>9.99</x:v>
      </x:c>
      <x:c r="E1077" s="1" t="str">
        <x:v>4</x:v>
      </x:c>
      <x:c r="F1077" s="1" t="str">
        <x:v>7</x:v>
      </x:c>
      <x:c r="G1077" s="1" t="str">
        <x:v>8</x:v>
      </x:c>
      <x:c r="H1077" s="1" t="str">
        <x:v>2</x:v>
      </x:c>
      <x:c r="I1077" s="1" t="str">
        <x:v>0</x:v>
      </x:c>
      <x:c r="J1077" s="1" t="str">
        <x:v>no</x:v>
      </x:c>
      <x:c r="K1077" s="1"/>
      <x:c r="L1077" s="1"/>
      <x:c r="M1077" s="1"/>
      <x:c r="N1077" s="1"/>
      <x:c r="O1077" s="1"/>
    </x:row>
    <x:row r="1078">
      <x:c r="A1078" s="1" t="str">
        <x:v>S1077</x:v>
      </x:c>
      <x:c r="B1078" s="1" t="str">
        <x:v>23</x:v>
      </x:c>
      <x:c r="C1078" s="1" t="str">
        <x:v>basic</x:v>
      </x:c>
      <x:c r="D1078" s="1" t="str">
        <x:v>9.99</x:v>
      </x:c>
      <x:c r="E1078" s="1" t="str">
        <x:v>0</x:v>
      </x:c>
      <x:c r="F1078" s="1" t="str">
        <x:v>23</x:v>
      </x:c>
      <x:c r="G1078" s="1" t="str">
        <x:v>3</x:v>
      </x:c>
      <x:c r="H1078" s="1" t="str">
        <x:v>0</x:v>
      </x:c>
      <x:c r="I1078" s="1" t="str">
        <x:v>0</x:v>
      </x:c>
      <x:c r="J1078" s="1" t="str">
        <x:v>no</x:v>
      </x:c>
      <x:c r="K1078" s="1"/>
      <x:c r="L1078" s="1"/>
      <x:c r="M1078" s="1"/>
      <x:c r="N1078" s="1"/>
      <x:c r="O1078" s="1"/>
    </x:row>
    <x:row r="1079">
      <x:c r="A1079" s="1" t="str">
        <x:v>S1078</x:v>
      </x:c>
      <x:c r="B1079" s="1" t="str">
        <x:v>21</x:v>
      </x:c>
      <x:c r="C1079" s="1" t="str">
        <x:v>basic</x:v>
      </x:c>
      <x:c r="D1079" s="1" t="str">
        <x:v>9.99</x:v>
      </x:c>
      <x:c r="E1079" s="1" t="str">
        <x:v>2</x:v>
      </x:c>
      <x:c r="F1079" s="1" t="str">
        <x:v>24</x:v>
      </x:c>
      <x:c r="G1079" s="1" t="str">
        <x:v>24</x:v>
      </x:c>
      <x:c r="H1079" s="1" t="str">
        <x:v>0</x:v>
      </x:c>
      <x:c r="I1079" s="1" t="str">
        <x:v>1</x:v>
      </x:c>
      <x:c r="J1079" s="1" t="str">
        <x:v>no</x:v>
      </x:c>
      <x:c r="K1079" s="1"/>
      <x:c r="L1079" s="1"/>
      <x:c r="M1079" s="1"/>
      <x:c r="N1079" s="1"/>
      <x:c r="O1079" s="1"/>
    </x:row>
    <x:row r="1080">
      <x:c r="A1080" s="1" t="str">
        <x:v>S1079</x:v>
      </x:c>
      <x:c r="B1080" s="1" t="str">
        <x:v>33</x:v>
      </x:c>
      <x:c r="C1080" s="1" t="str">
        <x:v>premium</x:v>
      </x:c>
      <x:c r="D1080" s="1" t="str">
        <x:v>15.99</x:v>
      </x:c>
      <x:c r="E1080" s="1" t="str">
        <x:v>0</x:v>
      </x:c>
      <x:c r="F1080" s="1" t="str">
        <x:v>16</x:v>
      </x:c>
      <x:c r="G1080" s="1" t="str">
        <x:v>7</x:v>
      </x:c>
      <x:c r="H1080" s="1" t="str">
        <x:v>0</x:v>
      </x:c>
      <x:c r="I1080" s="1" t="str">
        <x:v>0</x:v>
      </x:c>
      <x:c r="J1080" s="1" t="str">
        <x:v>no</x:v>
      </x:c>
      <x:c r="K1080" s="1"/>
      <x:c r="L1080" s="1"/>
      <x:c r="M1080" s="1"/>
      <x:c r="N1080" s="1"/>
      <x:c r="O1080" s="1"/>
    </x:row>
    <x:row r="1081">
      <x:c r="A1081" s="1" t="str">
        <x:v>S1080</x:v>
      </x:c>
      <x:c r="B1081" s="1" t="str">
        <x:v>27</x:v>
      </x:c>
      <x:c r="C1081" s="1" t="str">
        <x:v>basic</x:v>
      </x:c>
      <x:c r="D1081" s="1" t="str">
        <x:v>9.99</x:v>
      </x:c>
      <x:c r="E1081" s="1" t="str">
        <x:v>0</x:v>
      </x:c>
      <x:c r="F1081" s="1" t="str">
        <x:v>11</x:v>
      </x:c>
      <x:c r="G1081" s="1" t="str">
        <x:v>19</x:v>
      </x:c>
      <x:c r="H1081" s="1" t="str">
        <x:v>0</x:v>
      </x:c>
      <x:c r="I1081" s="1" t="str">
        <x:v>1</x:v>
      </x:c>
      <x:c r="J1081" s="1" t="str">
        <x:v>no</x:v>
      </x:c>
      <x:c r="K1081" s="1"/>
      <x:c r="L1081" s="1"/>
      <x:c r="M1081" s="1"/>
      <x:c r="N1081" s="1"/>
      <x:c r="O1081" s="1"/>
    </x:row>
    <x:row r="1082">
      <x:c r="A1082" s="1" t="str">
        <x:v>S1081</x:v>
      </x:c>
      <x:c r="B1082" s="1" t="str">
        <x:v>10</x:v>
      </x:c>
      <x:c r="C1082" s="1" t="str">
        <x:v>basic</x:v>
      </x:c>
      <x:c r="D1082" s="1" t="str">
        <x:v>9.99</x:v>
      </x:c>
      <x:c r="E1082" s="1" t="str">
        <x:v>1</x:v>
      </x:c>
      <x:c r="F1082" s="1" t="str">
        <x:v>14</x:v>
      </x:c>
      <x:c r="G1082" s="1" t="str">
        <x:v>6</x:v>
      </x:c>
      <x:c r="H1082" s="1" t="str">
        <x:v>0</x:v>
      </x:c>
      <x:c r="I1082" s="1" t="str">
        <x:v>0</x:v>
      </x:c>
      <x:c r="J1082" s="1" t="str">
        <x:v>yes</x:v>
      </x:c>
      <x:c r="K1082" s="1"/>
      <x:c r="L1082" s="1"/>
      <x:c r="M1082" s="1"/>
      <x:c r="N1082" s="1"/>
      <x:c r="O1082" s="1"/>
    </x:row>
    <x:row r="1083">
      <x:c r="A1083" s="1" t="str">
        <x:v>S1082</x:v>
      </x:c>
      <x:c r="B1083" s="1" t="str">
        <x:v>38</x:v>
      </x:c>
      <x:c r="C1083" s="1" t="str">
        <x:v>basic</x:v>
      </x:c>
      <x:c r="D1083" s="1" t="str">
        <x:v>9.99</x:v>
      </x:c>
      <x:c r="E1083" s="1" t="str">
        <x:v>3</x:v>
      </x:c>
      <x:c r="F1083" s="1" t="str">
        <x:v>29</x:v>
      </x:c>
      <x:c r="G1083" s="1" t="str">
        <x:v>12</x:v>
      </x:c>
      <x:c r="H1083" s="1" t="str">
        <x:v>1</x:v>
      </x:c>
      <x:c r="I1083" s="1" t="str">
        <x:v>0</x:v>
      </x:c>
      <x:c r="J1083" s="1" t="str">
        <x:v>no</x:v>
      </x:c>
      <x:c r="K1083" s="1"/>
      <x:c r="L1083" s="1"/>
      <x:c r="M1083" s="1"/>
      <x:c r="N1083" s="1"/>
      <x:c r="O1083" s="1"/>
    </x:row>
    <x:row r="1084">
      <x:c r="A1084" s="1" t="str">
        <x:v>S1083</x:v>
      </x:c>
      <x:c r="B1084" s="1" t="str">
        <x:v>42</x:v>
      </x:c>
      <x:c r="C1084" s="1" t="str">
        <x:v>basic</x:v>
      </x:c>
      <x:c r="D1084" s="1" t="str">
        <x:v>9.99</x:v>
      </x:c>
      <x:c r="E1084" s="1" t="str">
        <x:v>1</x:v>
      </x:c>
      <x:c r="F1084" s="1" t="str">
        <x:v>30</x:v>
      </x:c>
      <x:c r="G1084" s="1" t="str">
        <x:v>1</x:v>
      </x:c>
      <x:c r="H1084" s="1" t="str">
        <x:v>0</x:v>
      </x:c>
      <x:c r="I1084" s="1" t="str">
        <x:v>1</x:v>
      </x:c>
      <x:c r="J1084" s="1" t="str">
        <x:v>no</x:v>
      </x:c>
      <x:c r="K1084" s="1"/>
      <x:c r="L1084" s="1"/>
      <x:c r="M1084" s="1"/>
      <x:c r="N1084" s="1"/>
      <x:c r="O1084" s="1"/>
    </x:row>
    <x:row r="1085">
      <x:c r="A1085" s="1" t="str">
        <x:v>S1084</x:v>
      </x:c>
      <x:c r="B1085" s="1" t="str">
        <x:v>13</x:v>
      </x:c>
      <x:c r="C1085" s="1" t="str">
        <x:v>premium</x:v>
      </x:c>
      <x:c r="D1085" s="1" t="str">
        <x:v>15.99</x:v>
      </x:c>
      <x:c r="E1085" s="1" t="str">
        <x:v>1</x:v>
      </x:c>
      <x:c r="F1085" s="1" t="str">
        <x:v>4</x:v>
      </x:c>
      <x:c r="G1085" s="1" t="str">
        <x:v>26</x:v>
      </x:c>
      <x:c r="H1085" s="1" t="str">
        <x:v>1</x:v>
      </x:c>
      <x:c r="I1085" s="1" t="str">
        <x:v>0</x:v>
      </x:c>
      <x:c r="J1085" s="1" t="str">
        <x:v>yes</x:v>
      </x:c>
      <x:c r="K1085" s="1"/>
      <x:c r="L1085" s="1"/>
      <x:c r="M1085" s="1"/>
      <x:c r="N1085" s="1"/>
      <x:c r="O1085" s="1"/>
    </x:row>
    <x:row r="1086">
      <x:c r="A1086" s="1" t="str">
        <x:v>S1085</x:v>
      </x:c>
      <x:c r="B1086" s="1" t="str">
        <x:v>17</x:v>
      </x:c>
      <x:c r="C1086" s="1" t="str">
        <x:v>premium</x:v>
      </x:c>
      <x:c r="D1086" s="1" t="str">
        <x:v>15.99</x:v>
      </x:c>
      <x:c r="E1086" s="1" t="str">
        <x:v>1</x:v>
      </x:c>
      <x:c r="F1086" s="1" t="str">
        <x:v>14</x:v>
      </x:c>
      <x:c r="G1086" s="1" t="str">
        <x:v>2</x:v>
      </x:c>
      <x:c r="H1086" s="1" t="str">
        <x:v>0</x:v>
      </x:c>
      <x:c r="I1086" s="1" t="str">
        <x:v>1</x:v>
      </x:c>
      <x:c r="J1086" s="1" t="str">
        <x:v>no</x:v>
      </x:c>
      <x:c r="K1086" s="1"/>
      <x:c r="L1086" s="1"/>
      <x:c r="M1086" s="1"/>
      <x:c r="N1086" s="1"/>
      <x:c r="O1086" s="1"/>
    </x:row>
    <x:row r="1087">
      <x:c r="A1087" s="1" t="str">
        <x:v>S1086</x:v>
      </x:c>
      <x:c r="B1087" s="1" t="str">
        <x:v>38</x:v>
      </x:c>
      <x:c r="C1087" s="1" t="str">
        <x:v>premium</x:v>
      </x:c>
      <x:c r="D1087" s="1" t="str">
        <x:v>15.99</x:v>
      </x:c>
      <x:c r="E1087" s="1" t="str">
        <x:v>1</x:v>
      </x:c>
      <x:c r="F1087" s="1" t="str">
        <x:v>12</x:v>
      </x:c>
      <x:c r="G1087" s="1" t="str">
        <x:v>2</x:v>
      </x:c>
      <x:c r="H1087" s="1" t="str">
        <x:v>0</x:v>
      </x:c>
      <x:c r="I1087" s="1" t="str">
        <x:v>1</x:v>
      </x:c>
      <x:c r="J1087" s="1" t="str">
        <x:v>no</x:v>
      </x:c>
      <x:c r="K1087" s="1"/>
      <x:c r="L1087" s="1"/>
      <x:c r="M1087" s="1"/>
      <x:c r="N1087" s="1"/>
      <x:c r="O1087" s="1"/>
    </x:row>
    <x:row r="1088">
      <x:c r="A1088" s="1" t="str">
        <x:v>S1087</x:v>
      </x:c>
      <x:c r="B1088" s="1" t="str">
        <x:v>42</x:v>
      </x:c>
      <x:c r="C1088" s="1" t="str">
        <x:v>premium</x:v>
      </x:c>
      <x:c r="D1088" s="1" t="str">
        <x:v>15.99</x:v>
      </x:c>
      <x:c r="E1088" s="1" t="str">
        <x:v>2</x:v>
      </x:c>
      <x:c r="F1088" s="1" t="str">
        <x:v>7</x:v>
      </x:c>
      <x:c r="G1088" s="1" t="str">
        <x:v>28</x:v>
      </x:c>
      <x:c r="H1088" s="1" t="str">
        <x:v>0</x:v>
      </x:c>
      <x:c r="I1088" s="1" t="str">
        <x:v>0</x:v>
      </x:c>
      <x:c r="J1088" s="1" t="str">
        <x:v>no</x:v>
      </x:c>
      <x:c r="K1088" s="1"/>
      <x:c r="L1088" s="1"/>
      <x:c r="M1088" s="1"/>
      <x:c r="N1088" s="1"/>
      <x:c r="O1088" s="1"/>
    </x:row>
    <x:row r="1089">
      <x:c r="A1089" s="1" t="str">
        <x:v>S1088</x:v>
      </x:c>
      <x:c r="B1089" s="1" t="str">
        <x:v>1</x:v>
      </x:c>
      <x:c r="C1089" s="1" t="str">
        <x:v>basic</x:v>
      </x:c>
      <x:c r="D1089" s="1" t="str">
        <x:v>9.99</x:v>
      </x:c>
      <x:c r="E1089" s="1" t="str">
        <x:v>2</x:v>
      </x:c>
      <x:c r="F1089" s="1" t="str">
        <x:v>27</x:v>
      </x:c>
      <x:c r="G1089" s="1" t="str">
        <x:v>6</x:v>
      </x:c>
      <x:c r="H1089" s="1" t="str">
        <x:v>0</x:v>
      </x:c>
      <x:c r="I1089" s="1" t="str">
        <x:v>0</x:v>
      </x:c>
      <x:c r="J1089" s="1" t="str">
        <x:v>no</x:v>
      </x:c>
      <x:c r="K1089" s="1"/>
      <x:c r="L1089" s="1"/>
      <x:c r="M1089" s="1"/>
      <x:c r="N1089" s="1"/>
      <x:c r="O1089" s="1"/>
    </x:row>
    <x:row r="1090">
      <x:c r="A1090" s="1" t="str">
        <x:v>S1089</x:v>
      </x:c>
      <x:c r="B1090" s="1" t="str">
        <x:v>14</x:v>
      </x:c>
      <x:c r="C1090" s="1" t="str">
        <x:v>premium</x:v>
      </x:c>
      <x:c r="D1090" s="1" t="str">
        <x:v>15.99</x:v>
      </x:c>
      <x:c r="E1090" s="1" t="str">
        <x:v>0</x:v>
      </x:c>
      <x:c r="F1090" s="1" t="str">
        <x:v>29</x:v>
      </x:c>
      <x:c r="G1090" s="1" t="str">
        <x:v>1</x:v>
      </x:c>
      <x:c r="H1090" s="1" t="str">
        <x:v>0</x:v>
      </x:c>
      <x:c r="I1090" s="1" t="str">
        <x:v>0</x:v>
      </x:c>
      <x:c r="J1090" s="1" t="str">
        <x:v>no</x:v>
      </x:c>
      <x:c r="K1090" s="1"/>
      <x:c r="L1090" s="1"/>
      <x:c r="M1090" s="1"/>
      <x:c r="N1090" s="1"/>
      <x:c r="O1090" s="1"/>
    </x:row>
    <x:row r="1091">
      <x:c r="A1091" s="1" t="str">
        <x:v>S1090</x:v>
      </x:c>
      <x:c r="B1091" s="1" t="str">
        <x:v>36</x:v>
      </x:c>
      <x:c r="C1091" s="1" t="str">
        <x:v>premium</x:v>
      </x:c>
      <x:c r="D1091" s="1" t="str">
        <x:v>15.99</x:v>
      </x:c>
      <x:c r="E1091" s="1" t="str">
        <x:v>0</x:v>
      </x:c>
      <x:c r="F1091" s="1" t="str">
        <x:v>12</x:v>
      </x:c>
      <x:c r="G1091" s="1" t="str">
        <x:v>25</x:v>
      </x:c>
      <x:c r="H1091" s="1" t="str">
        <x:v>0</x:v>
      </x:c>
      <x:c r="I1091" s="1" t="str">
        <x:v>0</x:v>
      </x:c>
      <x:c r="J1091" s="1" t="str">
        <x:v>no</x:v>
      </x:c>
      <x:c r="K1091" s="1"/>
      <x:c r="L1091" s="1"/>
      <x:c r="M1091" s="1"/>
      <x:c r="N1091" s="1"/>
      <x:c r="O1091" s="1"/>
    </x:row>
    <x:row r="1092">
      <x:c r="A1092" s="1" t="str">
        <x:v>S1091</x:v>
      </x:c>
      <x:c r="B1092" s="1" t="str">
        <x:v>45</x:v>
      </x:c>
      <x:c r="C1092" s="1" t="str">
        <x:v>basic</x:v>
      </x:c>
      <x:c r="D1092" s="1" t="str">
        <x:v>9.99</x:v>
      </x:c>
      <x:c r="E1092" s="1" t="str">
        <x:v>0</x:v>
      </x:c>
      <x:c r="F1092" s="1" t="str">
        <x:v>6</x:v>
      </x:c>
      <x:c r="G1092" s="1" t="str">
        <x:v>21</x:v>
      </x:c>
      <x:c r="H1092" s="1" t="str">
        <x:v>0</x:v>
      </x:c>
      <x:c r="I1092" s="1" t="str">
        <x:v>0</x:v>
      </x:c>
      <x:c r="J1092" s="1" t="str">
        <x:v>no</x:v>
      </x:c>
      <x:c r="K1092" s="1"/>
      <x:c r="L1092" s="1"/>
      <x:c r="M1092" s="1"/>
      <x:c r="N1092" s="1"/>
      <x:c r="O1092" s="1"/>
    </x:row>
    <x:row r="1093">
      <x:c r="A1093" s="1" t="str">
        <x:v>S1092</x:v>
      </x:c>
      <x:c r="B1093" s="1" t="str">
        <x:v>27</x:v>
      </x:c>
      <x:c r="C1093" s="1" t="str">
        <x:v>premium</x:v>
      </x:c>
      <x:c r="D1093" s="1" t="str">
        <x:v>15.99</x:v>
      </x:c>
      <x:c r="E1093" s="1" t="str">
        <x:v>1</x:v>
      </x:c>
      <x:c r="F1093" s="1" t="str">
        <x:v>21</x:v>
      </x:c>
      <x:c r="G1093" s="1" t="str">
        <x:v>7</x:v>
      </x:c>
      <x:c r="H1093" s="1" t="str">
        <x:v>0</x:v>
      </x:c>
      <x:c r="I1093" s="1" t="str">
        <x:v>0</x:v>
      </x:c>
      <x:c r="J1093" s="1" t="str">
        <x:v>no</x:v>
      </x:c>
      <x:c r="K1093" s="1"/>
      <x:c r="L1093" s="1"/>
      <x:c r="M1093" s="1"/>
      <x:c r="N1093" s="1"/>
      <x:c r="O1093" s="1"/>
    </x:row>
    <x:row r="1094">
      <x:c r="A1094" s="1" t="str">
        <x:v>S1093</x:v>
      </x:c>
      <x:c r="B1094" s="1" t="str">
        <x:v>29</x:v>
      </x:c>
      <x:c r="C1094" s="1" t="str">
        <x:v>basic</x:v>
      </x:c>
      <x:c r="D1094" s="1" t="str">
        <x:v>9.99</x:v>
      </x:c>
      <x:c r="E1094" s="1" t="str">
        <x:v>3</x:v>
      </x:c>
      <x:c r="F1094" s="1" t="str">
        <x:v>6</x:v>
      </x:c>
      <x:c r="G1094" s="1" t="str">
        <x:v>6</x:v>
      </x:c>
      <x:c r="H1094" s="1" t="str">
        <x:v>0</x:v>
      </x:c>
      <x:c r="I1094" s="1" t="str">
        <x:v>0</x:v>
      </x:c>
      <x:c r="J1094" s="1" t="str">
        <x:v>no</x:v>
      </x:c>
      <x:c r="K1094" s="1"/>
      <x:c r="L1094" s="1"/>
      <x:c r="M1094" s="1"/>
      <x:c r="N1094" s="1"/>
      <x:c r="O1094" s="1"/>
    </x:row>
    <x:row r="1095">
      <x:c r="A1095" s="1" t="str">
        <x:v>S1094</x:v>
      </x:c>
      <x:c r="B1095" s="1" t="str">
        <x:v>48</x:v>
      </x:c>
      <x:c r="C1095" s="1" t="str">
        <x:v>basic</x:v>
      </x:c>
      <x:c r="D1095" s="1" t="str">
        <x:v>9.99</x:v>
      </x:c>
      <x:c r="E1095" s="1" t="str">
        <x:v>0</x:v>
      </x:c>
      <x:c r="F1095" s="1" t="str">
        <x:v>17</x:v>
      </x:c>
      <x:c r="G1095" s="1" t="str">
        <x:v>6</x:v>
      </x:c>
      <x:c r="H1095" s="1" t="str">
        <x:v>0</x:v>
      </x:c>
      <x:c r="I1095" s="1" t="str">
        <x:v>0</x:v>
      </x:c>
      <x:c r="J1095" s="1" t="str">
        <x:v>no</x:v>
      </x:c>
      <x:c r="K1095" s="1"/>
      <x:c r="L1095" s="1"/>
      <x:c r="M1095" s="1"/>
      <x:c r="N1095" s="1"/>
      <x:c r="O1095" s="1"/>
    </x:row>
    <x:row r="1096">
      <x:c r="A1096" s="1" t="str">
        <x:v>S1095</x:v>
      </x:c>
      <x:c r="B1096" s="1" t="str">
        <x:v>15</x:v>
      </x:c>
      <x:c r="C1096" s="1" t="str">
        <x:v>basic</x:v>
      </x:c>
      <x:c r="D1096" s="1" t="str">
        <x:v>9.99</x:v>
      </x:c>
      <x:c r="E1096" s="1" t="str">
        <x:v>0</x:v>
      </x:c>
      <x:c r="F1096" s="1" t="str">
        <x:v>13</x:v>
      </x:c>
      <x:c r="G1096" s="1" t="str">
        <x:v>5</x:v>
      </x:c>
      <x:c r="H1096" s="1" t="str">
        <x:v>0</x:v>
      </x:c>
      <x:c r="I1096" s="1" t="str">
        <x:v>1</x:v>
      </x:c>
      <x:c r="J1096" s="1" t="str">
        <x:v>no</x:v>
      </x:c>
      <x:c r="K1096" s="1"/>
      <x:c r="L1096" s="1"/>
      <x:c r="M1096" s="1"/>
      <x:c r="N1096" s="1"/>
      <x:c r="O1096" s="1"/>
    </x:row>
    <x:row r="1097">
      <x:c r="A1097" s="1" t="str">
        <x:v>S1096</x:v>
      </x:c>
      <x:c r="B1097" s="1" t="str">
        <x:v>24</x:v>
      </x:c>
      <x:c r="C1097" s="1" t="str">
        <x:v>premium</x:v>
      </x:c>
      <x:c r="D1097" s="1" t="str">
        <x:v>15.99</x:v>
      </x:c>
      <x:c r="E1097" s="1" t="str">
        <x:v>0</x:v>
      </x:c>
      <x:c r="F1097" s="1" t="str">
        <x:v>30</x:v>
      </x:c>
      <x:c r="G1097" s="1" t="str">
        <x:v>2</x:v>
      </x:c>
      <x:c r="H1097" s="1" t="str">
        <x:v>0</x:v>
      </x:c>
      <x:c r="I1097" s="1" t="str">
        <x:v>0</x:v>
      </x:c>
      <x:c r="J1097" s="1" t="str">
        <x:v>no</x:v>
      </x:c>
      <x:c r="K1097" s="1"/>
      <x:c r="L1097" s="1"/>
      <x:c r="M1097" s="1"/>
      <x:c r="N1097" s="1"/>
      <x:c r="O1097" s="1"/>
    </x:row>
    <x:row r="1098">
      <x:c r="A1098" s="1" t="str">
        <x:v>S1097</x:v>
      </x:c>
      <x:c r="B1098" s="1" t="str">
        <x:v>41</x:v>
      </x:c>
      <x:c r="C1098" s="1" t="str">
        <x:v>premium</x:v>
      </x:c>
      <x:c r="D1098" s="1" t="str">
        <x:v>15.99</x:v>
      </x:c>
      <x:c r="E1098" s="1" t="str">
        <x:v>3</x:v>
      </x:c>
      <x:c r="F1098" s="1" t="str">
        <x:v>0</x:v>
      </x:c>
      <x:c r="G1098" s="1" t="str">
        <x:v>51</x:v>
      </x:c>
      <x:c r="H1098" s="1" t="str">
        <x:v>0</x:v>
      </x:c>
      <x:c r="I1098" s="1" t="str">
        <x:v>0</x:v>
      </x:c>
      <x:c r="J1098" s="1" t="str">
        <x:v>yes</x:v>
      </x:c>
      <x:c r="K1098" s="1"/>
      <x:c r="L1098" s="1"/>
      <x:c r="M1098" s="1"/>
      <x:c r="N1098" s="1"/>
      <x:c r="O1098" s="1"/>
    </x:row>
    <x:row r="1099">
      <x:c r="A1099" s="1" t="str">
        <x:v>S1098</x:v>
      </x:c>
      <x:c r="B1099" s="1" t="str">
        <x:v>43</x:v>
      </x:c>
      <x:c r="C1099" s="1" t="str">
        <x:v>premium</x:v>
      </x:c>
      <x:c r="D1099" s="1" t="str">
        <x:v>15.99</x:v>
      </x:c>
      <x:c r="E1099" s="1" t="str">
        <x:v>1</x:v>
      </x:c>
      <x:c r="F1099" s="1" t="str">
        <x:v>25</x:v>
      </x:c>
      <x:c r="G1099" s="1" t="str">
        <x:v>1</x:v>
      </x:c>
      <x:c r="H1099" s="1" t="str">
        <x:v>0</x:v>
      </x:c>
      <x:c r="I1099" s="1" t="str">
        <x:v>0</x:v>
      </x:c>
      <x:c r="J1099" s="1" t="str">
        <x:v>no</x:v>
      </x:c>
      <x:c r="K1099" s="1"/>
      <x:c r="L1099" s="1"/>
      <x:c r="M1099" s="1"/>
      <x:c r="N1099" s="1"/>
      <x:c r="O1099" s="1"/>
    </x:row>
    <x:row r="1100">
      <x:c r="A1100" s="1" t="str">
        <x:v>S1099</x:v>
      </x:c>
      <x:c r="B1100" s="1" t="str">
        <x:v>17</x:v>
      </x:c>
      <x:c r="C1100" s="1" t="str">
        <x:v>basic</x:v>
      </x:c>
      <x:c r="D1100" s="1" t="str">
        <x:v>9.99</x:v>
      </x:c>
      <x:c r="E1100" s="1" t="str">
        <x:v>1</x:v>
      </x:c>
      <x:c r="F1100" s="1" t="str">
        <x:v>17</x:v>
      </x:c>
      <x:c r="G1100" s="1" t="str">
        <x:v>16</x:v>
      </x:c>
      <x:c r="H1100" s="1" t="str">
        <x:v>0</x:v>
      </x:c>
      <x:c r="I1100" s="1" t="str">
        <x:v>0</x:v>
      </x:c>
      <x:c r="J1100" s="1" t="str">
        <x:v>no</x:v>
      </x:c>
      <x:c r="K1100" s="1"/>
      <x:c r="L1100" s="1"/>
      <x:c r="M1100" s="1"/>
      <x:c r="N1100" s="1"/>
      <x:c r="O1100" s="1"/>
    </x:row>
    <x:row r="1101">
      <x:c r="A1101" s="1" t="str">
        <x:v>S1100</x:v>
      </x:c>
      <x:c r="B1101" s="1" t="str">
        <x:v>1</x:v>
      </x:c>
      <x:c r="C1101" s="1" t="str">
        <x:v>premium</x:v>
      </x:c>
      <x:c r="D1101" s="1" t="str">
        <x:v>15.99</x:v>
      </x:c>
      <x:c r="E1101" s="1" t="str">
        <x:v>1</x:v>
      </x:c>
      <x:c r="F1101" s="1" t="str">
        <x:v>11</x:v>
      </x:c>
      <x:c r="G1101" s="1" t="str">
        <x:v>6</x:v>
      </x:c>
      <x:c r="H1101" s="1" t="str">
        <x:v>0</x:v>
      </x:c>
      <x:c r="I1101" s="1" t="str">
        <x:v>0</x:v>
      </x:c>
      <x:c r="J1101" s="1" t="str">
        <x:v>yes</x:v>
      </x:c>
      <x:c r="K1101" s="1"/>
      <x:c r="L1101" s="1"/>
      <x:c r="M1101" s="1"/>
      <x:c r="N1101" s="1"/>
      <x:c r="O1101" s="1"/>
    </x:row>
    <x:row r="1102">
      <x:c r="A1102" s="1" t="str">
        <x:v>S1101</x:v>
      </x:c>
      <x:c r="B1102" s="1" t="str">
        <x:v>1</x:v>
      </x:c>
      <x:c r="C1102" s="1" t="str">
        <x:v>basic</x:v>
      </x:c>
      <x:c r="D1102" s="1" t="str">
        <x:v>9.99</x:v>
      </x:c>
      <x:c r="E1102" s="1" t="str">
        <x:v>0</x:v>
      </x:c>
      <x:c r="F1102" s="1" t="str">
        <x:v>0</x:v>
      </x:c>
      <x:c r="G1102" s="1" t="str">
        <x:v>39</x:v>
      </x:c>
      <x:c r="H1102" s="1" t="str">
        <x:v>0</x:v>
      </x:c>
      <x:c r="I1102" s="1" t="str">
        <x:v>0</x:v>
      </x:c>
      <x:c r="J1102" s="1" t="str">
        <x:v>no</x:v>
      </x:c>
      <x:c r="K1102" s="1"/>
      <x:c r="L1102" s="1"/>
      <x:c r="M1102" s="1"/>
      <x:c r="N1102" s="1"/>
      <x:c r="O1102" s="1"/>
    </x:row>
    <x:row r="1103">
      <x:c r="A1103" s="1" t="str">
        <x:v>S1102</x:v>
      </x:c>
      <x:c r="B1103" s="1" t="str">
        <x:v>42</x:v>
      </x:c>
      <x:c r="C1103" s="1" t="str">
        <x:v>basic</x:v>
      </x:c>
      <x:c r="D1103" s="1" t="str">
        <x:v>9.99</x:v>
      </x:c>
      <x:c r="E1103" s="1" t="str">
        <x:v>0</x:v>
      </x:c>
      <x:c r="F1103" s="1" t="str">
        <x:v>17</x:v>
      </x:c>
      <x:c r="G1103" s="1" t="str">
        <x:v>2</x:v>
      </x:c>
      <x:c r="H1103" s="1" t="str">
        <x:v>0</x:v>
      </x:c>
      <x:c r="I1103" s="1" t="str">
        <x:v>0</x:v>
      </x:c>
      <x:c r="J1103" s="1" t="str">
        <x:v>no</x:v>
      </x:c>
      <x:c r="K1103" s="1"/>
      <x:c r="L1103" s="1"/>
      <x:c r="M1103" s="1"/>
      <x:c r="N1103" s="1"/>
      <x:c r="O1103" s="1"/>
    </x:row>
    <x:row r="1104">
      <x:c r="A1104" s="1" t="str">
        <x:v>S1103</x:v>
      </x:c>
      <x:c r="B1104" s="1" t="str">
        <x:v>10</x:v>
      </x:c>
      <x:c r="C1104" s="1" t="str">
        <x:v>basic</x:v>
      </x:c>
      <x:c r="D1104" s="1" t="str">
        <x:v>9.99</x:v>
      </x:c>
      <x:c r="E1104" s="1" t="str">
        <x:v>2</x:v>
      </x:c>
      <x:c r="F1104" s="1" t="str">
        <x:v>0</x:v>
      </x:c>
      <x:c r="G1104" s="1" t="str">
        <x:v>50</x:v>
      </x:c>
      <x:c r="H1104" s="1" t="str">
        <x:v>0</x:v>
      </x:c>
      <x:c r="I1104" s="1" t="str">
        <x:v>0</x:v>
      </x:c>
      <x:c r="J1104" s="1" t="str">
        <x:v>yes</x:v>
      </x:c>
      <x:c r="K1104" s="1"/>
      <x:c r="L1104" s="1"/>
      <x:c r="M1104" s="1"/>
      <x:c r="N1104" s="1"/>
      <x:c r="O1104" s="1"/>
    </x:row>
    <x:row r="1105">
      <x:c r="A1105" s="1" t="str">
        <x:v>S1104</x:v>
      </x:c>
      <x:c r="B1105" s="1" t="str">
        <x:v>25</x:v>
      </x:c>
      <x:c r="C1105" s="1" t="str">
        <x:v>basic</x:v>
      </x:c>
      <x:c r="D1105" s="1" t="str">
        <x:v>9.99</x:v>
      </x:c>
      <x:c r="E1105" s="1" t="str">
        <x:v>0</x:v>
      </x:c>
      <x:c r="F1105" s="1" t="str">
        <x:v>37</x:v>
      </x:c>
      <x:c r="G1105" s="1" t="str">
        <x:v>0</x:v>
      </x:c>
      <x:c r="H1105" s="1" t="str">
        <x:v>1</x:v>
      </x:c>
      <x:c r="I1105" s="1" t="str">
        <x:v>0</x:v>
      </x:c>
      <x:c r="J1105" s="1" t="str">
        <x:v>no</x:v>
      </x:c>
      <x:c r="K1105" s="1"/>
      <x:c r="L1105" s="1"/>
      <x:c r="M1105" s="1"/>
      <x:c r="N1105" s="1"/>
      <x:c r="O1105" s="1"/>
    </x:row>
    <x:row r="1106">
      <x:c r="A1106" s="1" t="str">
        <x:v>S1105</x:v>
      </x:c>
      <x:c r="B1106" s="1" t="str">
        <x:v>32</x:v>
      </x:c>
      <x:c r="C1106" s="1" t="str">
        <x:v>premium</x:v>
      </x:c>
      <x:c r="D1106" s="1" t="str">
        <x:v>15.99</x:v>
      </x:c>
      <x:c r="E1106" s="1" t="str">
        <x:v>1</x:v>
      </x:c>
      <x:c r="F1106" s="1" t="str">
        <x:v>23</x:v>
      </x:c>
      <x:c r="G1106" s="1" t="str">
        <x:v>3</x:v>
      </x:c>
      <x:c r="H1106" s="1" t="str">
        <x:v>2</x:v>
      </x:c>
      <x:c r="I1106" s="1" t="str">
        <x:v>0</x:v>
      </x:c>
      <x:c r="J1106" s="1" t="str">
        <x:v>no</x:v>
      </x:c>
      <x:c r="K1106" s="1"/>
      <x:c r="L1106" s="1"/>
      <x:c r="M1106" s="1"/>
      <x:c r="N1106" s="1"/>
      <x:c r="O1106" s="1"/>
    </x:row>
    <x:row r="1107">
      <x:c r="A1107" s="1" t="str">
        <x:v>S1106</x:v>
      </x:c>
      <x:c r="B1107" s="1" t="str">
        <x:v>5</x:v>
      </x:c>
      <x:c r="C1107" s="1" t="str">
        <x:v>basic</x:v>
      </x:c>
      <x:c r="D1107" s="1" t="str">
        <x:v>9.99</x:v>
      </x:c>
      <x:c r="E1107" s="1" t="str">
        <x:v>3</x:v>
      </x:c>
      <x:c r="F1107" s="1" t="str">
        <x:v>0</x:v>
      </x:c>
      <x:c r="G1107" s="1" t="str">
        <x:v>58</x:v>
      </x:c>
      <x:c r="H1107" s="1" t="str">
        <x:v>1</x:v>
      </x:c>
      <x:c r="I1107" s="1" t="str">
        <x:v>0</x:v>
      </x:c>
      <x:c r="J1107" s="1" t="str">
        <x:v>yes</x:v>
      </x:c>
      <x:c r="K1107" s="1"/>
      <x:c r="L1107" s="1"/>
      <x:c r="M1107" s="1"/>
      <x:c r="N1107" s="1"/>
      <x:c r="O1107" s="1"/>
    </x:row>
    <x:row r="1108">
      <x:c r="A1108" s="1" t="str">
        <x:v>S1107</x:v>
      </x:c>
      <x:c r="B1108" s="1" t="str">
        <x:v>3</x:v>
      </x:c>
      <x:c r="C1108" s="1" t="str">
        <x:v>premium</x:v>
      </x:c>
      <x:c r="D1108" s="1" t="str">
        <x:v>15.99</x:v>
      </x:c>
      <x:c r="E1108" s="1" t="str">
        <x:v>0</x:v>
      </x:c>
      <x:c r="F1108" s="1" t="str">
        <x:v>22</x:v>
      </x:c>
      <x:c r="G1108" s="1" t="str">
        <x:v>0</x:v>
      </x:c>
      <x:c r="H1108" s="1" t="str">
        <x:v>0</x:v>
      </x:c>
      <x:c r="I1108" s="1" t="str">
        <x:v>0</x:v>
      </x:c>
      <x:c r="J1108" s="1" t="str">
        <x:v>no</x:v>
      </x:c>
      <x:c r="K1108" s="1"/>
      <x:c r="L1108" s="1"/>
      <x:c r="M1108" s="1"/>
      <x:c r="N1108" s="1"/>
      <x:c r="O1108" s="1"/>
    </x:row>
    <x:row r="1109">
      <x:c r="A1109" s="1" t="str">
        <x:v>S1108</x:v>
      </x:c>
      <x:c r="B1109" s="1" t="str">
        <x:v>15</x:v>
      </x:c>
      <x:c r="C1109" s="1" t="str">
        <x:v>basic</x:v>
      </x:c>
      <x:c r="D1109" s="1" t="str">
        <x:v>9.99</x:v>
      </x:c>
      <x:c r="E1109" s="1" t="str">
        <x:v>0</x:v>
      </x:c>
      <x:c r="F1109" s="1" t="str">
        <x:v>0</x:v>
      </x:c>
      <x:c r="G1109" s="1" t="str">
        <x:v>40</x:v>
      </x:c>
      <x:c r="H1109" s="1" t="str">
        <x:v>0</x:v>
      </x:c>
      <x:c r="I1109" s="1" t="str">
        <x:v>0</x:v>
      </x:c>
      <x:c r="J1109" s="1" t="str">
        <x:v>yes</x:v>
      </x:c>
      <x:c r="K1109" s="1"/>
      <x:c r="L1109" s="1"/>
      <x:c r="M1109" s="1"/>
      <x:c r="N1109" s="1"/>
      <x:c r="O1109" s="1"/>
    </x:row>
    <x:row r="1110">
      <x:c r="A1110" s="1" t="str">
        <x:v>S1109</x:v>
      </x:c>
      <x:c r="B1110" s="1" t="str">
        <x:v>32</x:v>
      </x:c>
      <x:c r="C1110" s="1" t="str">
        <x:v>premium</x:v>
      </x:c>
      <x:c r="D1110" s="1" t="str">
        <x:v>15.99</x:v>
      </x:c>
      <x:c r="E1110" s="1" t="str">
        <x:v>0</x:v>
      </x:c>
      <x:c r="F1110" s="1" t="str">
        <x:v>7</x:v>
      </x:c>
      <x:c r="G1110" s="1" t="str">
        <x:v>3</x:v>
      </x:c>
      <x:c r="H1110" s="1" t="str">
        <x:v>0</x:v>
      </x:c>
      <x:c r="I1110" s="1" t="str">
        <x:v>1</x:v>
      </x:c>
      <x:c r="J1110" s="1" t="str">
        <x:v>no</x:v>
      </x:c>
      <x:c r="K1110" s="1"/>
      <x:c r="L1110" s="1"/>
      <x:c r="M1110" s="1"/>
      <x:c r="N1110" s="1"/>
      <x:c r="O1110" s="1"/>
    </x:row>
    <x:row r="1111">
      <x:c r="A1111" s="1" t="str">
        <x:v>S1110</x:v>
      </x:c>
      <x:c r="B1111" s="1" t="str">
        <x:v>27</x:v>
      </x:c>
      <x:c r="C1111" s="1" t="str">
        <x:v>basic</x:v>
      </x:c>
      <x:c r="D1111" s="1" t="str">
        <x:v>9.99</x:v>
      </x:c>
      <x:c r="E1111" s="1" t="str">
        <x:v>0</x:v>
      </x:c>
      <x:c r="F1111" s="1" t="str">
        <x:v>7</x:v>
      </x:c>
      <x:c r="G1111" s="1" t="str">
        <x:v>14</x:v>
      </x:c>
      <x:c r="H1111" s="1" t="str">
        <x:v>0</x:v>
      </x:c>
      <x:c r="I1111" s="1" t="str">
        <x:v>1</x:v>
      </x:c>
      <x:c r="J1111" s="1" t="str">
        <x:v>no</x:v>
      </x:c>
      <x:c r="K1111" s="1"/>
      <x:c r="L1111" s="1"/>
      <x:c r="M1111" s="1"/>
      <x:c r="N1111" s="1"/>
      <x:c r="O1111" s="1"/>
    </x:row>
    <x:row r="1112">
      <x:c r="A1112" s="1" t="str">
        <x:v>S1111</x:v>
      </x:c>
      <x:c r="B1112" s="1" t="str">
        <x:v>22</x:v>
      </x:c>
      <x:c r="C1112" s="1" t="str">
        <x:v>premium</x:v>
      </x:c>
      <x:c r="D1112" s="1" t="str">
        <x:v>15.99</x:v>
      </x:c>
      <x:c r="E1112" s="1" t="str">
        <x:v>0</x:v>
      </x:c>
      <x:c r="F1112" s="1" t="str">
        <x:v>25</x:v>
      </x:c>
      <x:c r="G1112" s="1" t="str">
        <x:v>7</x:v>
      </x:c>
      <x:c r="H1112" s="1" t="str">
        <x:v>1</x:v>
      </x:c>
      <x:c r="I1112" s="1" t="str">
        <x:v>0</x:v>
      </x:c>
      <x:c r="J1112" s="1" t="str">
        <x:v>no</x:v>
      </x:c>
      <x:c r="K1112" s="1"/>
      <x:c r="L1112" s="1"/>
      <x:c r="M1112" s="1"/>
      <x:c r="N1112" s="1"/>
      <x:c r="O1112" s="1"/>
    </x:row>
    <x:row r="1113">
      <x:c r="A1113" s="1" t="str">
        <x:v>S1112</x:v>
      </x:c>
      <x:c r="B1113" s="1" t="str">
        <x:v>20</x:v>
      </x:c>
      <x:c r="C1113" s="1" t="str">
        <x:v>basic</x:v>
      </x:c>
      <x:c r="D1113" s="1" t="str">
        <x:v>9.99</x:v>
      </x:c>
      <x:c r="E1113" s="1" t="str">
        <x:v>1</x:v>
      </x:c>
      <x:c r="F1113" s="1" t="str">
        <x:v>8</x:v>
      </x:c>
      <x:c r="G1113" s="1" t="str">
        <x:v>3</x:v>
      </x:c>
      <x:c r="H1113" s="1" t="str">
        <x:v>0</x:v>
      </x:c>
      <x:c r="I1113" s="1" t="str">
        <x:v>1</x:v>
      </x:c>
      <x:c r="J1113" s="1" t="str">
        <x:v>no</x:v>
      </x:c>
      <x:c r="K1113" s="1"/>
      <x:c r="L1113" s="1"/>
      <x:c r="M1113" s="1"/>
      <x:c r="N1113" s="1"/>
      <x:c r="O1113" s="1"/>
    </x:row>
    <x:row r="1114">
      <x:c r="A1114" s="1" t="str">
        <x:v>S1113</x:v>
      </x:c>
      <x:c r="B1114" s="1" t="str">
        <x:v>18</x:v>
      </x:c>
      <x:c r="C1114" s="1" t="str">
        <x:v>premium</x:v>
      </x:c>
      <x:c r="D1114" s="1" t="str">
        <x:v>15.99</x:v>
      </x:c>
      <x:c r="E1114" s="1" t="str">
        <x:v>0</x:v>
      </x:c>
      <x:c r="F1114" s="1" t="str">
        <x:v>38</x:v>
      </x:c>
      <x:c r="G1114" s="1" t="str">
        <x:v>4</x:v>
      </x:c>
      <x:c r="H1114" s="1" t="str">
        <x:v>0</x:v>
      </x:c>
      <x:c r="I1114" s="1" t="str">
        <x:v>0</x:v>
      </x:c>
      <x:c r="J1114" s="1" t="str">
        <x:v>no</x:v>
      </x:c>
      <x:c r="K1114" s="1"/>
      <x:c r="L1114" s="1"/>
      <x:c r="M1114" s="1"/>
      <x:c r="N1114" s="1"/>
      <x:c r="O1114" s="1"/>
    </x:row>
    <x:row r="1115">
      <x:c r="A1115" s="1" t="str">
        <x:v>S1114</x:v>
      </x:c>
      <x:c r="B1115" s="1" t="str">
        <x:v>12</x:v>
      </x:c>
      <x:c r="C1115" s="1" t="str">
        <x:v>basic</x:v>
      </x:c>
      <x:c r="D1115" s="1" t="str">
        <x:v>9.99</x:v>
      </x:c>
      <x:c r="E1115" s="1" t="str">
        <x:v>1</x:v>
      </x:c>
      <x:c r="F1115" s="1" t="str">
        <x:v>31</x:v>
      </x:c>
      <x:c r="G1115" s="1" t="str">
        <x:v>2</x:v>
      </x:c>
      <x:c r="H1115" s="1" t="str">
        <x:v>0</x:v>
      </x:c>
      <x:c r="I1115" s="1" t="str">
        <x:v>0</x:v>
      </x:c>
      <x:c r="J1115" s="1" t="str">
        <x:v>no</x:v>
      </x:c>
      <x:c r="K1115" s="1"/>
      <x:c r="L1115" s="1"/>
      <x:c r="M1115" s="1"/>
      <x:c r="N1115" s="1"/>
      <x:c r="O1115" s="1"/>
    </x:row>
    <x:row r="1116">
      <x:c r="A1116" s="1" t="str">
        <x:v>S1115</x:v>
      </x:c>
      <x:c r="B1116" s="1" t="str">
        <x:v>2</x:v>
      </x:c>
      <x:c r="C1116" s="1" t="str">
        <x:v>premium</x:v>
      </x:c>
      <x:c r="D1116" s="1" t="str">
        <x:v>15.99</x:v>
      </x:c>
      <x:c r="E1116" s="1" t="str">
        <x:v>2</x:v>
      </x:c>
      <x:c r="F1116" s="1" t="str">
        <x:v>15</x:v>
      </x:c>
      <x:c r="G1116" s="1" t="str">
        <x:v>6</x:v>
      </x:c>
      <x:c r="H1116" s="1" t="str">
        <x:v>0</x:v>
      </x:c>
      <x:c r="I1116" s="1" t="str">
        <x:v>0</x:v>
      </x:c>
      <x:c r="J1116" s="1" t="str">
        <x:v>yes</x:v>
      </x:c>
      <x:c r="K1116" s="1"/>
      <x:c r="L1116" s="1"/>
      <x:c r="M1116" s="1"/>
      <x:c r="N1116" s="1"/>
      <x:c r="O1116" s="1"/>
    </x:row>
    <x:row r="1117">
      <x:c r="A1117" s="1" t="str">
        <x:v>S1116</x:v>
      </x:c>
      <x:c r="B1117" s="1" t="str">
        <x:v>43</x:v>
      </x:c>
      <x:c r="C1117" s="1" t="str">
        <x:v>basic</x:v>
      </x:c>
      <x:c r="D1117" s="1" t="str">
        <x:v>9.99</x:v>
      </x:c>
      <x:c r="E1117" s="1" t="str">
        <x:v>0</x:v>
      </x:c>
      <x:c r="F1117" s="1" t="str">
        <x:v>23</x:v>
      </x:c>
      <x:c r="G1117" s="1" t="str">
        <x:v>6</x:v>
      </x:c>
      <x:c r="H1117" s="1" t="str">
        <x:v>0</x:v>
      </x:c>
      <x:c r="I1117" s="1" t="str">
        <x:v>0</x:v>
      </x:c>
      <x:c r="J1117" s="1" t="str">
        <x:v>no</x:v>
      </x:c>
      <x:c r="K1117" s="1"/>
      <x:c r="L1117" s="1"/>
      <x:c r="M1117" s="1"/>
      <x:c r="N1117" s="1"/>
      <x:c r="O1117" s="1"/>
    </x:row>
    <x:row r="1118">
      <x:c r="A1118" s="1" t="str">
        <x:v>S1117</x:v>
      </x:c>
      <x:c r="B1118" s="1" t="str">
        <x:v>33</x:v>
      </x:c>
      <x:c r="C1118" s="1" t="str">
        <x:v>basic</x:v>
      </x:c>
      <x:c r="D1118" s="1" t="str">
        <x:v>9.99</x:v>
      </x:c>
      <x:c r="E1118" s="1" t="str">
        <x:v>0</x:v>
      </x:c>
      <x:c r="F1118" s="1" t="str">
        <x:v>29</x:v>
      </x:c>
      <x:c r="G1118" s="1" t="str">
        <x:v>6</x:v>
      </x:c>
      <x:c r="H1118" s="1" t="str">
        <x:v>0</x:v>
      </x:c>
      <x:c r="I1118" s="1" t="str">
        <x:v>0</x:v>
      </x:c>
      <x:c r="J1118" s="1" t="str">
        <x:v>no</x:v>
      </x:c>
      <x:c r="K1118" s="1"/>
      <x:c r="L1118" s="1"/>
      <x:c r="M1118" s="1"/>
      <x:c r="N1118" s="1"/>
      <x:c r="O1118" s="1"/>
    </x:row>
    <x:row r="1119">
      <x:c r="A1119" s="1" t="str">
        <x:v>S1118</x:v>
      </x:c>
      <x:c r="B1119" s="1" t="str">
        <x:v>27</x:v>
      </x:c>
      <x:c r="C1119" s="1" t="str">
        <x:v>premium</x:v>
      </x:c>
      <x:c r="D1119" s="1" t="str">
        <x:v>15.99</x:v>
      </x:c>
      <x:c r="E1119" s="1" t="str">
        <x:v>0</x:v>
      </x:c>
      <x:c r="F1119" s="1" t="str">
        <x:v>16</x:v>
      </x:c>
      <x:c r="G1119" s="1" t="str">
        <x:v>3</x:v>
      </x:c>
      <x:c r="H1119" s="1" t="str">
        <x:v>0</x:v>
      </x:c>
      <x:c r="I1119" s="1" t="str">
        <x:v>1</x:v>
      </x:c>
      <x:c r="J1119" s="1" t="str">
        <x:v>no</x:v>
      </x:c>
      <x:c r="K1119" s="1"/>
      <x:c r="L1119" s="1"/>
      <x:c r="M1119" s="1"/>
      <x:c r="N1119" s="1"/>
      <x:c r="O1119" s="1"/>
    </x:row>
    <x:row r="1120">
      <x:c r="A1120" s="1" t="str">
        <x:v>S1119</x:v>
      </x:c>
      <x:c r="B1120" s="1" t="str">
        <x:v>4</x:v>
      </x:c>
      <x:c r="C1120" s="1" t="str">
        <x:v>premium</x:v>
      </x:c>
      <x:c r="D1120" s="1" t="str">
        <x:v>15.99</x:v>
      </x:c>
      <x:c r="E1120" s="1" t="str">
        <x:v>0</x:v>
      </x:c>
      <x:c r="F1120" s="1" t="str">
        <x:v>15</x:v>
      </x:c>
      <x:c r="G1120" s="1" t="str">
        <x:v>3</x:v>
      </x:c>
      <x:c r="H1120" s="1" t="str">
        <x:v>1</x:v>
      </x:c>
      <x:c r="I1120" s="1" t="str">
        <x:v>0</x:v>
      </x:c>
      <x:c r="J1120" s="1" t="str">
        <x:v>no</x:v>
      </x:c>
      <x:c r="K1120" s="1"/>
      <x:c r="L1120" s="1"/>
      <x:c r="M1120" s="1"/>
      <x:c r="N1120" s="1"/>
      <x:c r="O1120" s="1"/>
    </x:row>
    <x:row r="1121">
      <x:c r="A1121" s="1" t="str">
        <x:v>S1120</x:v>
      </x:c>
      <x:c r="B1121" s="1" t="str">
        <x:v>12</x:v>
      </x:c>
      <x:c r="C1121" s="1" t="str">
        <x:v>basic</x:v>
      </x:c>
      <x:c r="D1121" s="1" t="str">
        <x:v>9.99</x:v>
      </x:c>
      <x:c r="E1121" s="1" t="str">
        <x:v>2</x:v>
      </x:c>
      <x:c r="F1121" s="1" t="str">
        <x:v>10</x:v>
      </x:c>
      <x:c r="G1121" s="1" t="str">
        <x:v>14</x:v>
      </x:c>
      <x:c r="H1121" s="1" t="str">
        <x:v>0</x:v>
      </x:c>
      <x:c r="I1121" s="1" t="str">
        <x:v>1</x:v>
      </x:c>
      <x:c r="J1121" s="1" t="str">
        <x:v>yes</x:v>
      </x:c>
      <x:c r="K1121" s="1"/>
      <x:c r="L1121" s="1"/>
      <x:c r="M1121" s="1"/>
      <x:c r="N1121" s="1"/>
      <x:c r="O1121" s="1"/>
    </x:row>
    <x:row r="1122">
      <x:c r="A1122" s="1" t="str">
        <x:v>S1121</x:v>
      </x:c>
      <x:c r="B1122" s="1" t="str">
        <x:v>5</x:v>
      </x:c>
      <x:c r="C1122" s="1" t="str">
        <x:v>basic</x:v>
      </x:c>
      <x:c r="D1122" s="1" t="str">
        <x:v>9.99</x:v>
      </x:c>
      <x:c r="E1122" s="1" t="str">
        <x:v>0</x:v>
      </x:c>
      <x:c r="F1122" s="1" t="str">
        <x:v>34</x:v>
      </x:c>
      <x:c r="G1122" s="1" t="str">
        <x:v>7</x:v>
      </x:c>
      <x:c r="H1122" s="1" t="str">
        <x:v>0</x:v>
      </x:c>
      <x:c r="I1122" s="1" t="str">
        <x:v>0</x:v>
      </x:c>
      <x:c r="J1122" s="1" t="str">
        <x:v>no</x:v>
      </x:c>
      <x:c r="K1122" s="1"/>
      <x:c r="L1122" s="1"/>
      <x:c r="M1122" s="1"/>
      <x:c r="N1122" s="1"/>
      <x:c r="O1122" s="1"/>
    </x:row>
    <x:row r="1123">
      <x:c r="A1123" s="1" t="str">
        <x:v>S1122</x:v>
      </x:c>
      <x:c r="B1123" s="1" t="str">
        <x:v>40</x:v>
      </x:c>
      <x:c r="C1123" s="1" t="str">
        <x:v>basic</x:v>
      </x:c>
      <x:c r="D1123" s="1" t="str">
        <x:v>9.99</x:v>
      </x:c>
      <x:c r="E1123" s="1" t="str">
        <x:v>2</x:v>
      </x:c>
      <x:c r="F1123" s="1" t="str">
        <x:v>21</x:v>
      </x:c>
      <x:c r="G1123" s="1" t="str">
        <x:v>5</x:v>
      </x:c>
      <x:c r="H1123" s="1" t="str">
        <x:v>0</x:v>
      </x:c>
      <x:c r="I1123" s="1" t="str">
        <x:v>1</x:v>
      </x:c>
      <x:c r="J1123" s="1" t="str">
        <x:v>no</x:v>
      </x:c>
      <x:c r="K1123" s="1"/>
      <x:c r="L1123" s="1"/>
      <x:c r="M1123" s="1"/>
      <x:c r="N1123" s="1"/>
      <x:c r="O1123" s="1"/>
    </x:row>
    <x:row r="1124">
      <x:c r="A1124" s="1" t="str">
        <x:v>S1123</x:v>
      </x:c>
      <x:c r="B1124" s="1" t="str">
        <x:v>4</x:v>
      </x:c>
      <x:c r="C1124" s="1" t="str">
        <x:v>basic</x:v>
      </x:c>
      <x:c r="D1124" s="1" t="str">
        <x:v>9.99</x:v>
      </x:c>
      <x:c r="E1124" s="1" t="str">
        <x:v>0</x:v>
      </x:c>
      <x:c r="F1124" s="1" t="str">
        <x:v>0</x:v>
      </x:c>
      <x:c r="G1124" s="1" t="str">
        <x:v>47</x:v>
      </x:c>
      <x:c r="H1124" s="1" t="str">
        <x:v>0</x:v>
      </x:c>
      <x:c r="I1124" s="1" t="str">
        <x:v>0</x:v>
      </x:c>
      <x:c r="J1124" s="1" t="str">
        <x:v>yes</x:v>
      </x:c>
      <x:c r="K1124" s="1"/>
      <x:c r="L1124" s="1"/>
      <x:c r="M1124" s="1"/>
      <x:c r="N1124" s="1"/>
      <x:c r="O1124" s="1"/>
    </x:row>
    <x:row r="1125">
      <x:c r="A1125" s="1" t="str">
        <x:v>S1124</x:v>
      </x:c>
      <x:c r="B1125" s="1" t="str">
        <x:v>33</x:v>
      </x:c>
      <x:c r="C1125" s="1" t="str">
        <x:v>basic</x:v>
      </x:c>
      <x:c r="D1125" s="1" t="str">
        <x:v>9.99</x:v>
      </x:c>
      <x:c r="E1125" s="1" t="str">
        <x:v>0</x:v>
      </x:c>
      <x:c r="F1125" s="1" t="str">
        <x:v>1</x:v>
      </x:c>
      <x:c r="G1125" s="1" t="str">
        <x:v>30</x:v>
      </x:c>
      <x:c r="H1125" s="1" t="str">
        <x:v>0</x:v>
      </x:c>
      <x:c r="I1125" s="1" t="str">
        <x:v>0</x:v>
      </x:c>
      <x:c r="J1125" s="1" t="str">
        <x:v>no</x:v>
      </x:c>
      <x:c r="K1125" s="1"/>
      <x:c r="L1125" s="1"/>
      <x:c r="M1125" s="1"/>
      <x:c r="N1125" s="1"/>
      <x:c r="O1125" s="1"/>
    </x:row>
    <x:row r="1126">
      <x:c r="A1126" s="1" t="str">
        <x:v>S1125</x:v>
      </x:c>
      <x:c r="B1126" s="1" t="str">
        <x:v>46</x:v>
      </x:c>
      <x:c r="C1126" s="1" t="str">
        <x:v>basic</x:v>
      </x:c>
      <x:c r="D1126" s="1" t="str">
        <x:v>9.99</x:v>
      </x:c>
      <x:c r="E1126" s="1" t="str">
        <x:v>0</x:v>
      </x:c>
      <x:c r="F1126" s="1" t="str">
        <x:v>18</x:v>
      </x:c>
      <x:c r="G1126" s="1" t="str">
        <x:v>6</x:v>
      </x:c>
      <x:c r="H1126" s="1" t="str">
        <x:v>0</x:v>
      </x:c>
      <x:c r="I1126" s="1" t="str">
        <x:v>0</x:v>
      </x:c>
      <x:c r="J1126" s="1" t="str">
        <x:v>no</x:v>
      </x:c>
      <x:c r="K1126" s="1"/>
      <x:c r="L1126" s="1"/>
      <x:c r="M1126" s="1"/>
      <x:c r="N1126" s="1"/>
      <x:c r="O1126" s="1"/>
    </x:row>
    <x:row r="1127">
      <x:c r="A1127" s="1" t="str">
        <x:v>S1126</x:v>
      </x:c>
      <x:c r="B1127" s="1" t="str">
        <x:v>4</x:v>
      </x:c>
      <x:c r="C1127" s="1" t="str">
        <x:v>basic</x:v>
      </x:c>
      <x:c r="D1127" s="1" t="str">
        <x:v>9.99</x:v>
      </x:c>
      <x:c r="E1127" s="1" t="str">
        <x:v>0</x:v>
      </x:c>
      <x:c r="F1127" s="1" t="str">
        <x:v>12</x:v>
      </x:c>
      <x:c r="G1127" s="1" t="str">
        <x:v>26</x:v>
      </x:c>
      <x:c r="H1127" s="1" t="str">
        <x:v>0</x:v>
      </x:c>
      <x:c r="I1127" s="1" t="str">
        <x:v>1</x:v>
      </x:c>
      <x:c r="J1127" s="1" t="str">
        <x:v>no</x:v>
      </x:c>
      <x:c r="K1127" s="1"/>
      <x:c r="L1127" s="1"/>
      <x:c r="M1127" s="1"/>
      <x:c r="N1127" s="1"/>
      <x:c r="O1127" s="1"/>
    </x:row>
    <x:row r="1128">
      <x:c r="A1128" s="1" t="str">
        <x:v>S1127</x:v>
      </x:c>
      <x:c r="B1128" s="1" t="str">
        <x:v>24</x:v>
      </x:c>
      <x:c r="C1128" s="1" t="str">
        <x:v>basic</x:v>
      </x:c>
      <x:c r="D1128" s="1" t="str">
        <x:v>9.99</x:v>
      </x:c>
      <x:c r="E1128" s="1" t="str">
        <x:v>0</x:v>
      </x:c>
      <x:c r="F1128" s="1" t="str">
        <x:v>0</x:v>
      </x:c>
      <x:c r="G1128" s="1" t="str">
        <x:v>32</x:v>
      </x:c>
      <x:c r="H1128" s="1" t="str">
        <x:v>0</x:v>
      </x:c>
      <x:c r="I1128" s="1" t="str">
        <x:v>0</x:v>
      </x:c>
      <x:c r="J1128" s="1" t="str">
        <x:v>no</x:v>
      </x:c>
      <x:c r="K1128" s="1"/>
      <x:c r="L1128" s="1"/>
      <x:c r="M1128" s="1"/>
      <x:c r="N1128" s="1"/>
      <x:c r="O1128" s="1"/>
    </x:row>
    <x:row r="1129">
      <x:c r="A1129" s="1" t="str">
        <x:v>S1128</x:v>
      </x:c>
      <x:c r="B1129" s="1" t="str">
        <x:v>46</x:v>
      </x:c>
      <x:c r="C1129" s="1" t="str">
        <x:v>basic</x:v>
      </x:c>
      <x:c r="D1129" s="1" t="str">
        <x:v>9.99</x:v>
      </x:c>
      <x:c r="E1129" s="1" t="str">
        <x:v>0</x:v>
      </x:c>
      <x:c r="F1129" s="1" t="str">
        <x:v>22</x:v>
      </x:c>
      <x:c r="G1129" s="1" t="str">
        <x:v>0</x:v>
      </x:c>
      <x:c r="H1129" s="1" t="str">
        <x:v>0</x:v>
      </x:c>
      <x:c r="I1129" s="1" t="str">
        <x:v>0</x:v>
      </x:c>
      <x:c r="J1129" s="1" t="str">
        <x:v>no</x:v>
      </x:c>
      <x:c r="K1129" s="1"/>
      <x:c r="L1129" s="1"/>
      <x:c r="M1129" s="1"/>
      <x:c r="N1129" s="1"/>
      <x:c r="O1129" s="1"/>
    </x:row>
    <x:row r="1130">
      <x:c r="A1130" s="1" t="str">
        <x:v>S1129</x:v>
      </x:c>
      <x:c r="B1130" s="1" t="str">
        <x:v>40</x:v>
      </x:c>
      <x:c r="C1130" s="1" t="str">
        <x:v>basic</x:v>
      </x:c>
      <x:c r="D1130" s="1" t="str">
        <x:v>9.99</x:v>
      </x:c>
      <x:c r="E1130" s="1" t="str">
        <x:v>0</x:v>
      </x:c>
      <x:c r="F1130" s="1" t="str">
        <x:v>19</x:v>
      </x:c>
      <x:c r="G1130" s="1" t="str">
        <x:v>6</x:v>
      </x:c>
      <x:c r="H1130" s="1" t="str">
        <x:v>0</x:v>
      </x:c>
      <x:c r="I1130" s="1" t="str">
        <x:v>0</x:v>
      </x:c>
      <x:c r="J1130" s="1" t="str">
        <x:v>no</x:v>
      </x:c>
      <x:c r="K1130" s="1"/>
      <x:c r="L1130" s="1"/>
      <x:c r="M1130" s="1"/>
      <x:c r="N1130" s="1"/>
      <x:c r="O1130" s="1"/>
    </x:row>
    <x:row r="1131">
      <x:c r="A1131" s="1" t="str">
        <x:v>S1130</x:v>
      </x:c>
      <x:c r="B1131" s="1" t="str">
        <x:v>3</x:v>
      </x:c>
      <x:c r="C1131" s="1" t="str">
        <x:v>basic</x:v>
      </x:c>
      <x:c r="D1131" s="1" t="str">
        <x:v>9.99</x:v>
      </x:c>
      <x:c r="E1131" s="1" t="str">
        <x:v>2</x:v>
      </x:c>
      <x:c r="F1131" s="1" t="str">
        <x:v>13</x:v>
      </x:c>
      <x:c r="G1131" s="1" t="str">
        <x:v>2</x:v>
      </x:c>
      <x:c r="H1131" s="1" t="str">
        <x:v>0</x:v>
      </x:c>
      <x:c r="I1131" s="1" t="str">
        <x:v>0</x:v>
      </x:c>
      <x:c r="J1131" s="1" t="str">
        <x:v>yes</x:v>
      </x:c>
      <x:c r="K1131" s="1"/>
      <x:c r="L1131" s="1"/>
      <x:c r="M1131" s="1"/>
      <x:c r="N1131" s="1"/>
      <x:c r="O1131" s="1"/>
    </x:row>
    <x:row r="1132">
      <x:c r="A1132" s="1" t="str">
        <x:v>S1131</x:v>
      </x:c>
      <x:c r="B1132" s="1" t="str">
        <x:v>3</x:v>
      </x:c>
      <x:c r="C1132" s="1" t="str">
        <x:v>premium</x:v>
      </x:c>
      <x:c r="D1132" s="1" t="str">
        <x:v>15.99</x:v>
      </x:c>
      <x:c r="E1132" s="1" t="str">
        <x:v>0</x:v>
      </x:c>
      <x:c r="F1132" s="1" t="str">
        <x:v>8</x:v>
      </x:c>
      <x:c r="G1132" s="1" t="str">
        <x:v>13</x:v>
      </x:c>
      <x:c r="H1132" s="1" t="str">
        <x:v>1</x:v>
      </x:c>
      <x:c r="I1132" s="1" t="str">
        <x:v>0</x:v>
      </x:c>
      <x:c r="J1132" s="1" t="str">
        <x:v>yes</x:v>
      </x:c>
      <x:c r="K1132" s="1"/>
      <x:c r="L1132" s="1"/>
      <x:c r="M1132" s="1"/>
      <x:c r="N1132" s="1"/>
      <x:c r="O1132" s="1"/>
    </x:row>
    <x:row r="1133">
      <x:c r="A1133" s="1" t="str">
        <x:v>S1132</x:v>
      </x:c>
      <x:c r="B1133" s="1" t="str">
        <x:v>33</x:v>
      </x:c>
      <x:c r="C1133" s="1" t="str">
        <x:v>basic</x:v>
      </x:c>
      <x:c r="D1133" s="1" t="str">
        <x:v>9.99</x:v>
      </x:c>
      <x:c r="E1133" s="1" t="str">
        <x:v>0</x:v>
      </x:c>
      <x:c r="F1133" s="1" t="str">
        <x:v>0</x:v>
      </x:c>
      <x:c r="G1133" s="1" t="str">
        <x:v>58</x:v>
      </x:c>
      <x:c r="H1133" s="1" t="str">
        <x:v>0</x:v>
      </x:c>
      <x:c r="I1133" s="1" t="str">
        <x:v>0</x:v>
      </x:c>
      <x:c r="J1133" s="1" t="str">
        <x:v>no</x:v>
      </x:c>
      <x:c r="K1133" s="1"/>
      <x:c r="L1133" s="1"/>
      <x:c r="M1133" s="1"/>
      <x:c r="N1133" s="1"/>
      <x:c r="O1133" s="1"/>
    </x:row>
    <x:row r="1134">
      <x:c r="A1134" s="1" t="str">
        <x:v>S1133</x:v>
      </x:c>
      <x:c r="B1134" s="1" t="str">
        <x:v>1</x:v>
      </x:c>
      <x:c r="C1134" s="1" t="str">
        <x:v>premium</x:v>
      </x:c>
      <x:c r="D1134" s="1" t="str">
        <x:v>15.99</x:v>
      </x:c>
      <x:c r="E1134" s="1" t="str">
        <x:v>2</x:v>
      </x:c>
      <x:c r="F1134" s="1" t="str">
        <x:v>21</x:v>
      </x:c>
      <x:c r="G1134" s="1" t="str">
        <x:v>5</x:v>
      </x:c>
      <x:c r="H1134" s="1" t="str">
        <x:v>0</x:v>
      </x:c>
      <x:c r="I1134" s="1" t="str">
        <x:v>0</x:v>
      </x:c>
      <x:c r="J1134" s="1" t="str">
        <x:v>no</x:v>
      </x:c>
      <x:c r="K1134" s="1"/>
      <x:c r="L1134" s="1"/>
      <x:c r="M1134" s="1"/>
      <x:c r="N1134" s="1"/>
      <x:c r="O1134" s="1"/>
    </x:row>
    <x:row r="1135">
      <x:c r="A1135" s="1" t="str">
        <x:v>S1134</x:v>
      </x:c>
      <x:c r="B1135" s="1" t="str">
        <x:v>25</x:v>
      </x:c>
      <x:c r="C1135" s="1" t="str">
        <x:v>premium</x:v>
      </x:c>
      <x:c r="D1135" s="1" t="str">
        <x:v>15.99</x:v>
      </x:c>
      <x:c r="E1135" s="1" t="str">
        <x:v>2</x:v>
      </x:c>
      <x:c r="F1135" s="1" t="str">
        <x:v>31</x:v>
      </x:c>
      <x:c r="G1135" s="1" t="str">
        <x:v>6</x:v>
      </x:c>
      <x:c r="H1135" s="1" t="str">
        <x:v>0</x:v>
      </x:c>
      <x:c r="I1135" s="1" t="str">
        <x:v>1</x:v>
      </x:c>
      <x:c r="J1135" s="1" t="str">
        <x:v>no</x:v>
      </x:c>
      <x:c r="K1135" s="1"/>
      <x:c r="L1135" s="1"/>
      <x:c r="M1135" s="1"/>
      <x:c r="N1135" s="1"/>
      <x:c r="O1135" s="1"/>
    </x:row>
    <x:row r="1136">
      <x:c r="A1136" s="1" t="str">
        <x:v>S1135</x:v>
      </x:c>
      <x:c r="B1136" s="1" t="str">
        <x:v>18</x:v>
      </x:c>
      <x:c r="C1136" s="1" t="str">
        <x:v>premium</x:v>
      </x:c>
      <x:c r="D1136" s="1" t="str">
        <x:v>15.99</x:v>
      </x:c>
      <x:c r="E1136" s="1" t="str">
        <x:v>0</x:v>
      </x:c>
      <x:c r="F1136" s="1" t="str">
        <x:v>29</x:v>
      </x:c>
      <x:c r="G1136" s="1" t="str">
        <x:v>2</x:v>
      </x:c>
      <x:c r="H1136" s="1" t="str">
        <x:v>1</x:v>
      </x:c>
      <x:c r="I1136" s="1" t="str">
        <x:v>1</x:v>
      </x:c>
      <x:c r="J1136" s="1" t="str">
        <x:v>no</x:v>
      </x:c>
      <x:c r="K1136" s="1"/>
      <x:c r="L1136" s="1"/>
      <x:c r="M1136" s="1"/>
      <x:c r="N1136" s="1"/>
      <x:c r="O1136" s="1"/>
    </x:row>
    <x:row r="1137">
      <x:c r="A1137" s="1" t="str">
        <x:v>S1136</x:v>
      </x:c>
      <x:c r="B1137" s="1" t="str">
        <x:v>43</x:v>
      </x:c>
      <x:c r="C1137" s="1" t="str">
        <x:v>premium</x:v>
      </x:c>
      <x:c r="D1137" s="1" t="str">
        <x:v>15.99</x:v>
      </x:c>
      <x:c r="E1137" s="1" t="str">
        <x:v>1</x:v>
      </x:c>
      <x:c r="F1137" s="1" t="str">
        <x:v>18</x:v>
      </x:c>
      <x:c r="G1137" s="1" t="str">
        <x:v>2</x:v>
      </x:c>
      <x:c r="H1137" s="1" t="str">
        <x:v>1</x:v>
      </x:c>
      <x:c r="I1137" s="1" t="str">
        <x:v>0</x:v>
      </x:c>
      <x:c r="J1137" s="1" t="str">
        <x:v>no</x:v>
      </x:c>
      <x:c r="K1137" s="1"/>
      <x:c r="L1137" s="1"/>
      <x:c r="M1137" s="1"/>
      <x:c r="N1137" s="1"/>
      <x:c r="O1137" s="1"/>
    </x:row>
    <x:row r="1138">
      <x:c r="A1138" s="1" t="str">
        <x:v>S1137</x:v>
      </x:c>
      <x:c r="B1138" s="1" t="str">
        <x:v>13</x:v>
      </x:c>
      <x:c r="C1138" s="1" t="str">
        <x:v>premium</x:v>
      </x:c>
      <x:c r="D1138" s="1" t="str">
        <x:v>15.99</x:v>
      </x:c>
      <x:c r="E1138" s="1" t="str">
        <x:v>0</x:v>
      </x:c>
      <x:c r="F1138" s="1" t="str">
        <x:v>15</x:v>
      </x:c>
      <x:c r="G1138" s="1" t="str">
        <x:v>2</x:v>
      </x:c>
      <x:c r="H1138" s="1" t="str">
        <x:v>0</x:v>
      </x:c>
      <x:c r="I1138" s="1" t="str">
        <x:v>0</x:v>
      </x:c>
      <x:c r="J1138" s="1" t="str">
        <x:v>no</x:v>
      </x:c>
      <x:c r="K1138" s="1"/>
      <x:c r="L1138" s="1"/>
      <x:c r="M1138" s="1"/>
      <x:c r="N1138" s="1"/>
      <x:c r="O1138" s="1"/>
    </x:row>
    <x:row r="1139">
      <x:c r="A1139" s="1" t="str">
        <x:v>S1138</x:v>
      </x:c>
      <x:c r="B1139" s="1" t="str">
        <x:v>21</x:v>
      </x:c>
      <x:c r="C1139" s="1" t="str">
        <x:v>premium</x:v>
      </x:c>
      <x:c r="D1139" s="1" t="str">
        <x:v>15.99</x:v>
      </x:c>
      <x:c r="E1139" s="1" t="str">
        <x:v>0</x:v>
      </x:c>
      <x:c r="F1139" s="1" t="str">
        <x:v>3</x:v>
      </x:c>
      <x:c r="G1139" s="1" t="str">
        <x:v>18</x:v>
      </x:c>
      <x:c r="H1139" s="1" t="str">
        <x:v>1</x:v>
      </x:c>
      <x:c r="I1139" s="1" t="str">
        <x:v>0</x:v>
      </x:c>
      <x:c r="J1139" s="1" t="str">
        <x:v>no</x:v>
      </x:c>
      <x:c r="K1139" s="1"/>
      <x:c r="L1139" s="1"/>
      <x:c r="M1139" s="1"/>
      <x:c r="N1139" s="1"/>
      <x:c r="O1139" s="1"/>
    </x:row>
    <x:row r="1140">
      <x:c r="A1140" s="1" t="str">
        <x:v>S1139</x:v>
      </x:c>
      <x:c r="B1140" s="1" t="str">
        <x:v>46</x:v>
      </x:c>
      <x:c r="C1140" s="1" t="str">
        <x:v>basic</x:v>
      </x:c>
      <x:c r="D1140" s="1" t="str">
        <x:v>9.99</x:v>
      </x:c>
      <x:c r="E1140" s="1" t="str">
        <x:v>3</x:v>
      </x:c>
      <x:c r="F1140" s="1" t="str">
        <x:v>21</x:v>
      </x:c>
      <x:c r="G1140" s="1" t="str">
        <x:v>3</x:v>
      </x:c>
      <x:c r="H1140" s="1" t="str">
        <x:v>0</x:v>
      </x:c>
      <x:c r="I1140" s="1" t="str">
        <x:v>0</x:v>
      </x:c>
      <x:c r="J1140" s="1" t="str">
        <x:v>no</x:v>
      </x:c>
      <x:c r="K1140" s="1"/>
      <x:c r="L1140" s="1"/>
      <x:c r="M1140" s="1"/>
      <x:c r="N1140" s="1"/>
      <x:c r="O1140" s="1"/>
    </x:row>
    <x:row r="1141">
      <x:c r="A1141" s="1" t="str">
        <x:v>S1140</x:v>
      </x:c>
      <x:c r="B1141" s="1" t="str">
        <x:v>15</x:v>
      </x:c>
      <x:c r="C1141" s="1" t="str">
        <x:v>basic</x:v>
      </x:c>
      <x:c r="D1141" s="1" t="str">
        <x:v>9.99</x:v>
      </x:c>
      <x:c r="E1141" s="1" t="str">
        <x:v>0</x:v>
      </x:c>
      <x:c r="F1141" s="1" t="str">
        <x:v>16</x:v>
      </x:c>
      <x:c r="G1141" s="1" t="str">
        <x:v>1</x:v>
      </x:c>
      <x:c r="H1141" s="1" t="str">
        <x:v>0</x:v>
      </x:c>
      <x:c r="I1141" s="1" t="str">
        <x:v>1</x:v>
      </x:c>
      <x:c r="J1141" s="1" t="str">
        <x:v>no</x:v>
      </x:c>
      <x:c r="K1141" s="1"/>
      <x:c r="L1141" s="1"/>
      <x:c r="M1141" s="1"/>
      <x:c r="N1141" s="1"/>
      <x:c r="O1141" s="1"/>
    </x:row>
    <x:row r="1142">
      <x:c r="A1142" s="1" t="str">
        <x:v>S1141</x:v>
      </x:c>
      <x:c r="B1142" s="1" t="str">
        <x:v>3</x:v>
      </x:c>
      <x:c r="C1142" s="1" t="str">
        <x:v>premium</x:v>
      </x:c>
      <x:c r="D1142" s="1" t="str">
        <x:v>15.99</x:v>
      </x:c>
      <x:c r="E1142" s="1" t="str">
        <x:v>1</x:v>
      </x:c>
      <x:c r="F1142" s="1" t="str">
        <x:v>16</x:v>
      </x:c>
      <x:c r="G1142" s="1" t="str">
        <x:v>5</x:v>
      </x:c>
      <x:c r="H1142" s="1" t="str">
        <x:v>0</x:v>
      </x:c>
      <x:c r="I1142" s="1" t="str">
        <x:v>0</x:v>
      </x:c>
      <x:c r="J1142" s="1" t="str">
        <x:v>no</x:v>
      </x:c>
      <x:c r="K1142" s="1"/>
      <x:c r="L1142" s="1"/>
      <x:c r="M1142" s="1"/>
      <x:c r="N1142" s="1"/>
      <x:c r="O1142" s="1"/>
    </x:row>
    <x:row r="1143">
      <x:c r="A1143" s="1" t="str">
        <x:v>S1142</x:v>
      </x:c>
      <x:c r="B1143" s="1" t="str">
        <x:v>2</x:v>
      </x:c>
      <x:c r="C1143" s="1" t="str">
        <x:v>basic</x:v>
      </x:c>
      <x:c r="D1143" s="1" t="str">
        <x:v>9.99</x:v>
      </x:c>
      <x:c r="E1143" s="1" t="str">
        <x:v>3</x:v>
      </x:c>
      <x:c r="F1143" s="1" t="str">
        <x:v>20</x:v>
      </x:c>
      <x:c r="G1143" s="1" t="str">
        <x:v>1</x:v>
      </x:c>
      <x:c r="H1143" s="1" t="str">
        <x:v>1</x:v>
      </x:c>
      <x:c r="I1143" s="1" t="str">
        <x:v>0</x:v>
      </x:c>
      <x:c r="J1143" s="1" t="str">
        <x:v>no</x:v>
      </x:c>
      <x:c r="K1143" s="1"/>
      <x:c r="L1143" s="1"/>
      <x:c r="M1143" s="1"/>
      <x:c r="N1143" s="1"/>
      <x:c r="O1143" s="1"/>
    </x:row>
    <x:row r="1144">
      <x:c r="A1144" s="1" t="str">
        <x:v>S1143</x:v>
      </x:c>
      <x:c r="B1144" s="1" t="str">
        <x:v>22</x:v>
      </x:c>
      <x:c r="C1144" s="1" t="str">
        <x:v>basic</x:v>
      </x:c>
      <x:c r="D1144" s="1" t="str">
        <x:v>9.99</x:v>
      </x:c>
      <x:c r="E1144" s="1" t="str">
        <x:v>0</x:v>
      </x:c>
      <x:c r="F1144" s="1" t="str">
        <x:v>17</x:v>
      </x:c>
      <x:c r="G1144" s="1" t="str">
        <x:v>18</x:v>
      </x:c>
      <x:c r="H1144" s="1" t="str">
        <x:v>0</x:v>
      </x:c>
      <x:c r="I1144" s="1" t="str">
        <x:v>0</x:v>
      </x:c>
      <x:c r="J1144" s="1" t="str">
        <x:v>no</x:v>
      </x:c>
      <x:c r="K1144" s="1"/>
      <x:c r="L1144" s="1"/>
      <x:c r="M1144" s="1"/>
      <x:c r="N1144" s="1"/>
      <x:c r="O1144" s="1"/>
    </x:row>
    <x:row r="1145">
      <x:c r="A1145" s="1" t="str">
        <x:v>S1144</x:v>
      </x:c>
      <x:c r="B1145" s="1" t="str">
        <x:v>28</x:v>
      </x:c>
      <x:c r="C1145" s="1" t="str">
        <x:v>basic</x:v>
      </x:c>
      <x:c r="D1145" s="1" t="str">
        <x:v>9.99</x:v>
      </x:c>
      <x:c r="E1145" s="1" t="str">
        <x:v>0</x:v>
      </x:c>
      <x:c r="F1145" s="1" t="str">
        <x:v>7</x:v>
      </x:c>
      <x:c r="G1145" s="1" t="str">
        <x:v>24</x:v>
      </x:c>
      <x:c r="H1145" s="1" t="str">
        <x:v>0</x:v>
      </x:c>
      <x:c r="I1145" s="1" t="str">
        <x:v>0</x:v>
      </x:c>
      <x:c r="J1145" s="1" t="str">
        <x:v>yes</x:v>
      </x:c>
      <x:c r="K1145" s="1"/>
      <x:c r="L1145" s="1"/>
      <x:c r="M1145" s="1"/>
      <x:c r="N1145" s="1"/>
      <x:c r="O1145" s="1"/>
    </x:row>
    <x:row r="1146">
      <x:c r="A1146" s="1" t="str">
        <x:v>S1145</x:v>
      </x:c>
      <x:c r="B1146" s="1" t="str">
        <x:v>22</x:v>
      </x:c>
      <x:c r="C1146" s="1" t="str">
        <x:v>basic</x:v>
      </x:c>
      <x:c r="D1146" s="1" t="str">
        <x:v>9.99</x:v>
      </x:c>
      <x:c r="E1146" s="1" t="str">
        <x:v>0</x:v>
      </x:c>
      <x:c r="F1146" s="1" t="str">
        <x:v>23</x:v>
      </x:c>
      <x:c r="G1146" s="1" t="str">
        <x:v>3</x:v>
      </x:c>
      <x:c r="H1146" s="1" t="str">
        <x:v>1</x:v>
      </x:c>
      <x:c r="I1146" s="1" t="str">
        <x:v>0</x:v>
      </x:c>
      <x:c r="J1146" s="1" t="str">
        <x:v>no</x:v>
      </x:c>
      <x:c r="K1146" s="1"/>
      <x:c r="L1146" s="1"/>
      <x:c r="M1146" s="1"/>
      <x:c r="N1146" s="1"/>
      <x:c r="O1146" s="1"/>
    </x:row>
    <x:row r="1147">
      <x:c r="A1147" s="1" t="str">
        <x:v>S1146</x:v>
      </x:c>
      <x:c r="B1147" s="1" t="str">
        <x:v>44</x:v>
      </x:c>
      <x:c r="C1147" s="1" t="str">
        <x:v>basic</x:v>
      </x:c>
      <x:c r="D1147" s="1" t="str">
        <x:v>9.99</x:v>
      </x:c>
      <x:c r="E1147" s="1" t="str">
        <x:v>2</x:v>
      </x:c>
      <x:c r="F1147" s="1" t="str">
        <x:v>8</x:v>
      </x:c>
      <x:c r="G1147" s="1" t="str">
        <x:v>7</x:v>
      </x:c>
      <x:c r="H1147" s="1" t="str">
        <x:v>0</x:v>
      </x:c>
      <x:c r="I1147" s="1" t="str">
        <x:v>0</x:v>
      </x:c>
      <x:c r="J1147" s="1" t="str">
        <x:v>no</x:v>
      </x:c>
      <x:c r="K1147" s="1"/>
      <x:c r="L1147" s="1"/>
      <x:c r="M1147" s="1"/>
      <x:c r="N1147" s="1"/>
      <x:c r="O1147" s="1"/>
    </x:row>
    <x:row r="1148">
      <x:c r="A1148" s="1" t="str">
        <x:v>S1147</x:v>
      </x:c>
      <x:c r="B1148" s="1" t="str">
        <x:v>41</x:v>
      </x:c>
      <x:c r="C1148" s="1" t="str">
        <x:v>premium</x:v>
      </x:c>
      <x:c r="D1148" s="1" t="str">
        <x:v>15.99</x:v>
      </x:c>
      <x:c r="E1148" s="1" t="str">
        <x:v>0</x:v>
      </x:c>
      <x:c r="F1148" s="1" t="str">
        <x:v>4</x:v>
      </x:c>
      <x:c r="G1148" s="1" t="str">
        <x:v>29</x:v>
      </x:c>
      <x:c r="H1148" s="1" t="str">
        <x:v>0</x:v>
      </x:c>
      <x:c r="I1148" s="1" t="str">
        <x:v>0</x:v>
      </x:c>
      <x:c r="J1148" s="1" t="str">
        <x:v>no</x:v>
      </x:c>
      <x:c r="K1148" s="1"/>
      <x:c r="L1148" s="1"/>
      <x:c r="M1148" s="1"/>
      <x:c r="N1148" s="1"/>
      <x:c r="O1148" s="1"/>
    </x:row>
    <x:row r="1149">
      <x:c r="A1149" s="1" t="str">
        <x:v>S1148</x:v>
      </x:c>
      <x:c r="B1149" s="1" t="str">
        <x:v>20</x:v>
      </x:c>
      <x:c r="C1149" s="1" t="str">
        <x:v>premium</x:v>
      </x:c>
      <x:c r="D1149" s="1" t="str">
        <x:v>15.99</x:v>
      </x:c>
      <x:c r="E1149" s="1" t="str">
        <x:v>1</x:v>
      </x:c>
      <x:c r="F1149" s="1" t="str">
        <x:v>21</x:v>
      </x:c>
      <x:c r="G1149" s="1" t="str">
        <x:v>5</x:v>
      </x:c>
      <x:c r="H1149" s="1" t="str">
        <x:v>0</x:v>
      </x:c>
      <x:c r="I1149" s="1" t="str">
        <x:v>0</x:v>
      </x:c>
      <x:c r="J1149" s="1" t="str">
        <x:v>no</x:v>
      </x:c>
      <x:c r="K1149" s="1"/>
      <x:c r="L1149" s="1"/>
      <x:c r="M1149" s="1"/>
      <x:c r="N1149" s="1"/>
      <x:c r="O1149" s="1"/>
    </x:row>
    <x:row r="1150">
      <x:c r="A1150" s="1" t="str">
        <x:v>S1149</x:v>
      </x:c>
      <x:c r="B1150" s="1" t="str">
        <x:v>4</x:v>
      </x:c>
      <x:c r="C1150" s="1" t="str">
        <x:v>basic</x:v>
      </x:c>
      <x:c r="D1150" s="1" t="str">
        <x:v>9.99</x:v>
      </x:c>
      <x:c r="E1150" s="1" t="str">
        <x:v>1</x:v>
      </x:c>
      <x:c r="F1150" s="1" t="str">
        <x:v>20</x:v>
      </x:c>
      <x:c r="G1150" s="1" t="str">
        <x:v>7</x:v>
      </x:c>
      <x:c r="H1150" s="1" t="str">
        <x:v>0</x:v>
      </x:c>
      <x:c r="I1150" s="1" t="str">
        <x:v>0</x:v>
      </x:c>
      <x:c r="J1150" s="1" t="str">
        <x:v>no</x:v>
      </x:c>
      <x:c r="K1150" s="1"/>
      <x:c r="L1150" s="1"/>
      <x:c r="M1150" s="1"/>
      <x:c r="N1150" s="1"/>
      <x:c r="O1150" s="1"/>
    </x:row>
    <x:row r="1151">
      <x:c r="A1151" s="1" t="str">
        <x:v>S1150</x:v>
      </x:c>
      <x:c r="B1151" s="1" t="str">
        <x:v>20</x:v>
      </x:c>
      <x:c r="C1151" s="1" t="str">
        <x:v>basic</x:v>
      </x:c>
      <x:c r="D1151" s="1" t="str">
        <x:v>9.99</x:v>
      </x:c>
      <x:c r="E1151" s="1" t="str">
        <x:v>0</x:v>
      </x:c>
      <x:c r="F1151" s="1" t="str">
        <x:v>20</x:v>
      </x:c>
      <x:c r="G1151" s="1" t="str">
        <x:v>13</x:v>
      </x:c>
      <x:c r="H1151" s="1" t="str">
        <x:v>1</x:v>
      </x:c>
      <x:c r="I1151" s="1" t="str">
        <x:v>0</x:v>
      </x:c>
      <x:c r="J1151" s="1" t="str">
        <x:v>no</x:v>
      </x:c>
      <x:c r="K1151" s="1"/>
      <x:c r="L1151" s="1"/>
      <x:c r="M1151" s="1"/>
      <x:c r="N1151" s="1"/>
      <x:c r="O1151" s="1"/>
    </x:row>
    <x:row r="1152">
      <x:c r="A1152" s="1" t="str">
        <x:v>S1151</x:v>
      </x:c>
      <x:c r="B1152" s="1" t="str">
        <x:v>6</x:v>
      </x:c>
      <x:c r="C1152" s="1" t="str">
        <x:v>premium</x:v>
      </x:c>
      <x:c r="D1152" s="1" t="str">
        <x:v>15.99</x:v>
      </x:c>
      <x:c r="E1152" s="1" t="str">
        <x:v>0</x:v>
      </x:c>
      <x:c r="F1152" s="1" t="str">
        <x:v>22</x:v>
      </x:c>
      <x:c r="G1152" s="1" t="str">
        <x:v>5</x:v>
      </x:c>
      <x:c r="H1152" s="1" t="str">
        <x:v>1</x:v>
      </x:c>
      <x:c r="I1152" s="1" t="str">
        <x:v>0</x:v>
      </x:c>
      <x:c r="J1152" s="1" t="str">
        <x:v>no</x:v>
      </x:c>
      <x:c r="K1152" s="1"/>
      <x:c r="L1152" s="1"/>
      <x:c r="M1152" s="1"/>
      <x:c r="N1152" s="1"/>
      <x:c r="O1152" s="1"/>
    </x:row>
    <x:row r="1153">
      <x:c r="A1153" s="1" t="str">
        <x:v>S1152</x:v>
      </x:c>
      <x:c r="B1153" s="1" t="str">
        <x:v>31</x:v>
      </x:c>
      <x:c r="C1153" s="1" t="str">
        <x:v>premium</x:v>
      </x:c>
      <x:c r="D1153" s="1" t="str">
        <x:v>15.99</x:v>
      </x:c>
      <x:c r="E1153" s="1" t="str">
        <x:v>1</x:v>
      </x:c>
      <x:c r="F1153" s="1" t="str">
        <x:v>22</x:v>
      </x:c>
      <x:c r="G1153" s="1" t="str">
        <x:v>2</x:v>
      </x:c>
      <x:c r="H1153" s="1" t="str">
        <x:v>0</x:v>
      </x:c>
      <x:c r="I1153" s="1" t="str">
        <x:v>0</x:v>
      </x:c>
      <x:c r="J1153" s="1" t="str">
        <x:v>no</x:v>
      </x:c>
      <x:c r="K1153" s="1"/>
      <x:c r="L1153" s="1"/>
      <x:c r="M1153" s="1"/>
      <x:c r="N1153" s="1"/>
      <x:c r="O1153" s="1"/>
    </x:row>
    <x:row r="1154">
      <x:c r="A1154" s="1" t="str">
        <x:v>S1153</x:v>
      </x:c>
      <x:c r="B1154" s="1" t="str">
        <x:v>10</x:v>
      </x:c>
      <x:c r="C1154" s="1" t="str">
        <x:v>basic</x:v>
      </x:c>
      <x:c r="D1154" s="1" t="str">
        <x:v>9.99</x:v>
      </x:c>
      <x:c r="E1154" s="1" t="str">
        <x:v>3</x:v>
      </x:c>
      <x:c r="F1154" s="1" t="str">
        <x:v>0</x:v>
      </x:c>
      <x:c r="G1154" s="1" t="str">
        <x:v>44</x:v>
      </x:c>
      <x:c r="H1154" s="1" t="str">
        <x:v>0</x:v>
      </x:c>
      <x:c r="I1154" s="1" t="str">
        <x:v>1</x:v>
      </x:c>
      <x:c r="J1154" s="1" t="str">
        <x:v>yes</x:v>
      </x:c>
      <x:c r="K1154" s="1"/>
      <x:c r="L1154" s="1"/>
      <x:c r="M1154" s="1"/>
      <x:c r="N1154" s="1"/>
      <x:c r="O1154" s="1"/>
    </x:row>
    <x:row r="1155">
      <x:c r="A1155" s="1" t="str">
        <x:v>S1154</x:v>
      </x:c>
      <x:c r="B1155" s="1" t="str">
        <x:v>1</x:v>
      </x:c>
      <x:c r="C1155" s="1" t="str">
        <x:v>basic</x:v>
      </x:c>
      <x:c r="D1155" s="1" t="str">
        <x:v>9.99</x:v>
      </x:c>
      <x:c r="E1155" s="1" t="str">
        <x:v>1</x:v>
      </x:c>
      <x:c r="F1155" s="1" t="str">
        <x:v>30</x:v>
      </x:c>
      <x:c r="G1155" s="1" t="str">
        <x:v>1</x:v>
      </x:c>
      <x:c r="H1155" s="1" t="str">
        <x:v>0</x:v>
      </x:c>
      <x:c r="I1155" s="1" t="str">
        <x:v>0</x:v>
      </x:c>
      <x:c r="J1155" s="1" t="str">
        <x:v>no</x:v>
      </x:c>
      <x:c r="K1155" s="1"/>
      <x:c r="L1155" s="1"/>
      <x:c r="M1155" s="1"/>
      <x:c r="N1155" s="1"/>
      <x:c r="O1155" s="1"/>
    </x:row>
    <x:row r="1156">
      <x:c r="A1156" s="1" t="str">
        <x:v>S1155</x:v>
      </x:c>
      <x:c r="B1156" s="1" t="str">
        <x:v>2</x:v>
      </x:c>
      <x:c r="C1156" s="1" t="str">
        <x:v>premium</x:v>
      </x:c>
      <x:c r="D1156" s="1" t="str">
        <x:v>15.99</x:v>
      </x:c>
      <x:c r="E1156" s="1" t="str">
        <x:v>0</x:v>
      </x:c>
      <x:c r="F1156" s="1" t="str">
        <x:v>33</x:v>
      </x:c>
      <x:c r="G1156" s="1" t="str">
        <x:v>1</x:v>
      </x:c>
      <x:c r="H1156" s="1" t="str">
        <x:v>0</x:v>
      </x:c>
      <x:c r="I1156" s="1" t="str">
        <x:v>0</x:v>
      </x:c>
      <x:c r="J1156" s="1" t="str">
        <x:v>no</x:v>
      </x:c>
      <x:c r="K1156" s="1"/>
      <x:c r="L1156" s="1"/>
      <x:c r="M1156" s="1"/>
      <x:c r="N1156" s="1"/>
      <x:c r="O1156" s="1"/>
    </x:row>
    <x:row r="1157">
      <x:c r="A1157" s="1" t="str">
        <x:v>S1156</x:v>
      </x:c>
      <x:c r="B1157" s="1" t="str">
        <x:v>19</x:v>
      </x:c>
      <x:c r="C1157" s="1" t="str">
        <x:v>premium</x:v>
      </x:c>
      <x:c r="D1157" s="1" t="str">
        <x:v>15.99</x:v>
      </x:c>
      <x:c r="E1157" s="1" t="str">
        <x:v>0</x:v>
      </x:c>
      <x:c r="F1157" s="1" t="str">
        <x:v>28</x:v>
      </x:c>
      <x:c r="G1157" s="1" t="str">
        <x:v>5</x:v>
      </x:c>
      <x:c r="H1157" s="1" t="str">
        <x:v>0</x:v>
      </x:c>
      <x:c r="I1157" s="1" t="str">
        <x:v>1</x:v>
      </x:c>
      <x:c r="J1157" s="1" t="str">
        <x:v>no</x:v>
      </x:c>
      <x:c r="K1157" s="1"/>
      <x:c r="L1157" s="1"/>
      <x:c r="M1157" s="1"/>
      <x:c r="N1157" s="1"/>
      <x:c r="O1157" s="1"/>
    </x:row>
    <x:row r="1158">
      <x:c r="A1158" s="1" t="str">
        <x:v>S1157</x:v>
      </x:c>
      <x:c r="B1158" s="1" t="str">
        <x:v>43</x:v>
      </x:c>
      <x:c r="C1158" s="1" t="str">
        <x:v>premium</x:v>
      </x:c>
      <x:c r="D1158" s="1" t="str">
        <x:v>15.99</x:v>
      </x:c>
      <x:c r="E1158" s="1" t="str">
        <x:v>0</x:v>
      </x:c>
      <x:c r="F1158" s="1" t="str">
        <x:v>9</x:v>
      </x:c>
      <x:c r="G1158" s="1" t="str">
        <x:v>22</x:v>
      </x:c>
      <x:c r="H1158" s="1" t="str">
        <x:v>0</x:v>
      </x:c>
      <x:c r="I1158" s="1" t="str">
        <x:v>0</x:v>
      </x:c>
      <x:c r="J1158" s="1" t="str">
        <x:v>no</x:v>
      </x:c>
      <x:c r="K1158" s="1"/>
      <x:c r="L1158" s="1"/>
      <x:c r="M1158" s="1"/>
      <x:c r="N1158" s="1"/>
      <x:c r="O1158" s="1"/>
    </x:row>
    <x:row r="1159">
      <x:c r="A1159" s="1" t="str">
        <x:v>S1158</x:v>
      </x:c>
      <x:c r="B1159" s="1" t="str">
        <x:v>30</x:v>
      </x:c>
      <x:c r="C1159" s="1" t="str">
        <x:v>premium</x:v>
      </x:c>
      <x:c r="D1159" s="1" t="str">
        <x:v>15.99</x:v>
      </x:c>
      <x:c r="E1159" s="1" t="str">
        <x:v>0</x:v>
      </x:c>
      <x:c r="F1159" s="1" t="str">
        <x:v>28</x:v>
      </x:c>
      <x:c r="G1159" s="1" t="str">
        <x:v>4</x:v>
      </x:c>
      <x:c r="H1159" s="1" t="str">
        <x:v>1</x:v>
      </x:c>
      <x:c r="I1159" s="1" t="str">
        <x:v>0</x:v>
      </x:c>
      <x:c r="J1159" s="1" t="str">
        <x:v>no</x:v>
      </x:c>
      <x:c r="K1159" s="1"/>
      <x:c r="L1159" s="1"/>
      <x:c r="M1159" s="1"/>
      <x:c r="N1159" s="1"/>
      <x:c r="O1159" s="1"/>
    </x:row>
    <x:row r="1160">
      <x:c r="A1160" s="1" t="str">
        <x:v>S1159</x:v>
      </x:c>
      <x:c r="B1160" s="1" t="str">
        <x:v>9</x:v>
      </x:c>
      <x:c r="C1160" s="1" t="str">
        <x:v>basic</x:v>
      </x:c>
      <x:c r="D1160" s="1" t="str">
        <x:v>9.99</x:v>
      </x:c>
      <x:c r="E1160" s="1" t="str">
        <x:v>2</x:v>
      </x:c>
      <x:c r="F1160" s="1" t="str">
        <x:v>0</x:v>
      </x:c>
      <x:c r="G1160" s="1" t="str">
        <x:v>49</x:v>
      </x:c>
      <x:c r="H1160" s="1" t="str">
        <x:v>0</x:v>
      </x:c>
      <x:c r="I1160" s="1" t="str">
        <x:v>0</x:v>
      </x:c>
      <x:c r="J1160" s="1" t="str">
        <x:v>yes</x:v>
      </x:c>
      <x:c r="K1160" s="1"/>
      <x:c r="L1160" s="1"/>
      <x:c r="M1160" s="1"/>
      <x:c r="N1160" s="1"/>
      <x:c r="O1160" s="1"/>
    </x:row>
    <x:row r="1161">
      <x:c r="A1161" s="1" t="str">
        <x:v>S1160</x:v>
      </x:c>
      <x:c r="B1161" s="1" t="str">
        <x:v>30</x:v>
      </x:c>
      <x:c r="C1161" s="1" t="str">
        <x:v>basic</x:v>
      </x:c>
      <x:c r="D1161" s="1" t="str">
        <x:v>9.99</x:v>
      </x:c>
      <x:c r="E1161" s="1" t="str">
        <x:v>2</x:v>
      </x:c>
      <x:c r="F1161" s="1" t="str">
        <x:v>0</x:v>
      </x:c>
      <x:c r="G1161" s="1" t="str">
        <x:v>58</x:v>
      </x:c>
      <x:c r="H1161" s="1" t="str">
        <x:v>2</x:v>
      </x:c>
      <x:c r="I1161" s="1" t="str">
        <x:v>0</x:v>
      </x:c>
      <x:c r="J1161" s="1" t="str">
        <x:v>yes</x:v>
      </x:c>
      <x:c r="K1161" s="1"/>
      <x:c r="L1161" s="1"/>
      <x:c r="M1161" s="1"/>
      <x:c r="N1161" s="1"/>
      <x:c r="O1161" s="1"/>
    </x:row>
    <x:row r="1162">
      <x:c r="A1162" s="1" t="str">
        <x:v>S1161</x:v>
      </x:c>
      <x:c r="B1162" s="1" t="str">
        <x:v>25</x:v>
      </x:c>
      <x:c r="C1162" s="1" t="str">
        <x:v>premium</x:v>
      </x:c>
      <x:c r="D1162" s="1" t="str">
        <x:v>15.99</x:v>
      </x:c>
      <x:c r="E1162" s="1" t="str">
        <x:v>1</x:v>
      </x:c>
      <x:c r="F1162" s="1" t="str">
        <x:v>19</x:v>
      </x:c>
      <x:c r="G1162" s="1" t="str">
        <x:v>11</x:v>
      </x:c>
      <x:c r="H1162" s="1" t="str">
        <x:v>1</x:v>
      </x:c>
      <x:c r="I1162" s="1" t="str">
        <x:v>1</x:v>
      </x:c>
      <x:c r="J1162" s="1" t="str">
        <x:v>yes</x:v>
      </x:c>
      <x:c r="K1162" s="1"/>
      <x:c r="L1162" s="1"/>
      <x:c r="M1162" s="1"/>
      <x:c r="N1162" s="1"/>
      <x:c r="O1162" s="1"/>
    </x:row>
    <x:row r="1163">
      <x:c r="A1163" s="1" t="str">
        <x:v>S1162</x:v>
      </x:c>
      <x:c r="B1163" s="1" t="str">
        <x:v>19</x:v>
      </x:c>
      <x:c r="C1163" s="1" t="str">
        <x:v>basic</x:v>
      </x:c>
      <x:c r="D1163" s="1" t="str">
        <x:v>9.99</x:v>
      </x:c>
      <x:c r="E1163" s="1" t="str">
        <x:v>1</x:v>
      </x:c>
      <x:c r="F1163" s="1" t="str">
        <x:v>0</x:v>
      </x:c>
      <x:c r="G1163" s="1" t="str">
        <x:v>56</x:v>
      </x:c>
      <x:c r="H1163" s="1" t="str">
        <x:v>0</x:v>
      </x:c>
      <x:c r="I1163" s="1" t="str">
        <x:v>0</x:v>
      </x:c>
      <x:c r="J1163" s="1" t="str">
        <x:v>yes</x:v>
      </x:c>
      <x:c r="K1163" s="1"/>
      <x:c r="L1163" s="1"/>
      <x:c r="M1163" s="1"/>
      <x:c r="N1163" s="1"/>
      <x:c r="O1163" s="1"/>
    </x:row>
    <x:row r="1164">
      <x:c r="A1164" s="1" t="str">
        <x:v>S1163</x:v>
      </x:c>
      <x:c r="B1164" s="1" t="str">
        <x:v>30</x:v>
      </x:c>
      <x:c r="C1164" s="1" t="str">
        <x:v>basic</x:v>
      </x:c>
      <x:c r="D1164" s="1" t="str">
        <x:v>9.99</x:v>
      </x:c>
      <x:c r="E1164" s="1" t="str">
        <x:v>4</x:v>
      </x:c>
      <x:c r="F1164" s="1" t="str">
        <x:v>0</x:v>
      </x:c>
      <x:c r="G1164" s="1" t="str">
        <x:v>38</x:v>
      </x:c>
      <x:c r="H1164" s="1" t="str">
        <x:v>0</x:v>
      </x:c>
      <x:c r="I1164" s="1" t="str">
        <x:v>0</x:v>
      </x:c>
      <x:c r="J1164" s="1" t="str">
        <x:v>yes</x:v>
      </x:c>
      <x:c r="K1164" s="1"/>
      <x:c r="L1164" s="1"/>
      <x:c r="M1164" s="1"/>
      <x:c r="N1164" s="1"/>
      <x:c r="O1164" s="1"/>
    </x:row>
    <x:row r="1165">
      <x:c r="A1165" s="1" t="str">
        <x:v>S1164</x:v>
      </x:c>
      <x:c r="B1165" s="1" t="str">
        <x:v>35</x:v>
      </x:c>
      <x:c r="C1165" s="1" t="str">
        <x:v>premium</x:v>
      </x:c>
      <x:c r="D1165" s="1" t="str">
        <x:v>15.99</x:v>
      </x:c>
      <x:c r="E1165" s="1" t="str">
        <x:v>1</x:v>
      </x:c>
      <x:c r="F1165" s="1" t="str">
        <x:v>16</x:v>
      </x:c>
      <x:c r="G1165" s="1" t="str">
        <x:v>28</x:v>
      </x:c>
      <x:c r="H1165" s="1" t="str">
        <x:v>0</x:v>
      </x:c>
      <x:c r="I1165" s="1" t="str">
        <x:v>0</x:v>
      </x:c>
      <x:c r="J1165" s="1" t="str">
        <x:v>no</x:v>
      </x:c>
      <x:c r="K1165" s="1"/>
      <x:c r="L1165" s="1"/>
      <x:c r="M1165" s="1"/>
      <x:c r="N1165" s="1"/>
      <x:c r="O1165" s="1"/>
    </x:row>
    <x:row r="1166">
      <x:c r="A1166" s="1" t="str">
        <x:v>S1165</x:v>
      </x:c>
      <x:c r="B1166" s="1" t="str">
        <x:v>45</x:v>
      </x:c>
      <x:c r="C1166" s="1" t="str">
        <x:v>basic</x:v>
      </x:c>
      <x:c r="D1166" s="1" t="str">
        <x:v>9.99</x:v>
      </x:c>
      <x:c r="E1166" s="1" t="str">
        <x:v>0</x:v>
      </x:c>
      <x:c r="F1166" s="1" t="str">
        <x:v>19</x:v>
      </x:c>
      <x:c r="G1166" s="1" t="str">
        <x:v>7</x:v>
      </x:c>
      <x:c r="H1166" s="1" t="str">
        <x:v>0</x:v>
      </x:c>
      <x:c r="I1166" s="1" t="str">
        <x:v>0</x:v>
      </x:c>
      <x:c r="J1166" s="1" t="str">
        <x:v>no</x:v>
      </x:c>
      <x:c r="K1166" s="1"/>
      <x:c r="L1166" s="1"/>
      <x:c r="M1166" s="1"/>
      <x:c r="N1166" s="1"/>
      <x:c r="O1166" s="1"/>
    </x:row>
    <x:row r="1167">
      <x:c r="A1167" s="1" t="str">
        <x:v>S1166</x:v>
      </x:c>
      <x:c r="B1167" s="1" t="str">
        <x:v>41</x:v>
      </x:c>
      <x:c r="C1167" s="1" t="str">
        <x:v>basic</x:v>
      </x:c>
      <x:c r="D1167" s="1" t="str">
        <x:v>9.99</x:v>
      </x:c>
      <x:c r="E1167" s="1" t="str">
        <x:v>1</x:v>
      </x:c>
      <x:c r="F1167" s="1" t="str">
        <x:v>24</x:v>
      </x:c>
      <x:c r="G1167" s="1" t="str">
        <x:v>6</x:v>
      </x:c>
      <x:c r="H1167" s="1" t="str">
        <x:v>0</x:v>
      </x:c>
      <x:c r="I1167" s="1" t="str">
        <x:v>0</x:v>
      </x:c>
      <x:c r="J1167" s="1" t="str">
        <x:v>no</x:v>
      </x:c>
      <x:c r="K1167" s="1"/>
      <x:c r="L1167" s="1"/>
      <x:c r="M1167" s="1"/>
      <x:c r="N1167" s="1"/>
      <x:c r="O1167" s="1"/>
    </x:row>
    <x:row r="1168">
      <x:c r="A1168" s="1" t="str">
        <x:v>S1167</x:v>
      </x:c>
      <x:c r="B1168" s="1" t="str">
        <x:v>47</x:v>
      </x:c>
      <x:c r="C1168" s="1" t="str">
        <x:v>premium</x:v>
      </x:c>
      <x:c r="D1168" s="1" t="str">
        <x:v>15.99</x:v>
      </x:c>
      <x:c r="E1168" s="1" t="str">
        <x:v>0</x:v>
      </x:c>
      <x:c r="F1168" s="1" t="str">
        <x:v>8</x:v>
      </x:c>
      <x:c r="G1168" s="1" t="str">
        <x:v>7</x:v>
      </x:c>
      <x:c r="H1168" s="1" t="str">
        <x:v>0</x:v>
      </x:c>
      <x:c r="I1168" s="1" t="str">
        <x:v>0</x:v>
      </x:c>
      <x:c r="J1168" s="1" t="str">
        <x:v>no</x:v>
      </x:c>
      <x:c r="K1168" s="1"/>
      <x:c r="L1168" s="1"/>
      <x:c r="M1168" s="1"/>
      <x:c r="N1168" s="1"/>
      <x:c r="O1168" s="1"/>
    </x:row>
    <x:row r="1169">
      <x:c r="A1169" s="1" t="str">
        <x:v>S1168</x:v>
      </x:c>
      <x:c r="B1169" s="1" t="str">
        <x:v>41</x:v>
      </x:c>
      <x:c r="C1169" s="1" t="str">
        <x:v>basic</x:v>
      </x:c>
      <x:c r="D1169" s="1" t="str">
        <x:v>9.99</x:v>
      </x:c>
      <x:c r="E1169" s="1" t="str">
        <x:v>0</x:v>
      </x:c>
      <x:c r="F1169" s="1" t="str">
        <x:v>5</x:v>
      </x:c>
      <x:c r="G1169" s="1" t="str">
        <x:v>27</x:v>
      </x:c>
      <x:c r="H1169" s="1" t="str">
        <x:v>0</x:v>
      </x:c>
      <x:c r="I1169" s="1" t="str">
        <x:v>0</x:v>
      </x:c>
      <x:c r="J1169" s="1" t="str">
        <x:v>no</x:v>
      </x:c>
      <x:c r="K1169" s="1"/>
      <x:c r="L1169" s="1"/>
      <x:c r="M1169" s="1"/>
      <x:c r="N1169" s="1"/>
      <x:c r="O1169" s="1"/>
    </x:row>
    <x:row r="1170">
      <x:c r="A1170" s="1" t="str">
        <x:v>S1169</x:v>
      </x:c>
      <x:c r="B1170" s="1" t="str">
        <x:v>1</x:v>
      </x:c>
      <x:c r="C1170" s="1" t="str">
        <x:v>premium</x:v>
      </x:c>
      <x:c r="D1170" s="1" t="str">
        <x:v>15.99</x:v>
      </x:c>
      <x:c r="E1170" s="1" t="str">
        <x:v>1</x:v>
      </x:c>
      <x:c r="F1170" s="1" t="str">
        <x:v>28</x:v>
      </x:c>
      <x:c r="G1170" s="1" t="str">
        <x:v>1</x:v>
      </x:c>
      <x:c r="H1170" s="1" t="str">
        <x:v>0</x:v>
      </x:c>
      <x:c r="I1170" s="1" t="str">
        <x:v>0</x:v>
      </x:c>
      <x:c r="J1170" s="1" t="str">
        <x:v>no</x:v>
      </x:c>
      <x:c r="K1170" s="1"/>
      <x:c r="L1170" s="1"/>
      <x:c r="M1170" s="1"/>
      <x:c r="N1170" s="1"/>
      <x:c r="O1170" s="1"/>
    </x:row>
    <x:row r="1171">
      <x:c r="A1171" s="1" t="str">
        <x:v>S1170</x:v>
      </x:c>
      <x:c r="B1171" s="1" t="str">
        <x:v>15</x:v>
      </x:c>
      <x:c r="C1171" s="1" t="str">
        <x:v>premium</x:v>
      </x:c>
      <x:c r="D1171" s="1" t="str">
        <x:v>15.99</x:v>
      </x:c>
      <x:c r="E1171" s="1" t="str">
        <x:v>1</x:v>
      </x:c>
      <x:c r="F1171" s="1" t="str">
        <x:v>22</x:v>
      </x:c>
      <x:c r="G1171" s="1" t="str">
        <x:v>12</x:v>
      </x:c>
      <x:c r="H1171" s="1" t="str">
        <x:v>1</x:v>
      </x:c>
      <x:c r="I1171" s="1" t="str">
        <x:v>1</x:v>
      </x:c>
      <x:c r="J1171" s="1" t="str">
        <x:v>no</x:v>
      </x:c>
      <x:c r="K1171" s="1"/>
      <x:c r="L1171" s="1"/>
      <x:c r="M1171" s="1"/>
      <x:c r="N1171" s="1"/>
      <x:c r="O1171" s="1"/>
    </x:row>
    <x:row r="1172">
      <x:c r="A1172" s="1" t="str">
        <x:v>S1171</x:v>
      </x:c>
      <x:c r="B1172" s="1" t="str">
        <x:v>48</x:v>
      </x:c>
      <x:c r="C1172" s="1" t="str">
        <x:v>basic</x:v>
      </x:c>
      <x:c r="D1172" s="1" t="str">
        <x:v>9.99</x:v>
      </x:c>
      <x:c r="E1172" s="1" t="str">
        <x:v>3</x:v>
      </x:c>
      <x:c r="F1172" s="1" t="str">
        <x:v>0</x:v>
      </x:c>
      <x:c r="G1172" s="1" t="str">
        <x:v>47</x:v>
      </x:c>
      <x:c r="H1172" s="1" t="str">
        <x:v>0</x:v>
      </x:c>
      <x:c r="I1172" s="1" t="str">
        <x:v>0</x:v>
      </x:c>
      <x:c r="J1172" s="1" t="str">
        <x:v>yes</x:v>
      </x:c>
      <x:c r="K1172" s="1"/>
      <x:c r="L1172" s="1"/>
      <x:c r="M1172" s="1"/>
      <x:c r="N1172" s="1"/>
      <x:c r="O1172" s="1"/>
    </x:row>
    <x:row r="1173">
      <x:c r="A1173" s="1" t="str">
        <x:v>S1172</x:v>
      </x:c>
      <x:c r="B1173" s="1" t="str">
        <x:v>5</x:v>
      </x:c>
      <x:c r="C1173" s="1" t="str">
        <x:v>basic</x:v>
      </x:c>
      <x:c r="D1173" s="1" t="str">
        <x:v>9.99</x:v>
      </x:c>
      <x:c r="E1173" s="1" t="str">
        <x:v>1</x:v>
      </x:c>
      <x:c r="F1173" s="1" t="str">
        <x:v>25</x:v>
      </x:c>
      <x:c r="G1173" s="1" t="str">
        <x:v>0</x:v>
      </x:c>
      <x:c r="H1173" s="1" t="str">
        <x:v>0</x:v>
      </x:c>
      <x:c r="I1173" s="1" t="str">
        <x:v>1</x:v>
      </x:c>
      <x:c r="J1173" s="1" t="str">
        <x:v>no</x:v>
      </x:c>
      <x:c r="K1173" s="1"/>
      <x:c r="L1173" s="1"/>
      <x:c r="M1173" s="1"/>
      <x:c r="N1173" s="1"/>
      <x:c r="O1173" s="1"/>
    </x:row>
    <x:row r="1174">
      <x:c r="A1174" s="1" t="str">
        <x:v>S1173</x:v>
      </x:c>
      <x:c r="B1174" s="1" t="str">
        <x:v>2</x:v>
      </x:c>
      <x:c r="C1174" s="1" t="str">
        <x:v>basic</x:v>
      </x:c>
      <x:c r="D1174" s="1" t="str">
        <x:v>9.99</x:v>
      </x:c>
      <x:c r="E1174" s="1" t="str">
        <x:v>1</x:v>
      </x:c>
      <x:c r="F1174" s="1" t="str">
        <x:v>11</x:v>
      </x:c>
      <x:c r="G1174" s="1" t="str">
        <x:v>27</x:v>
      </x:c>
      <x:c r="H1174" s="1" t="str">
        <x:v>0</x:v>
      </x:c>
      <x:c r="I1174" s="1" t="str">
        <x:v>0</x:v>
      </x:c>
      <x:c r="J1174" s="1" t="str">
        <x:v>yes</x:v>
      </x:c>
      <x:c r="K1174" s="1"/>
      <x:c r="L1174" s="1"/>
      <x:c r="M1174" s="1"/>
      <x:c r="N1174" s="1"/>
      <x:c r="O1174" s="1"/>
    </x:row>
    <x:row r="1175">
      <x:c r="A1175" s="1" t="str">
        <x:v>S1174</x:v>
      </x:c>
      <x:c r="B1175" s="1" t="str">
        <x:v>1</x:v>
      </x:c>
      <x:c r="C1175" s="1" t="str">
        <x:v>basic</x:v>
      </x:c>
      <x:c r="D1175" s="1" t="str">
        <x:v>9.99</x:v>
      </x:c>
      <x:c r="E1175" s="1" t="str">
        <x:v>0</x:v>
      </x:c>
      <x:c r="F1175" s="1" t="str">
        <x:v>21</x:v>
      </x:c>
      <x:c r="G1175" s="1" t="str">
        <x:v>8</x:v>
      </x:c>
      <x:c r="H1175" s="1" t="str">
        <x:v>0</x:v>
      </x:c>
      <x:c r="I1175" s="1" t="str">
        <x:v>0</x:v>
      </x:c>
      <x:c r="J1175" s="1" t="str">
        <x:v>no</x:v>
      </x:c>
      <x:c r="K1175" s="1"/>
      <x:c r="L1175" s="1"/>
      <x:c r="M1175" s="1"/>
      <x:c r="N1175" s="1"/>
      <x:c r="O1175" s="1"/>
    </x:row>
    <x:row r="1176">
      <x:c r="A1176" s="1" t="str">
        <x:v>S1175</x:v>
      </x:c>
      <x:c r="B1176" s="1" t="str">
        <x:v>29</x:v>
      </x:c>
      <x:c r="C1176" s="1" t="str">
        <x:v>basic</x:v>
      </x:c>
      <x:c r="D1176" s="1" t="str">
        <x:v>9.99</x:v>
      </x:c>
      <x:c r="E1176" s="1" t="str">
        <x:v>1</x:v>
      </x:c>
      <x:c r="F1176" s="1" t="str">
        <x:v>23</x:v>
      </x:c>
      <x:c r="G1176" s="1" t="str">
        <x:v>1</x:v>
      </x:c>
      <x:c r="H1176" s="1" t="str">
        <x:v>0</x:v>
      </x:c>
      <x:c r="I1176" s="1" t="str">
        <x:v>0</x:v>
      </x:c>
      <x:c r="J1176" s="1" t="str">
        <x:v>no</x:v>
      </x:c>
      <x:c r="K1176" s="1"/>
      <x:c r="L1176" s="1"/>
      <x:c r="M1176" s="1"/>
      <x:c r="N1176" s="1"/>
      <x:c r="O1176" s="1"/>
    </x:row>
    <x:row r="1177">
      <x:c r="A1177" s="1" t="str">
        <x:v>S1176</x:v>
      </x:c>
      <x:c r="B1177" s="1" t="str">
        <x:v>43</x:v>
      </x:c>
      <x:c r="C1177" s="1" t="str">
        <x:v>basic</x:v>
      </x:c>
      <x:c r="D1177" s="1" t="str">
        <x:v>9.99</x:v>
      </x:c>
      <x:c r="E1177" s="1" t="str">
        <x:v>0</x:v>
      </x:c>
      <x:c r="F1177" s="1" t="str">
        <x:v>0</x:v>
      </x:c>
      <x:c r="G1177" s="1" t="str">
        <x:v>48</x:v>
      </x:c>
      <x:c r="H1177" s="1" t="str">
        <x:v>0</x:v>
      </x:c>
      <x:c r="I1177" s="1" t="str">
        <x:v>0</x:v>
      </x:c>
      <x:c r="J1177" s="1" t="str">
        <x:v>no</x:v>
      </x:c>
      <x:c r="K1177" s="1"/>
      <x:c r="L1177" s="1"/>
      <x:c r="M1177" s="1"/>
      <x:c r="N1177" s="1"/>
      <x:c r="O1177" s="1"/>
    </x:row>
    <x:row r="1178">
      <x:c r="A1178" s="1" t="str">
        <x:v>S1177</x:v>
      </x:c>
      <x:c r="B1178" s="1" t="str">
        <x:v>18</x:v>
      </x:c>
      <x:c r="C1178" s="1" t="str">
        <x:v>basic</x:v>
      </x:c>
      <x:c r="D1178" s="1" t="str">
        <x:v>9.99</x:v>
      </x:c>
      <x:c r="E1178" s="1" t="str">
        <x:v>0</x:v>
      </x:c>
      <x:c r="F1178" s="1" t="str">
        <x:v>7</x:v>
      </x:c>
      <x:c r="G1178" s="1" t="str">
        <x:v>15</x:v>
      </x:c>
      <x:c r="H1178" s="1" t="str">
        <x:v>0</x:v>
      </x:c>
      <x:c r="I1178" s="1" t="str">
        <x:v>0</x:v>
      </x:c>
      <x:c r="J1178" s="1" t="str">
        <x:v>no</x:v>
      </x:c>
      <x:c r="K1178" s="1"/>
      <x:c r="L1178" s="1"/>
      <x:c r="M1178" s="1"/>
      <x:c r="N1178" s="1"/>
      <x:c r="O1178" s="1"/>
    </x:row>
    <x:row r="1179">
      <x:c r="A1179" s="1" t="str">
        <x:v>S1178</x:v>
      </x:c>
      <x:c r="B1179" s="1" t="str">
        <x:v>8</x:v>
      </x:c>
      <x:c r="C1179" s="1" t="str">
        <x:v>premium</x:v>
      </x:c>
      <x:c r="D1179" s="1" t="str">
        <x:v>15.99</x:v>
      </x:c>
      <x:c r="E1179" s="1" t="str">
        <x:v>0</x:v>
      </x:c>
      <x:c r="F1179" s="1" t="str">
        <x:v>21</x:v>
      </x:c>
      <x:c r="G1179" s="1" t="str">
        <x:v>13</x:v>
      </x:c>
      <x:c r="H1179" s="1" t="str">
        <x:v>0</x:v>
      </x:c>
      <x:c r="I1179" s="1" t="str">
        <x:v>0</x:v>
      </x:c>
      <x:c r="J1179" s="1" t="str">
        <x:v>no</x:v>
      </x:c>
      <x:c r="K1179" s="1"/>
      <x:c r="L1179" s="1"/>
      <x:c r="M1179" s="1"/>
      <x:c r="N1179" s="1"/>
      <x:c r="O1179" s="1"/>
    </x:row>
    <x:row r="1180">
      <x:c r="A1180" s="1" t="str">
        <x:v>S1179</x:v>
      </x:c>
      <x:c r="B1180" s="1" t="str">
        <x:v>15</x:v>
      </x:c>
      <x:c r="C1180" s="1" t="str">
        <x:v>basic</x:v>
      </x:c>
      <x:c r="D1180" s="1" t="str">
        <x:v>9.99</x:v>
      </x:c>
      <x:c r="E1180" s="1" t="str">
        <x:v>3</x:v>
      </x:c>
      <x:c r="F1180" s="1" t="str">
        <x:v>9</x:v>
      </x:c>
      <x:c r="G1180" s="1" t="str">
        <x:v>23</x:v>
      </x:c>
      <x:c r="H1180" s="1" t="str">
        <x:v>0</x:v>
      </x:c>
      <x:c r="I1180" s="1" t="str">
        <x:v>1</x:v>
      </x:c>
      <x:c r="J1180" s="1" t="str">
        <x:v>yes</x:v>
      </x:c>
      <x:c r="K1180" s="1"/>
      <x:c r="L1180" s="1"/>
      <x:c r="M1180" s="1"/>
      <x:c r="N1180" s="1"/>
      <x:c r="O1180" s="1"/>
    </x:row>
    <x:row r="1181">
      <x:c r="A1181" s="1" t="str">
        <x:v>S1180</x:v>
      </x:c>
      <x:c r="B1181" s="1" t="str">
        <x:v>25</x:v>
      </x:c>
      <x:c r="C1181" s="1" t="str">
        <x:v>basic</x:v>
      </x:c>
      <x:c r="D1181" s="1" t="str">
        <x:v>9.99</x:v>
      </x:c>
      <x:c r="E1181" s="1" t="str">
        <x:v>3</x:v>
      </x:c>
      <x:c r="F1181" s="1" t="str">
        <x:v>16</x:v>
      </x:c>
      <x:c r="G1181" s="1" t="str">
        <x:v>7</x:v>
      </x:c>
      <x:c r="H1181" s="1" t="str">
        <x:v>1</x:v>
      </x:c>
      <x:c r="I1181" s="1" t="str">
        <x:v>0</x:v>
      </x:c>
      <x:c r="J1181" s="1" t="str">
        <x:v>no</x:v>
      </x:c>
      <x:c r="K1181" s="1"/>
      <x:c r="L1181" s="1"/>
      <x:c r="M1181" s="1"/>
      <x:c r="N1181" s="1"/>
      <x:c r="O1181" s="1"/>
    </x:row>
    <x:row r="1182">
      <x:c r="A1182" s="1" t="str">
        <x:v>S1181</x:v>
      </x:c>
      <x:c r="B1182" s="1" t="str">
        <x:v>31</x:v>
      </x:c>
      <x:c r="C1182" s="1" t="str">
        <x:v>basic</x:v>
      </x:c>
      <x:c r="D1182" s="1" t="str">
        <x:v>9.99</x:v>
      </x:c>
      <x:c r="E1182" s="1" t="str">
        <x:v>3</x:v>
      </x:c>
      <x:c r="F1182" s="1" t="str">
        <x:v>12</x:v>
      </x:c>
      <x:c r="G1182" s="1" t="str">
        <x:v>13</x:v>
      </x:c>
      <x:c r="H1182" s="1" t="str">
        <x:v>1</x:v>
      </x:c>
      <x:c r="I1182" s="1" t="str">
        <x:v>0</x:v>
      </x:c>
      <x:c r="J1182" s="1" t="str">
        <x:v>no</x:v>
      </x:c>
      <x:c r="K1182" s="1"/>
      <x:c r="L1182" s="1"/>
      <x:c r="M1182" s="1"/>
      <x:c r="N1182" s="1"/>
      <x:c r="O1182" s="1"/>
    </x:row>
    <x:row r="1183">
      <x:c r="A1183" s="1" t="str">
        <x:v>S1182</x:v>
      </x:c>
      <x:c r="B1183" s="1" t="str">
        <x:v>45</x:v>
      </x:c>
      <x:c r="C1183" s="1" t="str">
        <x:v>premium</x:v>
      </x:c>
      <x:c r="D1183" s="1" t="str">
        <x:v>15.99</x:v>
      </x:c>
      <x:c r="E1183" s="1" t="str">
        <x:v>0</x:v>
      </x:c>
      <x:c r="F1183" s="1" t="str">
        <x:v>11</x:v>
      </x:c>
      <x:c r="G1183" s="1" t="str">
        <x:v>2</x:v>
      </x:c>
      <x:c r="H1183" s="1" t="str">
        <x:v>0</x:v>
      </x:c>
      <x:c r="I1183" s="1" t="str">
        <x:v>0</x:v>
      </x:c>
      <x:c r="J1183" s="1" t="str">
        <x:v>no</x:v>
      </x:c>
      <x:c r="K1183" s="1"/>
      <x:c r="L1183" s="1"/>
      <x:c r="M1183" s="1"/>
      <x:c r="N1183" s="1"/>
      <x:c r="O1183" s="1"/>
    </x:row>
    <x:row r="1184">
      <x:c r="A1184" s="1" t="str">
        <x:v>S1183</x:v>
      </x:c>
      <x:c r="B1184" s="1" t="str">
        <x:v>33</x:v>
      </x:c>
      <x:c r="C1184" s="1" t="str">
        <x:v>basic</x:v>
      </x:c>
      <x:c r="D1184" s="1" t="str">
        <x:v>9.99</x:v>
      </x:c>
      <x:c r="E1184" s="1" t="str">
        <x:v>0</x:v>
      </x:c>
      <x:c r="F1184" s="1" t="str">
        <x:v>25</x:v>
      </x:c>
      <x:c r="G1184" s="1" t="str">
        <x:v>0</x:v>
      </x:c>
      <x:c r="H1184" s="1" t="str">
        <x:v>0</x:v>
      </x:c>
      <x:c r="I1184" s="1" t="str">
        <x:v>0</x:v>
      </x:c>
      <x:c r="J1184" s="1" t="str">
        <x:v>no</x:v>
      </x:c>
      <x:c r="K1184" s="1"/>
      <x:c r="L1184" s="1"/>
      <x:c r="M1184" s="1"/>
      <x:c r="N1184" s="1"/>
      <x:c r="O1184" s="1"/>
    </x:row>
    <x:row r="1185">
      <x:c r="A1185" s="1" t="str">
        <x:v>S1184</x:v>
      </x:c>
      <x:c r="B1185" s="1" t="str">
        <x:v>30</x:v>
      </x:c>
      <x:c r="C1185" s="1" t="str">
        <x:v>basic</x:v>
      </x:c>
      <x:c r="D1185" s="1" t="str">
        <x:v>9.99</x:v>
      </x:c>
      <x:c r="E1185" s="1" t="str">
        <x:v>1</x:v>
      </x:c>
      <x:c r="F1185" s="1" t="str">
        <x:v>20</x:v>
      </x:c>
      <x:c r="G1185" s="1" t="str">
        <x:v>4</x:v>
      </x:c>
      <x:c r="H1185" s="1" t="str">
        <x:v>0</x:v>
      </x:c>
      <x:c r="I1185" s="1" t="str">
        <x:v>0</x:v>
      </x:c>
      <x:c r="J1185" s="1" t="str">
        <x:v>no</x:v>
      </x:c>
      <x:c r="K1185" s="1"/>
      <x:c r="L1185" s="1"/>
      <x:c r="M1185" s="1"/>
      <x:c r="N1185" s="1"/>
      <x:c r="O1185" s="1"/>
    </x:row>
    <x:row r="1186">
      <x:c r="A1186" s="1" t="str">
        <x:v>S1185</x:v>
      </x:c>
      <x:c r="B1186" s="1" t="str">
        <x:v>23</x:v>
      </x:c>
      <x:c r="C1186" s="1" t="str">
        <x:v>basic</x:v>
      </x:c>
      <x:c r="D1186" s="1" t="str">
        <x:v>9.99</x:v>
      </x:c>
      <x:c r="E1186" s="1" t="str">
        <x:v>0</x:v>
      </x:c>
      <x:c r="F1186" s="1" t="str">
        <x:v>6</x:v>
      </x:c>
      <x:c r="G1186" s="1" t="str">
        <x:v>4</x:v>
      </x:c>
      <x:c r="H1186" s="1" t="str">
        <x:v>0</x:v>
      </x:c>
      <x:c r="I1186" s="1" t="str">
        <x:v>1</x:v>
      </x:c>
      <x:c r="J1186" s="1" t="str">
        <x:v>no</x:v>
      </x:c>
      <x:c r="K1186" s="1"/>
      <x:c r="L1186" s="1"/>
      <x:c r="M1186" s="1"/>
      <x:c r="N1186" s="1"/>
      <x:c r="O1186" s="1"/>
    </x:row>
    <x:row r="1187">
      <x:c r="A1187" s="1" t="str">
        <x:v>S1186</x:v>
      </x:c>
      <x:c r="B1187" s="1" t="str">
        <x:v>2</x:v>
      </x:c>
      <x:c r="C1187" s="1" t="str">
        <x:v>premium</x:v>
      </x:c>
      <x:c r="D1187" s="1" t="str">
        <x:v>15.99</x:v>
      </x:c>
      <x:c r="E1187" s="1" t="str">
        <x:v>1</x:v>
      </x:c>
      <x:c r="F1187" s="1" t="str">
        <x:v>22</x:v>
      </x:c>
      <x:c r="G1187" s="1" t="str">
        <x:v>2</x:v>
      </x:c>
      <x:c r="H1187" s="1" t="str">
        <x:v>0</x:v>
      </x:c>
      <x:c r="I1187" s="1" t="str">
        <x:v>0</x:v>
      </x:c>
      <x:c r="J1187" s="1" t="str">
        <x:v>no</x:v>
      </x:c>
      <x:c r="K1187" s="1"/>
      <x:c r="L1187" s="1"/>
      <x:c r="M1187" s="1"/>
      <x:c r="N1187" s="1"/>
      <x:c r="O1187" s="1"/>
    </x:row>
    <x:row r="1188">
      <x:c r="A1188" s="1" t="str">
        <x:v>S1187</x:v>
      </x:c>
      <x:c r="B1188" s="1" t="str">
        <x:v>48</x:v>
      </x:c>
      <x:c r="C1188" s="1" t="str">
        <x:v>premium</x:v>
      </x:c>
      <x:c r="D1188" s="1" t="str">
        <x:v>15.99</x:v>
      </x:c>
      <x:c r="E1188" s="1" t="str">
        <x:v>3</x:v>
      </x:c>
      <x:c r="F1188" s="1" t="str">
        <x:v>11</x:v>
      </x:c>
      <x:c r="G1188" s="1" t="str">
        <x:v>21</x:v>
      </x:c>
      <x:c r="H1188" s="1" t="str">
        <x:v>0</x:v>
      </x:c>
      <x:c r="I1188" s="1" t="str">
        <x:v>0</x:v>
      </x:c>
      <x:c r="J1188" s="1" t="str">
        <x:v>no</x:v>
      </x:c>
      <x:c r="K1188" s="1"/>
      <x:c r="L1188" s="1"/>
      <x:c r="M1188" s="1"/>
      <x:c r="N1188" s="1"/>
      <x:c r="O1188" s="1"/>
    </x:row>
    <x:row r="1189">
      <x:c r="A1189" s="1" t="str">
        <x:v>S1188</x:v>
      </x:c>
      <x:c r="B1189" s="1" t="str">
        <x:v>34</x:v>
      </x:c>
      <x:c r="C1189" s="1" t="str">
        <x:v>basic</x:v>
      </x:c>
      <x:c r="D1189" s="1" t="str">
        <x:v>9.99</x:v>
      </x:c>
      <x:c r="E1189" s="1" t="str">
        <x:v>2</x:v>
      </x:c>
      <x:c r="F1189" s="1" t="str">
        <x:v>0</x:v>
      </x:c>
      <x:c r="G1189" s="1" t="str">
        <x:v>43</x:v>
      </x:c>
      <x:c r="H1189" s="1" t="str">
        <x:v>0</x:v>
      </x:c>
      <x:c r="I1189" s="1" t="str">
        <x:v>1</x:v>
      </x:c>
      <x:c r="J1189" s="1" t="str">
        <x:v>yes</x:v>
      </x:c>
      <x:c r="K1189" s="1"/>
      <x:c r="L1189" s="1"/>
      <x:c r="M1189" s="1"/>
      <x:c r="N1189" s="1"/>
      <x:c r="O1189" s="1"/>
    </x:row>
    <x:row r="1190">
      <x:c r="A1190" s="1" t="str">
        <x:v>S1189</x:v>
      </x:c>
      <x:c r="B1190" s="1" t="str">
        <x:v>44</x:v>
      </x:c>
      <x:c r="C1190" s="1" t="str">
        <x:v>basic</x:v>
      </x:c>
      <x:c r="D1190" s="1" t="str">
        <x:v>9.99</x:v>
      </x:c>
      <x:c r="E1190" s="1" t="str">
        <x:v>0</x:v>
      </x:c>
      <x:c r="F1190" s="1" t="str">
        <x:v>13</x:v>
      </x:c>
      <x:c r="G1190" s="1" t="str">
        <x:v>22</x:v>
      </x:c>
      <x:c r="H1190" s="1" t="str">
        <x:v>0</x:v>
      </x:c>
      <x:c r="I1190" s="1" t="str">
        <x:v>0</x:v>
      </x:c>
      <x:c r="J1190" s="1" t="str">
        <x:v>no</x:v>
      </x:c>
      <x:c r="K1190" s="1"/>
      <x:c r="L1190" s="1"/>
      <x:c r="M1190" s="1"/>
      <x:c r="N1190" s="1"/>
      <x:c r="O1190" s="1"/>
    </x:row>
    <x:row r="1191">
      <x:c r="A1191" s="1" t="str">
        <x:v>S1190</x:v>
      </x:c>
      <x:c r="B1191" s="1" t="str">
        <x:v>20</x:v>
      </x:c>
      <x:c r="C1191" s="1" t="str">
        <x:v>premium</x:v>
      </x:c>
      <x:c r="D1191" s="1" t="str">
        <x:v>15.99</x:v>
      </x:c>
      <x:c r="E1191" s="1" t="str">
        <x:v>0</x:v>
      </x:c>
      <x:c r="F1191" s="1" t="str">
        <x:v>26</x:v>
      </x:c>
      <x:c r="G1191" s="1" t="str">
        <x:v>6</x:v>
      </x:c>
      <x:c r="H1191" s="1" t="str">
        <x:v>0</x:v>
      </x:c>
      <x:c r="I1191" s="1" t="str">
        <x:v>0</x:v>
      </x:c>
      <x:c r="J1191" s="1" t="str">
        <x:v>no</x:v>
      </x:c>
      <x:c r="K1191" s="1"/>
      <x:c r="L1191" s="1"/>
      <x:c r="M1191" s="1"/>
      <x:c r="N1191" s="1"/>
      <x:c r="O1191" s="1"/>
    </x:row>
    <x:row r="1192">
      <x:c r="A1192" s="1" t="str">
        <x:v>S1191</x:v>
      </x:c>
      <x:c r="B1192" s="1" t="str">
        <x:v>28</x:v>
      </x:c>
      <x:c r="C1192" s="1" t="str">
        <x:v>basic</x:v>
      </x:c>
      <x:c r="D1192" s="1" t="str">
        <x:v>9.99</x:v>
      </x:c>
      <x:c r="E1192" s="1" t="str">
        <x:v>3</x:v>
      </x:c>
      <x:c r="F1192" s="1" t="str">
        <x:v>33</x:v>
      </x:c>
      <x:c r="G1192" s="1" t="str">
        <x:v>3</x:v>
      </x:c>
      <x:c r="H1192" s="1" t="str">
        <x:v>0</x:v>
      </x:c>
      <x:c r="I1192" s="1" t="str">
        <x:v>0</x:v>
      </x:c>
      <x:c r="J1192" s="1" t="str">
        <x:v>no</x:v>
      </x:c>
      <x:c r="K1192" s="1"/>
      <x:c r="L1192" s="1"/>
      <x:c r="M1192" s="1"/>
      <x:c r="N1192" s="1"/>
      <x:c r="O1192" s="1"/>
    </x:row>
    <x:row r="1193">
      <x:c r="A1193" s="1" t="str">
        <x:v>S1192</x:v>
      </x:c>
      <x:c r="B1193" s="1" t="str">
        <x:v>44</x:v>
      </x:c>
      <x:c r="C1193" s="1" t="str">
        <x:v>basic</x:v>
      </x:c>
      <x:c r="D1193" s="1" t="str">
        <x:v>9.99</x:v>
      </x:c>
      <x:c r="E1193" s="1" t="str">
        <x:v>0</x:v>
      </x:c>
      <x:c r="F1193" s="1" t="str">
        <x:v>19</x:v>
      </x:c>
      <x:c r="G1193" s="1" t="str">
        <x:v>10</x:v>
      </x:c>
      <x:c r="H1193" s="1" t="str">
        <x:v>0</x:v>
      </x:c>
      <x:c r="I1193" s="1" t="str">
        <x:v>0</x:v>
      </x:c>
      <x:c r="J1193" s="1" t="str">
        <x:v>no</x:v>
      </x:c>
      <x:c r="K1193" s="1"/>
      <x:c r="L1193" s="1"/>
      <x:c r="M1193" s="1"/>
      <x:c r="N1193" s="1"/>
      <x:c r="O1193" s="1"/>
    </x:row>
    <x:row r="1194">
      <x:c r="A1194" s="1" t="str">
        <x:v>S1193</x:v>
      </x:c>
      <x:c r="B1194" s="1" t="str">
        <x:v>18</x:v>
      </x:c>
      <x:c r="C1194" s="1" t="str">
        <x:v>premium</x:v>
      </x:c>
      <x:c r="D1194" s="1" t="str">
        <x:v>15.99</x:v>
      </x:c>
      <x:c r="E1194" s="1" t="str">
        <x:v>2</x:v>
      </x:c>
      <x:c r="F1194" s="1" t="str">
        <x:v>25</x:v>
      </x:c>
      <x:c r="G1194" s="1" t="str">
        <x:v>2</x:v>
      </x:c>
      <x:c r="H1194" s="1" t="str">
        <x:v>0</x:v>
      </x:c>
      <x:c r="I1194" s="1" t="str">
        <x:v>0</x:v>
      </x:c>
      <x:c r="J1194" s="1" t="str">
        <x:v>no</x:v>
      </x:c>
      <x:c r="K1194" s="1"/>
      <x:c r="L1194" s="1"/>
      <x:c r="M1194" s="1"/>
      <x:c r="N1194" s="1"/>
      <x:c r="O1194" s="1"/>
    </x:row>
    <x:row r="1195">
      <x:c r="A1195" s="1" t="str">
        <x:v>S1194</x:v>
      </x:c>
      <x:c r="B1195" s="1" t="str">
        <x:v>8</x:v>
      </x:c>
      <x:c r="C1195" s="1" t="str">
        <x:v>premium</x:v>
      </x:c>
      <x:c r="D1195" s="1" t="str">
        <x:v>15.99</x:v>
      </x:c>
      <x:c r="E1195" s="1" t="str">
        <x:v>3</x:v>
      </x:c>
      <x:c r="F1195" s="1" t="str">
        <x:v>0</x:v>
      </x:c>
      <x:c r="G1195" s="1" t="str">
        <x:v>38</x:v>
      </x:c>
      <x:c r="H1195" s="1" t="str">
        <x:v>0</x:v>
      </x:c>
      <x:c r="I1195" s="1" t="str">
        <x:v>1</x:v>
      </x:c>
      <x:c r="J1195" s="1" t="str">
        <x:v>yes</x:v>
      </x:c>
      <x:c r="K1195" s="1"/>
      <x:c r="L1195" s="1"/>
      <x:c r="M1195" s="1"/>
      <x:c r="N1195" s="1"/>
      <x:c r="O1195" s="1"/>
    </x:row>
    <x:row r="1196">
      <x:c r="A1196" s="1" t="str">
        <x:v>S1195</x:v>
      </x:c>
      <x:c r="B1196" s="1" t="str">
        <x:v>30</x:v>
      </x:c>
      <x:c r="C1196" s="1" t="str">
        <x:v>basic</x:v>
      </x:c>
      <x:c r="D1196" s="1" t="str">
        <x:v>9.99</x:v>
      </x:c>
      <x:c r="E1196" s="1" t="str">
        <x:v>0</x:v>
      </x:c>
      <x:c r="F1196" s="1" t="str">
        <x:v>21</x:v>
      </x:c>
      <x:c r="G1196" s="1" t="str">
        <x:v>9</x:v>
      </x:c>
      <x:c r="H1196" s="1" t="str">
        <x:v>1</x:v>
      </x:c>
      <x:c r="I1196" s="1" t="str">
        <x:v>0</x:v>
      </x:c>
      <x:c r="J1196" s="1" t="str">
        <x:v>no</x:v>
      </x:c>
      <x:c r="K1196" s="1"/>
      <x:c r="L1196" s="1"/>
      <x:c r="M1196" s="1"/>
      <x:c r="N1196" s="1"/>
      <x:c r="O1196" s="1"/>
    </x:row>
    <x:row r="1197">
      <x:c r="A1197" s="1" t="str">
        <x:v>S1196</x:v>
      </x:c>
      <x:c r="B1197" s="1" t="str">
        <x:v>20</x:v>
      </x:c>
      <x:c r="C1197" s="1" t="str">
        <x:v>premium</x:v>
      </x:c>
      <x:c r="D1197" s="1" t="str">
        <x:v>15.99</x:v>
      </x:c>
      <x:c r="E1197" s="1" t="str">
        <x:v>0</x:v>
      </x:c>
      <x:c r="F1197" s="1" t="str">
        <x:v>11</x:v>
      </x:c>
      <x:c r="G1197" s="1" t="str">
        <x:v>16</x:v>
      </x:c>
      <x:c r="H1197" s="1" t="str">
        <x:v>2</x:v>
      </x:c>
      <x:c r="I1197" s="1" t="str">
        <x:v>1</x:v>
      </x:c>
      <x:c r="J1197" s="1" t="str">
        <x:v>no</x:v>
      </x:c>
      <x:c r="K1197" s="1"/>
      <x:c r="L1197" s="1"/>
      <x:c r="M1197" s="1"/>
      <x:c r="N1197" s="1"/>
      <x:c r="O1197" s="1"/>
    </x:row>
    <x:row r="1198">
      <x:c r="A1198" s="1" t="str">
        <x:v>S1197</x:v>
      </x:c>
      <x:c r="B1198" s="1" t="str">
        <x:v>11</x:v>
      </x:c>
      <x:c r="C1198" s="1" t="str">
        <x:v>basic</x:v>
      </x:c>
      <x:c r="D1198" s="1" t="str">
        <x:v>9.99</x:v>
      </x:c>
      <x:c r="E1198" s="1" t="str">
        <x:v>2</x:v>
      </x:c>
      <x:c r="F1198" s="1" t="str">
        <x:v>16</x:v>
      </x:c>
      <x:c r="G1198" s="1" t="str">
        <x:v>4</x:v>
      </x:c>
      <x:c r="H1198" s="1" t="str">
        <x:v>0</x:v>
      </x:c>
      <x:c r="I1198" s="1" t="str">
        <x:v>0</x:v>
      </x:c>
      <x:c r="J1198" s="1" t="str">
        <x:v>no</x:v>
      </x:c>
      <x:c r="K1198" s="1"/>
      <x:c r="L1198" s="1"/>
      <x:c r="M1198" s="1"/>
      <x:c r="N1198" s="1"/>
      <x:c r="O1198" s="1"/>
    </x:row>
    <x:row r="1199">
      <x:c r="A1199" s="1" t="str">
        <x:v>S1198</x:v>
      </x:c>
      <x:c r="B1199" s="1" t="str">
        <x:v>37</x:v>
      </x:c>
      <x:c r="C1199" s="1" t="str">
        <x:v>premium</x:v>
      </x:c>
      <x:c r="D1199" s="1" t="str">
        <x:v>15.99</x:v>
      </x:c>
      <x:c r="E1199" s="1" t="str">
        <x:v>0</x:v>
      </x:c>
      <x:c r="F1199" s="1" t="str">
        <x:v>26</x:v>
      </x:c>
      <x:c r="G1199" s="1" t="str">
        <x:v>2</x:v>
      </x:c>
      <x:c r="H1199" s="1" t="str">
        <x:v>2</x:v>
      </x:c>
      <x:c r="I1199" s="1" t="str">
        <x:v>1</x:v>
      </x:c>
      <x:c r="J1199" s="1" t="str">
        <x:v>no</x:v>
      </x:c>
      <x:c r="K1199" s="1"/>
      <x:c r="L1199" s="1"/>
      <x:c r="M1199" s="1"/>
      <x:c r="N1199" s="1"/>
      <x:c r="O1199" s="1"/>
    </x:row>
    <x:row r="1200">
      <x:c r="A1200" s="1" t="str">
        <x:v>S1199</x:v>
      </x:c>
      <x:c r="B1200" s="1" t="str">
        <x:v>48</x:v>
      </x:c>
      <x:c r="C1200" s="1" t="str">
        <x:v>basic</x:v>
      </x:c>
      <x:c r="D1200" s="1" t="str">
        <x:v>9.99</x:v>
      </x:c>
      <x:c r="E1200" s="1" t="str">
        <x:v>2</x:v>
      </x:c>
      <x:c r="F1200" s="1" t="str">
        <x:v>13</x:v>
      </x:c>
      <x:c r="G1200" s="1" t="str">
        <x:v>28</x:v>
      </x:c>
      <x:c r="H1200" s="1" t="str">
        <x:v>0</x:v>
      </x:c>
      <x:c r="I1200" s="1" t="str">
        <x:v>1</x:v>
      </x:c>
      <x:c r="J1200" s="1" t="str">
        <x:v>no</x:v>
      </x:c>
      <x:c r="K1200" s="1"/>
      <x:c r="L1200" s="1"/>
      <x:c r="M1200" s="1"/>
      <x:c r="N1200" s="1"/>
      <x:c r="O1200" s="1"/>
    </x:row>
    <x:row r="1201">
      <x:c r="A1201" s="1" t="str">
        <x:v>S1200</x:v>
      </x:c>
      <x:c r="B1201" s="1" t="str">
        <x:v>21</x:v>
      </x:c>
      <x:c r="C1201" s="1" t="str">
        <x:v>premium</x:v>
      </x:c>
      <x:c r="D1201" s="1" t="str">
        <x:v>15.99</x:v>
      </x:c>
      <x:c r="E1201" s="1" t="str">
        <x:v>0</x:v>
      </x:c>
      <x:c r="F1201" s="1" t="str">
        <x:v>15</x:v>
      </x:c>
      <x:c r="G1201" s="1" t="str">
        <x:v>3</x:v>
      </x:c>
      <x:c r="H1201" s="1" t="str">
        <x:v>0</x:v>
      </x:c>
      <x:c r="I1201" s="1" t="str">
        <x:v>0</x:v>
      </x:c>
      <x:c r="J1201" s="1" t="str">
        <x:v>no</x:v>
      </x:c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.630000114440918" hidden="0" customWidth="1"/>
    <x:col min="3" max="3" width="14" hidden="0" customWidth="1"/>
    <x:col min="4" max="4" width="14.25" hidden="0" customWidth="1"/>
    <x:col min="5" max="5" width="16.75" hidden="0" customWidth="1"/>
    <x:col min="6" max="6" width="15.25" hidden="0" customWidth="1"/>
    <x:col min="7" max="7" width="18.25" hidden="0" customWidth="1"/>
    <x:col min="8" max="8" width="18.1299991607666" hidden="0" customWidth="1"/>
    <x:col min="9" max="9" width="16.25" hidden="0" customWidth="1"/>
    <x:col min="10" max="10" width="7.130000114440918" hidden="0" customWidth="1"/>
    <x:col min="11" max="11" width="16" hidden="0" customWidth="1"/>
    <x:col min="12" max="12" width="16" hidden="0" customWidth="1"/>
  </x:cols>
  <x:sheetData>
    <x:row r="1">
      <x:c r="A1" s="4" t="str">
        <x:v>subscriber_id</x:v>
      </x:c>
      <x:c r="B1" s="4" t="str">
        <x:v>tenure_months</x:v>
      </x:c>
      <x:c r="C1" s="4" t="str">
        <x:v>plan</x:v>
      </x:c>
      <x:c r="D1" s="4" t="str">
        <x:v>monthly_fee_usd</x:v>
      </x:c>
      <x:c r="E1" s="4" t="str">
        <x:v>support_tickets_90d</x:v>
      </x:c>
      <x:c r="F1" s="4" t="str">
        <x:v>sessions_last_30d</x:v>
      </x:c>
      <x:c r="G1" s="4" t="str">
        <x:v>days_since_last_login</x:v>
      </x:c>
      <x:c r="H1" s="4" t="str">
        <x:v>payment_failures_90d</x:v>
      </x:c>
      <x:c r="I1" s="4" t="str">
        <x:v>joined_on_discount</x:v>
      </x:c>
      <x:c r="J1" s="4" t="str">
        <x:v>churned</x:v>
      </x:c>
      <x:c r="K1" s="4" t="str">
        <x:v>Risk points</x:v>
      </x:c>
      <x:c r="L1" s="4" t="str">
        <x:v>High risk</x:v>
      </x:c>
      <x:c r="M1" s="1"/>
      <x:c r="N1" s="1"/>
      <x:c r="O1" s="1"/>
    </x:row>
    <x:row r="2">
      <x:c r="A2" s="1" t="str">
        <x:v>S0001</x:v>
      </x:c>
      <x:c r="B2" s="1" t="n">
        <x:v>11</x:v>
      </x:c>
      <x:c r="C2" s="1" t="str">
        <x:v>basic</x:v>
      </x:c>
      <x:c r="D2" s="8" t="n">
        <x:v>9.99</x:v>
      </x:c>
      <x:c r="E2" s="1" t="n">
        <x:v>1</x:v>
      </x:c>
      <x:c r="F2" s="1" t="n">
        <x:v>23</x:v>
      </x:c>
      <x:c r="G2" s="1" t="n">
        <x:v>4</x:v>
      </x:c>
      <x:c r="H2" s="1" t="n">
        <x:v>0</x:v>
      </x:c>
      <x:c r="I2" s="1" t="n">
        <x:v>0</x:v>
      </x:c>
      <x:c r="J2" s="1" t="str">
        <x:v>no</x:v>
      </x:c>
      <x:c r="K2" s="1" t="n">
        <x:f>2*H2+E2+IF(G2&gt;30,2,0)-IF(B2&gt;24,1,0)</x:f>
        <x:v>1</x:v>
      </x:c>
      <x:c r="L2" s="1" t="str">
        <x:f>IF(K2&gt;=3,"yes","no")</x:f>
        <x:v>no</x:v>
      </x:c>
      <x:c r="M2" s="1"/>
      <x:c r="N2" s="1"/>
      <x:c r="O2" s="1"/>
    </x:row>
    <x:row r="3">
      <x:c r="A3" s="1" t="str">
        <x:v>S0002</x:v>
      </x:c>
      <x:c r="B3" s="1" t="n">
        <x:v>1</x:v>
      </x:c>
      <x:c r="C3" s="1" t="str">
        <x:v>basic</x:v>
      </x:c>
      <x:c r="D3" s="8" t="n">
        <x:v>9.99</x:v>
      </x:c>
      <x:c r="E3" s="1" t="n">
        <x:v>3</x:v>
      </x:c>
      <x:c r="F3" s="1" t="n">
        <x:v>4</x:v>
      </x:c>
      <x:c r="G3" s="1" t="n">
        <x:v>10</x:v>
      </x:c>
      <x:c r="H3" s="1" t="n">
        <x:v>0</x:v>
      </x:c>
      <x:c r="I3" s="1" t="n">
        <x:v>0</x:v>
      </x:c>
      <x:c r="J3" s="1" t="str">
        <x:v>no</x:v>
      </x:c>
      <x:c r="K3" s="1" t="n">
        <x:f>2*H3+E3+IF(G3&gt;30,2,0)-IF(B3&gt;24,1,0)</x:f>
        <x:v>3</x:v>
      </x:c>
      <x:c r="L3" s="1" t="str">
        <x:f>IF(K3&gt;=3,"yes","no")</x:f>
        <x:v>yes</x:v>
      </x:c>
      <x:c r="M3" s="1"/>
      <x:c r="N3" s="1"/>
      <x:c r="O3" s="1"/>
    </x:row>
    <x:row r="4">
      <x:c r="A4" s="1" t="str">
        <x:v>S0003</x:v>
      </x:c>
      <x:c r="B4" s="1" t="n">
        <x:v>28</x:v>
      </x:c>
      <x:c r="C4" s="1" t="str">
        <x:v>premium</x:v>
      </x:c>
      <x:c r="D4" s="8" t="n">
        <x:v>15.99</x:v>
      </x:c>
      <x:c r="E4" s="1" t="n">
        <x:v>2</x:v>
      </x:c>
      <x:c r="F4" s="1" t="n">
        <x:v>15</x:v>
      </x:c>
      <x:c r="G4" s="1" t="n">
        <x:v>6</x:v>
      </x:c>
      <x:c r="H4" s="1" t="n">
        <x:v>0</x:v>
      </x:c>
      <x:c r="I4" s="1" t="n">
        <x:v>0</x:v>
      </x:c>
      <x:c r="J4" s="1" t="str">
        <x:v>yes</x:v>
      </x:c>
      <x:c r="K4" s="1" t="n">
        <x:f>2*H4+E4+IF(G4&gt;30,2,0)-IF(B4&gt;24,1,0)</x:f>
        <x:v>1</x:v>
      </x:c>
      <x:c r="L4" s="1" t="str">
        <x:f>IF(K4&gt;=3,"yes","no")</x:f>
        <x:v>no</x:v>
      </x:c>
      <x:c r="M4" s="1"/>
      <x:c r="N4" s="1"/>
      <x:c r="O4" s="1"/>
    </x:row>
    <x:row r="5">
      <x:c r="A5" s="1" t="str">
        <x:v>S0004</x:v>
      </x:c>
      <x:c r="B5" s="1" t="n">
        <x:v>48</x:v>
      </x:c>
      <x:c r="C5" s="1" t="str">
        <x:v>basic</x:v>
      </x:c>
      <x:c r="D5" s="8" t="n">
        <x:v>9.99</x:v>
      </x:c>
      <x:c r="E5" s="1" t="n">
        <x:v>0</x:v>
      </x:c>
      <x:c r="F5" s="1" t="n">
        <x:v>18</x:v>
      </x:c>
      <x:c r="G5" s="1" t="n">
        <x:v>22</x:v>
      </x:c>
      <x:c r="H5" s="1" t="n">
        <x:v>0</x:v>
      </x:c>
      <x:c r="I5" s="1" t="n">
        <x:v>1</x:v>
      </x:c>
      <x:c r="J5" s="1" t="str">
        <x:v>no</x:v>
      </x:c>
      <x:c r="K5" s="1" t="n">
        <x:f>2*H5+E5+IF(G5&gt;30,2,0)-IF(B5&gt;24,1,0)</x:f>
        <x:v>-1</x:v>
      </x:c>
      <x:c r="L5" s="1" t="str">
        <x:f>IF(K5&gt;=3,"yes","no")</x:f>
        <x:v>no</x:v>
      </x:c>
      <x:c r="M5" s="1"/>
      <x:c r="N5" s="1"/>
      <x:c r="O5" s="1"/>
    </x:row>
    <x:row r="6">
      <x:c r="A6" s="1" t="str">
        <x:v>S0005</x:v>
      </x:c>
      <x:c r="B6" s="1" t="n">
        <x:v>43</x:v>
      </x:c>
      <x:c r="C6" s="1" t="str">
        <x:v>basic</x:v>
      </x:c>
      <x:c r="D6" s="8" t="n">
        <x:v>9.99</x:v>
      </x:c>
      <x:c r="E6" s="1" t="n">
        <x:v>0</x:v>
      </x:c>
      <x:c r="F6" s="1" t="n">
        <x:v>14</x:v>
      </x:c>
      <x:c r="G6" s="1" t="n">
        <x:v>3</x:v>
      </x:c>
      <x:c r="H6" s="1" t="n">
        <x:v>0</x:v>
      </x:c>
      <x:c r="I6" s="1" t="n">
        <x:v>0</x:v>
      </x:c>
      <x:c r="J6" s="1" t="str">
        <x:v>no</x:v>
      </x:c>
      <x:c r="K6" s="1" t="n">
        <x:f>2*H6+E6+IF(G6&gt;30,2,0)-IF(B6&gt;24,1,0)</x:f>
        <x:v>-1</x:v>
      </x:c>
      <x:c r="L6" s="1" t="str">
        <x:f>IF(K6&gt;=3,"yes","no")</x:f>
        <x:v>no</x:v>
      </x:c>
      <x:c r="M6" s="1"/>
      <x:c r="N6" s="1"/>
      <x:c r="O6" s="1"/>
    </x:row>
    <x:row r="7">
      <x:c r="A7" s="1" t="str">
        <x:v>S0006</x:v>
      </x:c>
      <x:c r="B7" s="1" t="n">
        <x:v>31</x:v>
      </x:c>
      <x:c r="C7" s="1" t="str">
        <x:v>premium</x:v>
      </x:c>
      <x:c r="D7" s="8" t="n">
        <x:v>15.99</x:v>
      </x:c>
      <x:c r="E7" s="1" t="n">
        <x:v>2</x:v>
      </x:c>
      <x:c r="F7" s="1" t="n">
        <x:v>9</x:v>
      </x:c>
      <x:c r="G7" s="1" t="n">
        <x:v>3</x:v>
      </x:c>
      <x:c r="H7" s="1" t="n">
        <x:v>0</x:v>
      </x:c>
      <x:c r="I7" s="1" t="n">
        <x:v>0</x:v>
      </x:c>
      <x:c r="J7" s="1" t="str">
        <x:v>no</x:v>
      </x:c>
      <x:c r="K7" s="1" t="n">
        <x:f>2*H7+E7+IF(G7&gt;30,2,0)-IF(B7&gt;24,1,0)</x:f>
        <x:v>1</x:v>
      </x:c>
      <x:c r="L7" s="1" t="str">
        <x:f>IF(K7&gt;=3,"yes","no")</x:f>
        <x:v>no</x:v>
      </x:c>
      <x:c r="M7" s="1"/>
      <x:c r="N7" s="1"/>
      <x:c r="O7" s="1"/>
    </x:row>
    <x:row r="8">
      <x:c r="A8" s="1" t="str">
        <x:v>S0007</x:v>
      </x:c>
      <x:c r="B8" s="1" t="n">
        <x:v>29</x:v>
      </x:c>
      <x:c r="C8" s="1" t="str">
        <x:v>premium</x:v>
      </x:c>
      <x:c r="D8" s="8" t="n">
        <x:v>15.99</x:v>
      </x:c>
      <x:c r="E8" s="1" t="n">
        <x:v>0</x:v>
      </x:c>
      <x:c r="F8" s="1" t="n">
        <x:v>27</x:v>
      </x:c>
      <x:c r="G8" s="1" t="n">
        <x:v>7</x:v>
      </x:c>
      <x:c r="H8" s="1" t="n">
        <x:v>2</x:v>
      </x:c>
      <x:c r="I8" s="1" t="n">
        <x:v>1</x:v>
      </x:c>
      <x:c r="J8" s="1" t="str">
        <x:v>yes</x:v>
      </x:c>
      <x:c r="K8" s="1" t="n">
        <x:f>2*H8+E8+IF(G8&gt;30,2,0)-IF(B8&gt;24,1,0)</x:f>
        <x:v>3</x:v>
      </x:c>
      <x:c r="L8" s="1" t="str">
        <x:f>IF(K8&gt;=3,"yes","no")</x:f>
        <x:v>yes</x:v>
      </x:c>
      <x:c r="M8" s="1"/>
      <x:c r="N8" s="1"/>
      <x:c r="O8" s="1"/>
    </x:row>
    <x:row r="9">
      <x:c r="A9" s="1" t="str">
        <x:v>S0008</x:v>
      </x:c>
      <x:c r="B9" s="1" t="n">
        <x:v>5</x:v>
      </x:c>
      <x:c r="C9" s="1" t="str">
        <x:v>premium</x:v>
      </x:c>
      <x:c r="D9" s="8" t="n">
        <x:v>15.99</x:v>
      </x:c>
      <x:c r="E9" s="1" t="n">
        <x:v>1</x:v>
      </x:c>
      <x:c r="F9" s="1" t="n">
        <x:v>26</x:v>
      </x:c>
      <x:c r="G9" s="1" t="n">
        <x:v>3</x:v>
      </x:c>
      <x:c r="H9" s="1" t="n">
        <x:v>2</x:v>
      </x:c>
      <x:c r="I9" s="1" t="n">
        <x:v>0</x:v>
      </x:c>
      <x:c r="J9" s="1" t="str">
        <x:v>yes</x:v>
      </x:c>
      <x:c r="K9" s="1" t="n">
        <x:f>2*H9+E9+IF(G9&gt;30,2,0)-IF(B9&gt;24,1,0)</x:f>
        <x:v>5</x:v>
      </x:c>
      <x:c r="L9" s="1" t="str">
        <x:f>IF(K9&gt;=3,"yes","no")</x:f>
        <x:v>yes</x:v>
      </x:c>
      <x:c r="M9" s="1"/>
      <x:c r="N9" s="1"/>
      <x:c r="O9" s="1"/>
    </x:row>
    <x:row r="10">
      <x:c r="A10" s="1" t="str">
        <x:v>S0009</x:v>
      </x:c>
      <x:c r="B10" s="1" t="n">
        <x:v>11</x:v>
      </x:c>
      <x:c r="C10" s="1" t="str">
        <x:v>premium</x:v>
      </x:c>
      <x:c r="D10" s="8" t="n">
        <x:v>15.99</x:v>
      </x:c>
      <x:c r="E10" s="1" t="n">
        <x:v>0</x:v>
      </x:c>
      <x:c r="F10" s="1" t="n">
        <x:v>11</x:v>
      </x:c>
      <x:c r="G10" s="1" t="n">
        <x:v>19</x:v>
      </x:c>
      <x:c r="H10" s="1" t="n">
        <x:v>0</x:v>
      </x:c>
      <x:c r="I10" s="1" t="n">
        <x:v>0</x:v>
      </x:c>
      <x:c r="J10" s="1" t="str">
        <x:v>no</x:v>
      </x:c>
      <x:c r="K10" s="1" t="n">
        <x:f>2*H10+E10+IF(G10&gt;30,2,0)-IF(B10&gt;24,1,0)</x:f>
        <x:v>0</x:v>
      </x:c>
      <x:c r="L10" s="1" t="str">
        <x:f>IF(K10&gt;=3,"yes","no")</x:f>
        <x:v>no</x:v>
      </x:c>
      <x:c r="M10" s="1"/>
      <x:c r="N10" s="1"/>
      <x:c r="O10" s="1"/>
    </x:row>
    <x:row r="11">
      <x:c r="A11" s="1" t="str">
        <x:v>S0010</x:v>
      </x:c>
      <x:c r="B11" s="1" t="n">
        <x:v>24</x:v>
      </x:c>
      <x:c r="C11" s="1" t="str">
        <x:v>basic</x:v>
      </x:c>
      <x:c r="D11" s="8" t="n">
        <x:v>9.99</x:v>
      </x:c>
      <x:c r="E11" s="1" t="n">
        <x:v>1</x:v>
      </x:c>
      <x:c r="F11" s="1" t="n">
        <x:v>0</x:v>
      </x:c>
      <x:c r="G11" s="1" t="n">
        <x:v>60</x:v>
      </x:c>
      <x:c r="H11" s="1" t="n">
        <x:v>2</x:v>
      </x:c>
      <x:c r="I11" s="1" t="n">
        <x:v>0</x:v>
      </x:c>
      <x:c r="J11" s="1" t="str">
        <x:v>yes</x:v>
      </x:c>
      <x:c r="K11" s="1" t="n">
        <x:f>2*H11+E11+IF(G11&gt;30,2,0)-IF(B11&gt;24,1,0)</x:f>
        <x:v>7</x:v>
      </x:c>
      <x:c r="L11" s="1" t="str">
        <x:f>IF(K11&gt;=3,"yes","no")</x:f>
        <x:v>yes</x:v>
      </x:c>
      <x:c r="M11" s="1"/>
      <x:c r="N11" s="1"/>
      <x:c r="O11" s="1"/>
    </x:row>
    <x:row r="12">
      <x:c r="A12" s="1" t="str">
        <x:v>S0011</x:v>
      </x:c>
      <x:c r="B12" s="1" t="n">
        <x:v>32</x:v>
      </x:c>
      <x:c r="C12" s="1" t="str">
        <x:v>premium</x:v>
      </x:c>
      <x:c r="D12" s="8" t="n">
        <x:v>15.99</x:v>
      </x:c>
      <x:c r="E12" s="1" t="n">
        <x:v>0</x:v>
      </x:c>
      <x:c r="F12" s="1" t="n">
        <x:v>17</x:v>
      </x:c>
      <x:c r="G12" s="1" t="n">
        <x:v>15</x:v>
      </x:c>
      <x:c r="H12" s="1" t="n">
        <x:v>0</x:v>
      </x:c>
      <x:c r="I12" s="1" t="n">
        <x:v>1</x:v>
      </x:c>
      <x:c r="J12" s="1" t="str">
        <x:v>no</x:v>
      </x:c>
      <x:c r="K12" s="1" t="n">
        <x:f>2*H12+E12+IF(G12&gt;30,2,0)-IF(B12&gt;24,1,0)</x:f>
        <x:v>-1</x:v>
      </x:c>
      <x:c r="L12" s="1" t="str">
        <x:f>IF(K12&gt;=3,"yes","no")</x:f>
        <x:v>no</x:v>
      </x:c>
      <x:c r="M12" s="1"/>
      <x:c r="N12" s="1"/>
      <x:c r="O12" s="1"/>
    </x:row>
    <x:row r="13">
      <x:c r="A13" s="1" t="str">
        <x:v>S0012</x:v>
      </x:c>
      <x:c r="B13" s="1" t="n">
        <x:v>31</x:v>
      </x:c>
      <x:c r="C13" s="1" t="str">
        <x:v>basic</x:v>
      </x:c>
      <x:c r="D13" s="8" t="n">
        <x:v>9.99</x:v>
      </x:c>
      <x:c r="E13" s="1" t="n">
        <x:v>2</x:v>
      </x:c>
      <x:c r="F13" s="1" t="n">
        <x:v>18</x:v>
      </x:c>
      <x:c r="G13" s="1" t="n">
        <x:v>0</x:v>
      </x:c>
      <x:c r="H13" s="1" t="n">
        <x:v>0</x:v>
      </x:c>
      <x:c r="I13" s="1" t="n">
        <x:v>0</x:v>
      </x:c>
      <x:c r="J13" s="1" t="str">
        <x:v>no</x:v>
      </x:c>
      <x:c r="K13" s="1" t="n">
        <x:f>2*H13+E13+IF(G13&gt;30,2,0)-IF(B13&gt;24,1,0)</x:f>
        <x:v>1</x:v>
      </x:c>
      <x:c r="L13" s="1" t="str">
        <x:f>IF(K13&gt;=3,"yes","no")</x:f>
        <x:v>no</x:v>
      </x:c>
      <x:c r="M13" s="1"/>
      <x:c r="N13" s="1"/>
      <x:c r="O13" s="1"/>
    </x:row>
    <x:row r="14">
      <x:c r="A14" s="1" t="str">
        <x:v>S0013</x:v>
      </x:c>
      <x:c r="B14" s="1" t="n">
        <x:v>10</x:v>
      </x:c>
      <x:c r="C14" s="1" t="str">
        <x:v>basic</x:v>
      </x:c>
      <x:c r="D14" s="8" t="n">
        <x:v>9.99</x:v>
      </x:c>
      <x:c r="E14" s="1" t="n">
        <x:v>1</x:v>
      </x:c>
      <x:c r="F14" s="1" t="n">
        <x:v>20</x:v>
      </x:c>
      <x:c r="G14" s="1" t="n">
        <x:v>7</x:v>
      </x:c>
      <x:c r="H14" s="1" t="n">
        <x:v>0</x:v>
      </x:c>
      <x:c r="I14" s="1" t="n">
        <x:v>1</x:v>
      </x:c>
      <x:c r="J14" s="1" t="str">
        <x:v>yes</x:v>
      </x:c>
      <x:c r="K14" s="1" t="n">
        <x:f>2*H14+E14+IF(G14&gt;30,2,0)-IF(B14&gt;24,1,0)</x:f>
        <x:v>1</x:v>
      </x:c>
      <x:c r="L14" s="1" t="str">
        <x:f>IF(K14&gt;=3,"yes","no")</x:f>
        <x:v>no</x:v>
      </x:c>
      <x:c r="M14" s="1"/>
      <x:c r="N14" s="1"/>
      <x:c r="O14" s="1"/>
    </x:row>
    <x:row r="15">
      <x:c r="A15" s="1" t="str">
        <x:v>S0014</x:v>
      </x:c>
      <x:c r="B15" s="1" t="n">
        <x:v>14</x:v>
      </x:c>
      <x:c r="C15" s="1" t="str">
        <x:v>basic</x:v>
      </x:c>
      <x:c r="D15" s="8" t="n">
        <x:v>9.99</x:v>
      </x:c>
      <x:c r="E15" s="1" t="n">
        <x:v>2</x:v>
      </x:c>
      <x:c r="F15" s="1" t="n">
        <x:v>7</x:v>
      </x:c>
      <x:c r="G15" s="1" t="n">
        <x:v>5</x:v>
      </x:c>
      <x:c r="H15" s="1" t="n">
        <x:v>0</x:v>
      </x:c>
      <x:c r="I15" s="1" t="n">
        <x:v>0</x:v>
      </x:c>
      <x:c r="J15" s="1" t="str">
        <x:v>yes</x:v>
      </x:c>
      <x:c r="K15" s="1" t="n">
        <x:f>2*H15+E15+IF(G15&gt;30,2,0)-IF(B15&gt;24,1,0)</x:f>
        <x:v>2</x:v>
      </x:c>
      <x:c r="L15" s="1" t="str">
        <x:f>IF(K15&gt;=3,"yes","no")</x:f>
        <x:v>no</x:v>
      </x:c>
      <x:c r="M15" s="1"/>
      <x:c r="N15" s="1"/>
      <x:c r="O15" s="1"/>
    </x:row>
    <x:row r="16">
      <x:c r="A16" s="1" t="str">
        <x:v>S0015</x:v>
      </x:c>
      <x:c r="B16" s="1" t="n">
        <x:v>47</x:v>
      </x:c>
      <x:c r="C16" s="1" t="str">
        <x:v>basic</x:v>
      </x:c>
      <x:c r="D16" s="8" t="n">
        <x:v>9.99</x:v>
      </x:c>
      <x:c r="E16" s="1" t="n">
        <x:v>0</x:v>
      </x:c>
      <x:c r="F16" s="1" t="n">
        <x:v>14</x:v>
      </x:c>
      <x:c r="G16" s="1" t="n">
        <x:v>2</x:v>
      </x:c>
      <x:c r="H16" s="1" t="n">
        <x:v>0</x:v>
      </x:c>
      <x:c r="I16" s="1" t="n">
        <x:v>0</x:v>
      </x:c>
      <x:c r="J16" s="1" t="str">
        <x:v>no</x:v>
      </x:c>
      <x:c r="K16" s="1" t="n">
        <x:f>2*H16+E16+IF(G16&gt;30,2,0)-IF(B16&gt;24,1,0)</x:f>
        <x:v>-1</x:v>
      </x:c>
      <x:c r="L16" s="1" t="str">
        <x:f>IF(K16&gt;=3,"yes","no")</x:f>
        <x:v>no</x:v>
      </x:c>
      <x:c r="M16" s="1"/>
      <x:c r="N16" s="1"/>
      <x:c r="O16" s="1"/>
    </x:row>
    <x:row r="17">
      <x:c r="A17" s="1" t="str">
        <x:v>S0016</x:v>
      </x:c>
      <x:c r="B17" s="1" t="n">
        <x:v>38</x:v>
      </x:c>
      <x:c r="C17" s="1" t="str">
        <x:v>basic</x:v>
      </x:c>
      <x:c r="D17" s="8" t="n">
        <x:v>9.99</x:v>
      </x:c>
      <x:c r="E17" s="1" t="n">
        <x:v>0</x:v>
      </x:c>
      <x:c r="F17" s="1" t="n">
        <x:v>15</x:v>
      </x:c>
      <x:c r="G17" s="1" t="n">
        <x:v>6</x:v>
      </x:c>
      <x:c r="H17" s="1" t="n">
        <x:v>0</x:v>
      </x:c>
      <x:c r="I17" s="1" t="n">
        <x:v>0</x:v>
      </x:c>
      <x:c r="J17" s="1" t="str">
        <x:v>no</x:v>
      </x:c>
      <x:c r="K17" s="1" t="n">
        <x:f>2*H17+E17+IF(G17&gt;30,2,0)-IF(B17&gt;24,1,0)</x:f>
        <x:v>-1</x:v>
      </x:c>
      <x:c r="L17" s="1" t="str">
        <x:f>IF(K17&gt;=3,"yes","no")</x:f>
        <x:v>no</x:v>
      </x:c>
      <x:c r="M17" s="1"/>
      <x:c r="N17" s="1"/>
      <x:c r="O17" s="1"/>
    </x:row>
    <x:row r="18">
      <x:c r="A18" s="1" t="str">
        <x:v>S0017</x:v>
      </x:c>
      <x:c r="B18" s="1" t="n">
        <x:v>8</x:v>
      </x:c>
      <x:c r="C18" s="1" t="str">
        <x:v>premium</x:v>
      </x:c>
      <x:c r="D18" s="8" t="n">
        <x:v>15.99</x:v>
      </x:c>
      <x:c r="E18" s="1" t="n">
        <x:v>0</x:v>
      </x:c>
      <x:c r="F18" s="1" t="n">
        <x:v>22</x:v>
      </x:c>
      <x:c r="G18" s="1" t="n">
        <x:v>4</x:v>
      </x:c>
      <x:c r="H18" s="1" t="n">
        <x:v>1</x:v>
      </x:c>
      <x:c r="I18" s="1" t="n">
        <x:v>0</x:v>
      </x:c>
      <x:c r="J18" s="1" t="str">
        <x:v>no</x:v>
      </x:c>
      <x:c r="K18" s="1" t="n">
        <x:f>2*H18+E18+IF(G18&gt;30,2,0)-IF(B18&gt;24,1,0)</x:f>
        <x:v>2</x:v>
      </x:c>
      <x:c r="L18" s="1" t="str">
        <x:f>IF(K18&gt;=3,"yes","no")</x:f>
        <x:v>no</x:v>
      </x:c>
      <x:c r="M18" s="1"/>
      <x:c r="N18" s="1"/>
      <x:c r="O18" s="1"/>
    </x:row>
    <x:row r="19">
      <x:c r="A19" s="1" t="str">
        <x:v>S0018</x:v>
      </x:c>
      <x:c r="B19" s="1" t="n">
        <x:v>25</x:v>
      </x:c>
      <x:c r="C19" s="1" t="str">
        <x:v>basic</x:v>
      </x:c>
      <x:c r="D19" s="8" t="n">
        <x:v>9.99</x:v>
      </x:c>
      <x:c r="E19" s="1" t="n">
        <x:v>1</x:v>
      </x:c>
      <x:c r="F19" s="1" t="n">
        <x:v>21</x:v>
      </x:c>
      <x:c r="G19" s="1" t="n">
        <x:v>0</x:v>
      </x:c>
      <x:c r="H19" s="1" t="n">
        <x:v>1</x:v>
      </x:c>
      <x:c r="I19" s="1" t="n">
        <x:v>1</x:v>
      </x:c>
      <x:c r="J19" s="1" t="str">
        <x:v>no</x:v>
      </x:c>
      <x:c r="K19" s="1" t="n">
        <x:f>2*H19+E19+IF(G19&gt;30,2,0)-IF(B19&gt;24,1,0)</x:f>
        <x:v>2</x:v>
      </x:c>
      <x:c r="L19" s="1" t="str">
        <x:f>IF(K19&gt;=3,"yes","no")</x:f>
        <x:v>no</x:v>
      </x:c>
      <x:c r="M19" s="1"/>
      <x:c r="N19" s="1"/>
      <x:c r="O19" s="1"/>
    </x:row>
    <x:row r="20">
      <x:c r="A20" s="1" t="str">
        <x:v>S0019</x:v>
      </x:c>
      <x:c r="B20" s="1" t="n">
        <x:v>5</x:v>
      </x:c>
      <x:c r="C20" s="1" t="str">
        <x:v>basic</x:v>
      </x:c>
      <x:c r="D20" s="8" t="n">
        <x:v>9.99</x:v>
      </x:c>
      <x:c r="E20" s="1" t="n">
        <x:v>2</x:v>
      </x:c>
      <x:c r="F20" s="1" t="n">
        <x:v>18</x:v>
      </x:c>
      <x:c r="G20" s="1" t="n">
        <x:v>2</x:v>
      </x:c>
      <x:c r="H20" s="1" t="n">
        <x:v>0</x:v>
      </x:c>
      <x:c r="I20" s="1" t="n">
        <x:v>0</x:v>
      </x:c>
      <x:c r="J20" s="1" t="str">
        <x:v>no</x:v>
      </x:c>
      <x:c r="K20" s="1" t="n">
        <x:f>2*H20+E20+IF(G20&gt;30,2,0)-IF(B20&gt;24,1,0)</x:f>
        <x:v>2</x:v>
      </x:c>
      <x:c r="L20" s="1" t="str">
        <x:f>IF(K20&gt;=3,"yes","no")</x:f>
        <x:v>no</x:v>
      </x:c>
      <x:c r="M20" s="1"/>
      <x:c r="N20" s="1"/>
      <x:c r="O20" s="1"/>
    </x:row>
    <x:row r="21">
      <x:c r="A21" s="1" t="str">
        <x:v>S0020</x:v>
      </x:c>
      <x:c r="B21" s="1" t="n">
        <x:v>16</x:v>
      </x:c>
      <x:c r="C21" s="1" t="str">
        <x:v>basic</x:v>
      </x:c>
      <x:c r="D21" s="8" t="n">
        <x:v>9.99</x:v>
      </x:c>
      <x:c r="E21" s="1" t="n">
        <x:v>0</x:v>
      </x:c>
      <x:c r="F21" s="1" t="n">
        <x:v>23</x:v>
      </x:c>
      <x:c r="G21" s="1" t="n">
        <x:v>4</x:v>
      </x:c>
      <x:c r="H21" s="1" t="n">
        <x:v>0</x:v>
      </x:c>
      <x:c r="I21" s="1" t="n">
        <x:v>0</x:v>
      </x:c>
      <x:c r="J21" s="1" t="str">
        <x:v>no</x:v>
      </x:c>
      <x:c r="K21" s="1" t="n">
        <x:f>2*H21+E21+IF(G21&gt;30,2,0)-IF(B21&gt;24,1,0)</x:f>
        <x:v>0</x:v>
      </x:c>
      <x:c r="L21" s="1" t="str">
        <x:f>IF(K21&gt;=3,"yes","no")</x:f>
        <x:v>no</x:v>
      </x:c>
      <x:c r="M21" s="1"/>
      <x:c r="N21" s="1"/>
      <x:c r="O21" s="1"/>
    </x:row>
    <x:row r="22">
      <x:c r="A22" s="1" t="str">
        <x:v>S0021</x:v>
      </x:c>
      <x:c r="B22" s="1" t="n">
        <x:v>20</x:v>
      </x:c>
      <x:c r="C22" s="1" t="str">
        <x:v>basic</x:v>
      </x:c>
      <x:c r="D22" s="8" t="n">
        <x:v>9.99</x:v>
      </x:c>
      <x:c r="E22" s="1" t="n">
        <x:v>1</x:v>
      </x:c>
      <x:c r="F22" s="1" t="n">
        <x:v>15</x:v>
      </x:c>
      <x:c r="G22" s="1" t="n">
        <x:v>10</x:v>
      </x:c>
      <x:c r="H22" s="1" t="n">
        <x:v>2</x:v>
      </x:c>
      <x:c r="I22" s="1" t="n">
        <x:v>0</x:v>
      </x:c>
      <x:c r="J22" s="1" t="str">
        <x:v>yes</x:v>
      </x:c>
      <x:c r="K22" s="1" t="n">
        <x:f>2*H22+E22+IF(G22&gt;30,2,0)-IF(B22&gt;24,1,0)</x:f>
        <x:v>5</x:v>
      </x:c>
      <x:c r="L22" s="1" t="str">
        <x:f>IF(K22&gt;=3,"yes","no")</x:f>
        <x:v>yes</x:v>
      </x:c>
      <x:c r="M22" s="1"/>
      <x:c r="N22" s="1"/>
      <x:c r="O22" s="1"/>
    </x:row>
    <x:row r="23">
      <x:c r="A23" s="1" t="str">
        <x:v>S0022</x:v>
      </x:c>
      <x:c r="B23" s="1" t="n">
        <x:v>43</x:v>
      </x:c>
      <x:c r="C23" s="1" t="str">
        <x:v>basic</x:v>
      </x:c>
      <x:c r="D23" s="8" t="n">
        <x:v>9.99</x:v>
      </x:c>
      <x:c r="E23" s="1" t="n">
        <x:v>0</x:v>
      </x:c>
      <x:c r="F23" s="1" t="n">
        <x:v>14</x:v>
      </x:c>
      <x:c r="G23" s="1" t="n">
        <x:v>28</x:v>
      </x:c>
      <x:c r="H23" s="1" t="n">
        <x:v>0</x:v>
      </x:c>
      <x:c r="I23" s="1" t="n">
        <x:v>0</x:v>
      </x:c>
      <x:c r="J23" s="1" t="str">
        <x:v>no</x:v>
      </x:c>
      <x:c r="K23" s="1" t="n">
        <x:f>2*H23+E23+IF(G23&gt;30,2,0)-IF(B23&gt;24,1,0)</x:f>
        <x:v>-1</x:v>
      </x:c>
      <x:c r="L23" s="1" t="str">
        <x:f>IF(K23&gt;=3,"yes","no")</x:f>
        <x:v>no</x:v>
      </x:c>
      <x:c r="M23" s="1"/>
      <x:c r="N23" s="1"/>
      <x:c r="O23" s="1"/>
    </x:row>
    <x:row r="24">
      <x:c r="A24" s="1" t="str">
        <x:v>S0023</x:v>
      </x:c>
      <x:c r="B24" s="1" t="n">
        <x:v>46</x:v>
      </x:c>
      <x:c r="C24" s="1" t="str">
        <x:v>basic</x:v>
      </x:c>
      <x:c r="D24" s="8" t="n">
        <x:v>9.99</x:v>
      </x:c>
      <x:c r="E24" s="1" t="n">
        <x:v>0</x:v>
      </x:c>
      <x:c r="F24" s="1" t="n">
        <x:v>1</x:v>
      </x:c>
      <x:c r="G24" s="1" t="n">
        <x:v>6</x:v>
      </x:c>
      <x:c r="H24" s="1" t="n">
        <x:v>0</x:v>
      </x:c>
      <x:c r="I24" s="1" t="n">
        <x:v>1</x:v>
      </x:c>
      <x:c r="J24" s="1" t="str">
        <x:v>no</x:v>
      </x:c>
      <x:c r="K24" s="1" t="n">
        <x:f>2*H24+E24+IF(G24&gt;30,2,0)-IF(B24&gt;24,1,0)</x:f>
        <x:v>-1</x:v>
      </x:c>
      <x:c r="L24" s="1" t="str">
        <x:f>IF(K24&gt;=3,"yes","no")</x:f>
        <x:v>no</x:v>
      </x:c>
      <x:c r="M24" s="1"/>
      <x:c r="N24" s="1"/>
      <x:c r="O24" s="1"/>
    </x:row>
    <x:row r="25">
      <x:c r="A25" s="1" t="str">
        <x:v>S0024</x:v>
      </x:c>
      <x:c r="B25" s="1" t="n">
        <x:v>18</x:v>
      </x:c>
      <x:c r="C25" s="1" t="str">
        <x:v>premium</x:v>
      </x:c>
      <x:c r="D25" s="8" t="n">
        <x:v>15.99</x:v>
      </x:c>
      <x:c r="E25" s="1" t="n">
        <x:v>1</x:v>
      </x:c>
      <x:c r="F25" s="1" t="n">
        <x:v>6</x:v>
      </x:c>
      <x:c r="G25" s="1" t="n">
        <x:v>21</x:v>
      </x:c>
      <x:c r="H25" s="1" t="n">
        <x:v>0</x:v>
      </x:c>
      <x:c r="I25" s="1" t="n">
        <x:v>0</x:v>
      </x:c>
      <x:c r="J25" s="1" t="str">
        <x:v>yes</x:v>
      </x:c>
      <x:c r="K25" s="1" t="n">
        <x:f>2*H25+E25+IF(G25&gt;30,2,0)-IF(B25&gt;24,1,0)</x:f>
        <x:v>1</x:v>
      </x:c>
      <x:c r="L25" s="1" t="str">
        <x:f>IF(K25&gt;=3,"yes","no")</x:f>
        <x:v>no</x:v>
      </x:c>
      <x:c r="M25" s="1"/>
      <x:c r="N25" s="1"/>
      <x:c r="O25" s="1"/>
    </x:row>
    <x:row r="26">
      <x:c r="A26" s="1" t="str">
        <x:v>S0025</x:v>
      </x:c>
      <x:c r="B26" s="1" t="n">
        <x:v>12</x:v>
      </x:c>
      <x:c r="C26" s="1" t="str">
        <x:v>basic</x:v>
      </x:c>
      <x:c r="D26" s="8" t="n">
        <x:v>9.99</x:v>
      </x:c>
      <x:c r="E26" s="1" t="n">
        <x:v>0</x:v>
      </x:c>
      <x:c r="F26" s="1" t="n">
        <x:v>14</x:v>
      </x:c>
      <x:c r="G26" s="1" t="n">
        <x:v>22</x:v>
      </x:c>
      <x:c r="H26" s="1" t="n">
        <x:v>0</x:v>
      </x:c>
      <x:c r="I26" s="1" t="n">
        <x:v>0</x:v>
      </x:c>
      <x:c r="J26" s="1" t="str">
        <x:v>no</x:v>
      </x:c>
      <x:c r="K26" s="1" t="n">
        <x:f>2*H26+E26+IF(G26&gt;30,2,0)-IF(B26&gt;24,1,0)</x:f>
        <x:v>0</x:v>
      </x:c>
      <x:c r="L26" s="1" t="str">
        <x:f>IF(K26&gt;=3,"yes","no")</x:f>
        <x:v>no</x:v>
      </x:c>
      <x:c r="M26" s="1"/>
      <x:c r="N26" s="1"/>
      <x:c r="O26" s="1"/>
    </x:row>
    <x:row r="27">
      <x:c r="A27" s="1" t="str">
        <x:v>S0026</x:v>
      </x:c>
      <x:c r="B27" s="1" t="n">
        <x:v>32</x:v>
      </x:c>
      <x:c r="C27" s="1" t="str">
        <x:v>basic</x:v>
      </x:c>
      <x:c r="D27" s="8" t="n">
        <x:v>9.99</x:v>
      </x:c>
      <x:c r="E27" s="1" t="n">
        <x:v>0</x:v>
      </x:c>
      <x:c r="F27" s="1" t="n">
        <x:v>0</x:v>
      </x:c>
      <x:c r="G27" s="1" t="n">
        <x:v>53</x:v>
      </x:c>
      <x:c r="H27" s="1" t="n">
        <x:v>0</x:v>
      </x:c>
      <x:c r="I27" s="1" t="n">
        <x:v>0</x:v>
      </x:c>
      <x:c r="J27" s="1" t="str">
        <x:v>yes</x:v>
      </x:c>
      <x:c r="K27" s="1" t="n">
        <x:f>2*H27+E27+IF(G27&gt;30,2,0)-IF(B27&gt;24,1,0)</x:f>
        <x:v>1</x:v>
      </x:c>
      <x:c r="L27" s="1" t="str">
        <x:f>IF(K27&gt;=3,"yes","no")</x:f>
        <x:v>no</x:v>
      </x:c>
      <x:c r="M27" s="1"/>
      <x:c r="N27" s="1"/>
      <x:c r="O27" s="1"/>
    </x:row>
    <x:row r="28">
      <x:c r="A28" s="1" t="str">
        <x:v>S0027</x:v>
      </x:c>
      <x:c r="B28" s="1" t="n">
        <x:v>26</x:v>
      </x:c>
      <x:c r="C28" s="1" t="str">
        <x:v>premium</x:v>
      </x:c>
      <x:c r="D28" s="8" t="n">
        <x:v>15.99</x:v>
      </x:c>
      <x:c r="E28" s="1" t="n">
        <x:v>0</x:v>
      </x:c>
      <x:c r="F28" s="1" t="n">
        <x:v>31</x:v>
      </x:c>
      <x:c r="G28" s="1" t="n">
        <x:v>2</x:v>
      </x:c>
      <x:c r="H28" s="1" t="n">
        <x:v>0</x:v>
      </x:c>
      <x:c r="I28" s="1" t="n">
        <x:v>0</x:v>
      </x:c>
      <x:c r="J28" s="1" t="str">
        <x:v>no</x:v>
      </x:c>
      <x:c r="K28" s="1" t="n">
        <x:f>2*H28+E28+IF(G28&gt;30,2,0)-IF(B28&gt;24,1,0)</x:f>
        <x:v>-1</x:v>
      </x:c>
      <x:c r="L28" s="1" t="str">
        <x:f>IF(K28&gt;=3,"yes","no")</x:f>
        <x:v>no</x:v>
      </x:c>
      <x:c r="M28" s="1"/>
      <x:c r="N28" s="1"/>
      <x:c r="O28" s="1"/>
    </x:row>
    <x:row r="29">
      <x:c r="A29" s="1" t="str">
        <x:v>S0028</x:v>
      </x:c>
      <x:c r="B29" s="1" t="n">
        <x:v>11</x:v>
      </x:c>
      <x:c r="C29" s="1" t="str">
        <x:v>premium</x:v>
      </x:c>
      <x:c r="D29" s="8" t="n">
        <x:v>15.99</x:v>
      </x:c>
      <x:c r="E29" s="1" t="n">
        <x:v>0</x:v>
      </x:c>
      <x:c r="F29" s="1" t="n">
        <x:v>8</x:v>
      </x:c>
      <x:c r="G29" s="1" t="n">
        <x:v>19</x:v>
      </x:c>
      <x:c r="H29" s="1" t="n">
        <x:v>0</x:v>
      </x:c>
      <x:c r="I29" s="1" t="n">
        <x:v>0</x:v>
      </x:c>
      <x:c r="J29" s="1" t="str">
        <x:v>no</x:v>
      </x:c>
      <x:c r="K29" s="1" t="n">
        <x:f>2*H29+E29+IF(G29&gt;30,2,0)-IF(B29&gt;24,1,0)</x:f>
        <x:v>0</x:v>
      </x:c>
      <x:c r="L29" s="1" t="str">
        <x:f>IF(K29&gt;=3,"yes","no")</x:f>
        <x:v>no</x:v>
      </x:c>
      <x:c r="M29" s="1"/>
      <x:c r="N29" s="1"/>
      <x:c r="O29" s="1"/>
    </x:row>
    <x:row r="30">
      <x:c r="A30" s="1" t="str">
        <x:v>S0029</x:v>
      </x:c>
      <x:c r="B30" s="1" t="n">
        <x:v>21</x:v>
      </x:c>
      <x:c r="C30" s="1" t="str">
        <x:v>premium</x:v>
      </x:c>
      <x:c r="D30" s="8" t="n">
        <x:v>15.99</x:v>
      </x:c>
      <x:c r="E30" s="1" t="n">
        <x:v>0</x:v>
      </x:c>
      <x:c r="F30" s="1" t="n">
        <x:v>16</x:v>
      </x:c>
      <x:c r="G30" s="1" t="n">
        <x:v>2</x:v>
      </x:c>
      <x:c r="H30" s="1" t="n">
        <x:v>0</x:v>
      </x:c>
      <x:c r="I30" s="1" t="n">
        <x:v>1</x:v>
      </x:c>
      <x:c r="J30" s="1" t="str">
        <x:v>no</x:v>
      </x:c>
      <x:c r="K30" s="1" t="n">
        <x:f>2*H30+E30+IF(G30&gt;30,2,0)-IF(B30&gt;24,1,0)</x:f>
        <x:v>0</x:v>
      </x:c>
      <x:c r="L30" s="1" t="str">
        <x:f>IF(K30&gt;=3,"yes","no")</x:f>
        <x:v>no</x:v>
      </x:c>
      <x:c r="M30" s="1"/>
      <x:c r="N30" s="1"/>
      <x:c r="O30" s="1"/>
    </x:row>
    <x:row r="31">
      <x:c r="A31" s="1" t="str">
        <x:v>S0030</x:v>
      </x:c>
      <x:c r="B31" s="1" t="n">
        <x:v>28</x:v>
      </x:c>
      <x:c r="C31" s="1" t="str">
        <x:v>basic</x:v>
      </x:c>
      <x:c r="D31" s="8" t="n">
        <x:v>9.99</x:v>
      </x:c>
      <x:c r="E31" s="1" t="n">
        <x:v>1</x:v>
      </x:c>
      <x:c r="F31" s="1" t="n">
        <x:v>4</x:v>
      </x:c>
      <x:c r="G31" s="1" t="n">
        <x:v>29</x:v>
      </x:c>
      <x:c r="H31" s="1" t="n">
        <x:v>0</x:v>
      </x:c>
      <x:c r="I31" s="1" t="n">
        <x:v>0</x:v>
      </x:c>
      <x:c r="J31" s="1" t="str">
        <x:v>yes</x:v>
      </x:c>
      <x:c r="K31" s="1" t="n">
        <x:f>2*H31+E31+IF(G31&gt;30,2,0)-IF(B31&gt;24,1,0)</x:f>
        <x:v>0</x:v>
      </x:c>
      <x:c r="L31" s="1" t="str">
        <x:f>IF(K31&gt;=3,"yes","no")</x:f>
        <x:v>no</x:v>
      </x:c>
      <x:c r="M31" s="1"/>
      <x:c r="N31" s="1"/>
      <x:c r="O31" s="1"/>
    </x:row>
    <x:row r="32">
      <x:c r="A32" s="1" t="str">
        <x:v>S0031</x:v>
      </x:c>
      <x:c r="B32" s="1" t="n">
        <x:v>14</x:v>
      </x:c>
      <x:c r="C32" s="1" t="str">
        <x:v>basic</x:v>
      </x:c>
      <x:c r="D32" s="8" t="n">
        <x:v>9.99</x:v>
      </x:c>
      <x:c r="E32" s="1" t="n">
        <x:v>0</x:v>
      </x:c>
      <x:c r="F32" s="1" t="n">
        <x:v>28</x:v>
      </x:c>
      <x:c r="G32" s="1" t="n">
        <x:v>5</x:v>
      </x:c>
      <x:c r="H32" s="1" t="n">
        <x:v>0</x:v>
      </x:c>
      <x:c r="I32" s="1" t="n">
        <x:v>0</x:v>
      </x:c>
      <x:c r="J32" s="1" t="str">
        <x:v>no</x:v>
      </x:c>
      <x:c r="K32" s="1" t="n">
        <x:f>2*H32+E32+IF(G32&gt;30,2,0)-IF(B32&gt;24,1,0)</x:f>
        <x:v>0</x:v>
      </x:c>
      <x:c r="L32" s="1" t="str">
        <x:f>IF(K32&gt;=3,"yes","no")</x:f>
        <x:v>no</x:v>
      </x:c>
      <x:c r="M32" s="1"/>
      <x:c r="N32" s="1"/>
      <x:c r="O32" s="1"/>
    </x:row>
    <x:row r="33">
      <x:c r="A33" s="1" t="str">
        <x:v>S0032</x:v>
      </x:c>
      <x:c r="B33" s="1" t="n">
        <x:v>35</x:v>
      </x:c>
      <x:c r="C33" s="1" t="str">
        <x:v>basic</x:v>
      </x:c>
      <x:c r="D33" s="8" t="n">
        <x:v>9.99</x:v>
      </x:c>
      <x:c r="E33" s="1" t="n">
        <x:v>0</x:v>
      </x:c>
      <x:c r="F33" s="1" t="n">
        <x:v>22</x:v>
      </x:c>
      <x:c r="G33" s="1" t="n">
        <x:v>4</x:v>
      </x:c>
      <x:c r="H33" s="1" t="n">
        <x:v>0</x:v>
      </x:c>
      <x:c r="I33" s="1" t="n">
        <x:v>0</x:v>
      </x:c>
      <x:c r="J33" s="1" t="str">
        <x:v>no</x:v>
      </x:c>
      <x:c r="K33" s="1" t="n">
        <x:f>2*H33+E33+IF(G33&gt;30,2,0)-IF(B33&gt;24,1,0)</x:f>
        <x:v>-1</x:v>
      </x:c>
      <x:c r="L33" s="1" t="str">
        <x:f>IF(K33&gt;=3,"yes","no")</x:f>
        <x:v>no</x:v>
      </x:c>
      <x:c r="M33" s="1"/>
      <x:c r="N33" s="1"/>
      <x:c r="O33" s="1"/>
    </x:row>
    <x:row r="34">
      <x:c r="A34" s="1" t="str">
        <x:v>S0033</x:v>
      </x:c>
      <x:c r="B34" s="1" t="n">
        <x:v>28</x:v>
      </x:c>
      <x:c r="C34" s="1" t="str">
        <x:v>premium</x:v>
      </x:c>
      <x:c r="D34" s="8" t="n">
        <x:v>15.99</x:v>
      </x:c>
      <x:c r="E34" s="1" t="n">
        <x:v>2</x:v>
      </x:c>
      <x:c r="F34" s="1" t="n">
        <x:v>15</x:v>
      </x:c>
      <x:c r="G34" s="1" t="n">
        <x:v>4</x:v>
      </x:c>
      <x:c r="H34" s="1" t="n">
        <x:v>0</x:v>
      </x:c>
      <x:c r="I34" s="1" t="n">
        <x:v>1</x:v>
      </x:c>
      <x:c r="J34" s="1" t="str">
        <x:v>no</x:v>
      </x:c>
      <x:c r="K34" s="1" t="n">
        <x:f>2*H34+E34+IF(G34&gt;30,2,0)-IF(B34&gt;24,1,0)</x:f>
        <x:v>1</x:v>
      </x:c>
      <x:c r="L34" s="1" t="str">
        <x:f>IF(K34&gt;=3,"yes","no")</x:f>
        <x:v>no</x:v>
      </x:c>
      <x:c r="M34" s="1"/>
      <x:c r="N34" s="1"/>
      <x:c r="O34" s="1"/>
    </x:row>
    <x:row r="35">
      <x:c r="A35" s="1" t="str">
        <x:v>S0034</x:v>
      </x:c>
      <x:c r="B35" s="1" t="n">
        <x:v>2</x:v>
      </x:c>
      <x:c r="C35" s="1" t="str">
        <x:v>premium</x:v>
      </x:c>
      <x:c r="D35" s="8" t="n">
        <x:v>15.99</x:v>
      </x:c>
      <x:c r="E35" s="1" t="n">
        <x:v>1</x:v>
      </x:c>
      <x:c r="F35" s="1" t="n">
        <x:v>9</x:v>
      </x:c>
      <x:c r="G35" s="1" t="n">
        <x:v>21</x:v>
      </x:c>
      <x:c r="H35" s="1" t="n">
        <x:v>2</x:v>
      </x:c>
      <x:c r="I35" s="1" t="n">
        <x:v>0</x:v>
      </x:c>
      <x:c r="J35" s="1" t="str">
        <x:v>yes</x:v>
      </x:c>
      <x:c r="K35" s="1" t="n">
        <x:f>2*H35+E35+IF(G35&gt;30,2,0)-IF(B35&gt;24,1,0)</x:f>
        <x:v>5</x:v>
      </x:c>
      <x:c r="L35" s="1" t="str">
        <x:f>IF(K35&gt;=3,"yes","no")</x:f>
        <x:v>yes</x:v>
      </x:c>
      <x:c r="M35" s="1"/>
      <x:c r="N35" s="1"/>
      <x:c r="O35" s="1"/>
    </x:row>
    <x:row r="36">
      <x:c r="A36" s="1" t="str">
        <x:v>S0035</x:v>
      </x:c>
      <x:c r="B36" s="1" t="n">
        <x:v>32</x:v>
      </x:c>
      <x:c r="C36" s="1" t="str">
        <x:v>premium</x:v>
      </x:c>
      <x:c r="D36" s="8" t="n">
        <x:v>15.99</x:v>
      </x:c>
      <x:c r="E36" s="1" t="n">
        <x:v>1</x:v>
      </x:c>
      <x:c r="F36" s="1" t="n">
        <x:v>7</x:v>
      </x:c>
      <x:c r="G36" s="1" t="n">
        <x:v>23</x:v>
      </x:c>
      <x:c r="H36" s="1" t="n">
        <x:v>0</x:v>
      </x:c>
      <x:c r="I36" s="1" t="n">
        <x:v>0</x:v>
      </x:c>
      <x:c r="J36" s="1" t="str">
        <x:v>no</x:v>
      </x:c>
      <x:c r="K36" s="1" t="n">
        <x:f>2*H36+E36+IF(G36&gt;30,2,0)-IF(B36&gt;24,1,0)</x:f>
        <x:v>0</x:v>
      </x:c>
      <x:c r="L36" s="1" t="str">
        <x:f>IF(K36&gt;=3,"yes","no")</x:f>
        <x:v>no</x:v>
      </x:c>
      <x:c r="M36" s="1"/>
      <x:c r="N36" s="1"/>
      <x:c r="O36" s="1"/>
    </x:row>
    <x:row r="37">
      <x:c r="A37" s="1" t="str">
        <x:v>S0036</x:v>
      </x:c>
      <x:c r="B37" s="1" t="n">
        <x:v>1</x:v>
      </x:c>
      <x:c r="C37" s="1" t="str">
        <x:v>basic</x:v>
      </x:c>
      <x:c r="D37" s="8" t="n">
        <x:v>9.99</x:v>
      </x:c>
      <x:c r="E37" s="1" t="n">
        <x:v>1</x:v>
      </x:c>
      <x:c r="F37" s="1" t="n">
        <x:v>14</x:v>
      </x:c>
      <x:c r="G37" s="1" t="n">
        <x:v>24</x:v>
      </x:c>
      <x:c r="H37" s="1" t="n">
        <x:v>0</x:v>
      </x:c>
      <x:c r="I37" s="1" t="n">
        <x:v>0</x:v>
      </x:c>
      <x:c r="J37" s="1" t="str">
        <x:v>yes</x:v>
      </x:c>
      <x:c r="K37" s="1" t="n">
        <x:f>2*H37+E37+IF(G37&gt;30,2,0)-IF(B37&gt;24,1,0)</x:f>
        <x:v>1</x:v>
      </x:c>
      <x:c r="L37" s="1" t="str">
        <x:f>IF(K37&gt;=3,"yes","no")</x:f>
        <x:v>no</x:v>
      </x:c>
      <x:c r="M37" s="1"/>
      <x:c r="N37" s="1"/>
      <x:c r="O37" s="1"/>
    </x:row>
    <x:row r="38">
      <x:c r="A38" s="1" t="str">
        <x:v>S0037</x:v>
      </x:c>
      <x:c r="B38" s="1" t="n">
        <x:v>11</x:v>
      </x:c>
      <x:c r="C38" s="1" t="str">
        <x:v>basic</x:v>
      </x:c>
      <x:c r="D38" s="8" t="n">
        <x:v>9.99</x:v>
      </x:c>
      <x:c r="E38" s="1" t="n">
        <x:v>1</x:v>
      </x:c>
      <x:c r="F38" s="1" t="n">
        <x:v>9</x:v>
      </x:c>
      <x:c r="G38" s="1" t="n">
        <x:v>29</x:v>
      </x:c>
      <x:c r="H38" s="1" t="n">
        <x:v>1</x:v>
      </x:c>
      <x:c r="I38" s="1" t="n">
        <x:v>0</x:v>
      </x:c>
      <x:c r="J38" s="1" t="str">
        <x:v>yes</x:v>
      </x:c>
      <x:c r="K38" s="1" t="n">
        <x:f>2*H38+E38+IF(G38&gt;30,2,0)-IF(B38&gt;24,1,0)</x:f>
        <x:v>3</x:v>
      </x:c>
      <x:c r="L38" s="1" t="str">
        <x:f>IF(K38&gt;=3,"yes","no")</x:f>
        <x:v>yes</x:v>
      </x:c>
      <x:c r="M38" s="1"/>
      <x:c r="N38" s="1"/>
      <x:c r="O38" s="1"/>
    </x:row>
    <x:row r="39">
      <x:c r="A39" s="1" t="str">
        <x:v>S0038</x:v>
      </x:c>
      <x:c r="B39" s="1" t="n">
        <x:v>45</x:v>
      </x:c>
      <x:c r="C39" s="1" t="str">
        <x:v>basic</x:v>
      </x:c>
      <x:c r="D39" s="8" t="n">
        <x:v>9.99</x:v>
      </x:c>
      <x:c r="E39" s="1" t="n">
        <x:v>1</x:v>
      </x:c>
      <x:c r="F39" s="1" t="n">
        <x:v>19</x:v>
      </x:c>
      <x:c r="G39" s="1" t="n">
        <x:v>10</x:v>
      </x:c>
      <x:c r="H39" s="1" t="n">
        <x:v>0</x:v>
      </x:c>
      <x:c r="I39" s="1" t="n">
        <x:v>0</x:v>
      </x:c>
      <x:c r="J39" s="1" t="str">
        <x:v>no</x:v>
      </x:c>
      <x:c r="K39" s="1" t="n">
        <x:f>2*H39+E39+IF(G39&gt;30,2,0)-IF(B39&gt;24,1,0)</x:f>
        <x:v>0</x:v>
      </x:c>
      <x:c r="L39" s="1" t="str">
        <x:f>IF(K39&gt;=3,"yes","no")</x:f>
        <x:v>no</x:v>
      </x:c>
      <x:c r="M39" s="1"/>
      <x:c r="N39" s="1"/>
      <x:c r="O39" s="1"/>
    </x:row>
    <x:row r="40">
      <x:c r="A40" s="1" t="str">
        <x:v>S0039</x:v>
      </x:c>
      <x:c r="B40" s="1" t="n">
        <x:v>39</x:v>
      </x:c>
      <x:c r="C40" s="1" t="str">
        <x:v>premium</x:v>
      </x:c>
      <x:c r="D40" s="8" t="n">
        <x:v>15.99</x:v>
      </x:c>
      <x:c r="E40" s="1" t="n">
        <x:v>1</x:v>
      </x:c>
      <x:c r="F40" s="1" t="n">
        <x:v>7</x:v>
      </x:c>
      <x:c r="G40" s="1" t="n">
        <x:v>2</x:v>
      </x:c>
      <x:c r="H40" s="1" t="n">
        <x:v>0</x:v>
      </x:c>
      <x:c r="I40" s="1" t="n">
        <x:v>0</x:v>
      </x:c>
      <x:c r="J40" s="1" t="str">
        <x:v>no</x:v>
      </x:c>
      <x:c r="K40" s="1" t="n">
        <x:f>2*H40+E40+IF(G40&gt;30,2,0)-IF(B40&gt;24,1,0)</x:f>
        <x:v>0</x:v>
      </x:c>
      <x:c r="L40" s="1" t="str">
        <x:f>IF(K40&gt;=3,"yes","no")</x:f>
        <x:v>no</x:v>
      </x:c>
      <x:c r="M40" s="1"/>
      <x:c r="N40" s="1"/>
      <x:c r="O40" s="1"/>
    </x:row>
    <x:row r="41">
      <x:c r="A41" s="1" t="str">
        <x:v>S0040</x:v>
      </x:c>
      <x:c r="B41" s="1" t="n">
        <x:v>44</x:v>
      </x:c>
      <x:c r="C41" s="1" t="str">
        <x:v>basic</x:v>
      </x:c>
      <x:c r="D41" s="8" t="n">
        <x:v>9.99</x:v>
      </x:c>
      <x:c r="E41" s="1" t="n">
        <x:v>0</x:v>
      </x:c>
      <x:c r="F41" s="1" t="n">
        <x:v>23</x:v>
      </x:c>
      <x:c r="G41" s="1" t="n">
        <x:v>1</x:v>
      </x:c>
      <x:c r="H41" s="1" t="n">
        <x:v>0</x:v>
      </x:c>
      <x:c r="I41" s="1" t="n">
        <x:v>0</x:v>
      </x:c>
      <x:c r="J41" s="1" t="str">
        <x:v>no</x:v>
      </x:c>
      <x:c r="K41" s="1" t="n">
        <x:f>2*H41+E41+IF(G41&gt;30,2,0)-IF(B41&gt;24,1,0)</x:f>
        <x:v>-1</x:v>
      </x:c>
      <x:c r="L41" s="1" t="str">
        <x:f>IF(K41&gt;=3,"yes","no")</x:f>
        <x:v>no</x:v>
      </x:c>
      <x:c r="M41" s="1"/>
      <x:c r="N41" s="1"/>
      <x:c r="O41" s="1"/>
    </x:row>
    <x:row r="42">
      <x:c r="A42" s="1" t="str">
        <x:v>S0041</x:v>
      </x:c>
      <x:c r="B42" s="1" t="n">
        <x:v>23</x:v>
      </x:c>
      <x:c r="C42" s="1" t="str">
        <x:v>basic</x:v>
      </x:c>
      <x:c r="D42" s="8" t="n">
        <x:v>9.99</x:v>
      </x:c>
      <x:c r="E42" s="1" t="n">
        <x:v>1</x:v>
      </x:c>
      <x:c r="F42" s="1" t="n">
        <x:v>19</x:v>
      </x:c>
      <x:c r="G42" s="1" t="n">
        <x:v>20</x:v>
      </x:c>
      <x:c r="H42" s="1" t="n">
        <x:v>0</x:v>
      </x:c>
      <x:c r="I42" s="1" t="n">
        <x:v>1</x:v>
      </x:c>
      <x:c r="J42" s="1" t="str">
        <x:v>no</x:v>
      </x:c>
      <x:c r="K42" s="1" t="n">
        <x:f>2*H42+E42+IF(G42&gt;30,2,0)-IF(B42&gt;24,1,0)</x:f>
        <x:v>1</x:v>
      </x:c>
      <x:c r="L42" s="1" t="str">
        <x:f>IF(K42&gt;=3,"yes","no")</x:f>
        <x:v>no</x:v>
      </x:c>
      <x:c r="M42" s="1"/>
      <x:c r="N42" s="1"/>
      <x:c r="O42" s="1"/>
    </x:row>
    <x:row r="43">
      <x:c r="A43" s="1" t="str">
        <x:v>S0042</x:v>
      </x:c>
      <x:c r="B43" s="1" t="n">
        <x:v>33</x:v>
      </x:c>
      <x:c r="C43" s="1" t="str">
        <x:v>premium</x:v>
      </x:c>
      <x:c r="D43" s="8" t="n">
        <x:v>15.99</x:v>
      </x:c>
      <x:c r="E43" s="1" t="n">
        <x:v>0</x:v>
      </x:c>
      <x:c r="F43" s="1" t="n">
        <x:v>35</x:v>
      </x:c>
      <x:c r="G43" s="1" t="n">
        <x:v>7</x:v>
      </x:c>
      <x:c r="H43" s="1" t="n">
        <x:v>0</x:v>
      </x:c>
      <x:c r="I43" s="1" t="n">
        <x:v>0</x:v>
      </x:c>
      <x:c r="J43" s="1" t="str">
        <x:v>no</x:v>
      </x:c>
      <x:c r="K43" s="1" t="n">
        <x:f>2*H43+E43+IF(G43&gt;30,2,0)-IF(B43&gt;24,1,0)</x:f>
        <x:v>-1</x:v>
      </x:c>
      <x:c r="L43" s="1" t="str">
        <x:f>IF(K43&gt;=3,"yes","no")</x:f>
        <x:v>no</x:v>
      </x:c>
      <x:c r="M43" s="1"/>
      <x:c r="N43" s="1"/>
      <x:c r="O43" s="1"/>
    </x:row>
    <x:row r="44">
      <x:c r="A44" s="1" t="str">
        <x:v>S0043</x:v>
      </x:c>
      <x:c r="B44" s="1" t="n">
        <x:v>43</x:v>
      </x:c>
      <x:c r="C44" s="1" t="str">
        <x:v>basic</x:v>
      </x:c>
      <x:c r="D44" s="8" t="n">
        <x:v>9.99</x:v>
      </x:c>
      <x:c r="E44" s="1" t="n">
        <x:v>1</x:v>
      </x:c>
      <x:c r="F44" s="1" t="n">
        <x:v>22</x:v>
      </x:c>
      <x:c r="G44" s="1" t="n">
        <x:v>21</x:v>
      </x:c>
      <x:c r="H44" s="1" t="n">
        <x:v>0</x:v>
      </x:c>
      <x:c r="I44" s="1" t="n">
        <x:v>0</x:v>
      </x:c>
      <x:c r="J44" s="1" t="str">
        <x:v>no</x:v>
      </x:c>
      <x:c r="K44" s="1" t="n">
        <x:f>2*H44+E44+IF(G44&gt;30,2,0)-IF(B44&gt;24,1,0)</x:f>
        <x:v>0</x:v>
      </x:c>
      <x:c r="L44" s="1" t="str">
        <x:f>IF(K44&gt;=3,"yes","no")</x:f>
        <x:v>no</x:v>
      </x:c>
      <x:c r="M44" s="1"/>
      <x:c r="N44" s="1"/>
      <x:c r="O44" s="1"/>
    </x:row>
    <x:row r="45">
      <x:c r="A45" s="1" t="str">
        <x:v>S0044</x:v>
      </x:c>
      <x:c r="B45" s="1" t="n">
        <x:v>34</x:v>
      </x:c>
      <x:c r="C45" s="1" t="str">
        <x:v>basic</x:v>
      </x:c>
      <x:c r="D45" s="8" t="n">
        <x:v>9.99</x:v>
      </x:c>
      <x:c r="E45" s="1" t="n">
        <x:v>3</x:v>
      </x:c>
      <x:c r="F45" s="1" t="n">
        <x:v>18</x:v>
      </x:c>
      <x:c r="G45" s="1" t="n">
        <x:v>4</x:v>
      </x:c>
      <x:c r="H45" s="1" t="n">
        <x:v>0</x:v>
      </x:c>
      <x:c r="I45" s="1" t="n">
        <x:v>1</x:v>
      </x:c>
      <x:c r="J45" s="1" t="str">
        <x:v>no</x:v>
      </x:c>
      <x:c r="K45" s="1" t="n">
        <x:f>2*H45+E45+IF(G45&gt;30,2,0)-IF(B45&gt;24,1,0)</x:f>
        <x:v>2</x:v>
      </x:c>
      <x:c r="L45" s="1" t="str">
        <x:f>IF(K45&gt;=3,"yes","no")</x:f>
        <x:v>no</x:v>
      </x:c>
      <x:c r="M45" s="1"/>
      <x:c r="N45" s="1"/>
      <x:c r="O45" s="1"/>
    </x:row>
    <x:row r="46">
      <x:c r="A46" s="1" t="str">
        <x:v>S0045</x:v>
      </x:c>
      <x:c r="B46" s="1" t="n">
        <x:v>13</x:v>
      </x:c>
      <x:c r="C46" s="1" t="str">
        <x:v>premium</x:v>
      </x:c>
      <x:c r="D46" s="8" t="n">
        <x:v>15.99</x:v>
      </x:c>
      <x:c r="E46" s="1" t="n">
        <x:v>0</x:v>
      </x:c>
      <x:c r="F46" s="1" t="n">
        <x:v>15</x:v>
      </x:c>
      <x:c r="G46" s="1" t="n">
        <x:v>2</x:v>
      </x:c>
      <x:c r="H46" s="1" t="n">
        <x:v>0</x:v>
      </x:c>
      <x:c r="I46" s="1" t="n">
        <x:v>1</x:v>
      </x:c>
      <x:c r="J46" s="1" t="str">
        <x:v>no</x:v>
      </x:c>
      <x:c r="K46" s="1" t="n">
        <x:f>2*H46+E46+IF(G46&gt;30,2,0)-IF(B46&gt;24,1,0)</x:f>
        <x:v>0</x:v>
      </x:c>
      <x:c r="L46" s="1" t="str">
        <x:f>IF(K46&gt;=3,"yes","no")</x:f>
        <x:v>no</x:v>
      </x:c>
      <x:c r="M46" s="1"/>
      <x:c r="N46" s="1"/>
      <x:c r="O46" s="1"/>
    </x:row>
    <x:row r="47">
      <x:c r="A47" s="1" t="str">
        <x:v>S0046</x:v>
      </x:c>
      <x:c r="B47" s="1" t="n">
        <x:v>22</x:v>
      </x:c>
      <x:c r="C47" s="1" t="str">
        <x:v>premium</x:v>
      </x:c>
      <x:c r="D47" s="8" t="n">
        <x:v>15.99</x:v>
      </x:c>
      <x:c r="E47" s="1" t="n">
        <x:v>0</x:v>
      </x:c>
      <x:c r="F47" s="1" t="n">
        <x:v>20</x:v>
      </x:c>
      <x:c r="G47" s="1" t="n">
        <x:v>4</x:v>
      </x:c>
      <x:c r="H47" s="1" t="n">
        <x:v>0</x:v>
      </x:c>
      <x:c r="I47" s="1" t="n">
        <x:v>0</x:v>
      </x:c>
      <x:c r="J47" s="1" t="str">
        <x:v>no</x:v>
      </x:c>
      <x:c r="K47" s="1" t="n">
        <x:f>2*H47+E47+IF(G47&gt;30,2,0)-IF(B47&gt;24,1,0)</x:f>
        <x:v>0</x:v>
      </x:c>
      <x:c r="L47" s="1" t="str">
        <x:f>IF(K47&gt;=3,"yes","no")</x:f>
        <x:v>no</x:v>
      </x:c>
      <x:c r="M47" s="1"/>
      <x:c r="N47" s="1"/>
      <x:c r="O47" s="1"/>
    </x:row>
    <x:row r="48">
      <x:c r="A48" s="1" t="str">
        <x:v>S0047</x:v>
      </x:c>
      <x:c r="B48" s="1" t="n">
        <x:v>1</x:v>
      </x:c>
      <x:c r="C48" s="1" t="str">
        <x:v>premium</x:v>
      </x:c>
      <x:c r="D48" s="8" t="n">
        <x:v>15.99</x:v>
      </x:c>
      <x:c r="E48" s="1" t="n">
        <x:v>2</x:v>
      </x:c>
      <x:c r="F48" s="1" t="n">
        <x:v>0</x:v>
      </x:c>
      <x:c r="G48" s="1" t="n">
        <x:v>57</x:v>
      </x:c>
      <x:c r="H48" s="1" t="n">
        <x:v>0</x:v>
      </x:c>
      <x:c r="I48" s="1" t="n">
        <x:v>0</x:v>
      </x:c>
      <x:c r="J48" s="1" t="str">
        <x:v>yes</x:v>
      </x:c>
      <x:c r="K48" s="1" t="n">
        <x:f>2*H48+E48+IF(G48&gt;30,2,0)-IF(B48&gt;24,1,0)</x:f>
        <x:v>4</x:v>
      </x:c>
      <x:c r="L48" s="1" t="str">
        <x:f>IF(K48&gt;=3,"yes","no")</x:f>
        <x:v>yes</x:v>
      </x:c>
      <x:c r="M48" s="1"/>
      <x:c r="N48" s="1"/>
      <x:c r="O48" s="1"/>
    </x:row>
    <x:row r="49">
      <x:c r="A49" s="1" t="str">
        <x:v>S0048</x:v>
      </x:c>
      <x:c r="B49" s="1" t="n">
        <x:v>36</x:v>
      </x:c>
      <x:c r="C49" s="1" t="str">
        <x:v>basic</x:v>
      </x:c>
      <x:c r="D49" s="8" t="n">
        <x:v>9.99</x:v>
      </x:c>
      <x:c r="E49" s="1" t="n">
        <x:v>1</x:v>
      </x:c>
      <x:c r="F49" s="1" t="n">
        <x:v>4</x:v>
      </x:c>
      <x:c r="G49" s="1" t="n">
        <x:v>19</x:v>
      </x:c>
      <x:c r="H49" s="1" t="n">
        <x:v>0</x:v>
      </x:c>
      <x:c r="I49" s="1" t="n">
        <x:v>1</x:v>
      </x:c>
      <x:c r="J49" s="1" t="str">
        <x:v>no</x:v>
      </x:c>
      <x:c r="K49" s="1" t="n">
        <x:f>2*H49+E49+IF(G49&gt;30,2,0)-IF(B49&gt;24,1,0)</x:f>
        <x:v>0</x:v>
      </x:c>
      <x:c r="L49" s="1" t="str">
        <x:f>IF(K49&gt;=3,"yes","no")</x:f>
        <x:v>no</x:v>
      </x:c>
      <x:c r="M49" s="1"/>
      <x:c r="N49" s="1"/>
      <x:c r="O49" s="1"/>
    </x:row>
    <x:row r="50">
      <x:c r="A50" s="1" t="str">
        <x:v>S0049</x:v>
      </x:c>
      <x:c r="B50" s="1" t="n">
        <x:v>45</x:v>
      </x:c>
      <x:c r="C50" s="1" t="str">
        <x:v>basic</x:v>
      </x:c>
      <x:c r="D50" s="8" t="n">
        <x:v>9.99</x:v>
      </x:c>
      <x:c r="E50" s="1" t="n">
        <x:v>2</x:v>
      </x:c>
      <x:c r="F50" s="1" t="n">
        <x:v>21</x:v>
      </x:c>
      <x:c r="G50" s="1" t="n">
        <x:v>1</x:v>
      </x:c>
      <x:c r="H50" s="1" t="n">
        <x:v>0</x:v>
      </x:c>
      <x:c r="I50" s="1" t="n">
        <x:v>0</x:v>
      </x:c>
      <x:c r="J50" s="1" t="str">
        <x:v>no</x:v>
      </x:c>
      <x:c r="K50" s="1" t="n">
        <x:f>2*H50+E50+IF(G50&gt;30,2,0)-IF(B50&gt;24,1,0)</x:f>
        <x:v>1</x:v>
      </x:c>
      <x:c r="L50" s="1" t="str">
        <x:f>IF(K50&gt;=3,"yes","no")</x:f>
        <x:v>no</x:v>
      </x:c>
      <x:c r="M50" s="1"/>
      <x:c r="N50" s="1"/>
      <x:c r="O50" s="1"/>
    </x:row>
    <x:row r="51">
      <x:c r="A51" s="1" t="str">
        <x:v>S0050</x:v>
      </x:c>
      <x:c r="B51" s="1" t="n">
        <x:v>13</x:v>
      </x:c>
      <x:c r="C51" s="1" t="str">
        <x:v>premium</x:v>
      </x:c>
      <x:c r="D51" s="8" t="n">
        <x:v>15.99</x:v>
      </x:c>
      <x:c r="E51" s="1" t="n">
        <x:v>2</x:v>
      </x:c>
      <x:c r="F51" s="1" t="n">
        <x:v>21</x:v>
      </x:c>
      <x:c r="G51" s="1" t="n">
        <x:v>17</x:v>
      </x:c>
      <x:c r="H51" s="1" t="n">
        <x:v>0</x:v>
      </x:c>
      <x:c r="I51" s="1" t="n">
        <x:v>0</x:v>
      </x:c>
      <x:c r="J51" s="1" t="str">
        <x:v>no</x:v>
      </x:c>
      <x:c r="K51" s="1" t="n">
        <x:f>2*H51+E51+IF(G51&gt;30,2,0)-IF(B51&gt;24,1,0)</x:f>
        <x:v>2</x:v>
      </x:c>
      <x:c r="L51" s="1" t="str">
        <x:f>IF(K51&gt;=3,"yes","no")</x:f>
        <x:v>no</x:v>
      </x:c>
      <x:c r="M51" s="1"/>
      <x:c r="N51" s="1"/>
      <x:c r="O51" s="1"/>
    </x:row>
    <x:row r="52">
      <x:c r="A52" s="1" t="str">
        <x:v>S0051</x:v>
      </x:c>
      <x:c r="B52" s="1" t="n">
        <x:v>33</x:v>
      </x:c>
      <x:c r="C52" s="1" t="str">
        <x:v>basic</x:v>
      </x:c>
      <x:c r="D52" s="8" t="n">
        <x:v>9.99</x:v>
      </x:c>
      <x:c r="E52" s="1" t="n">
        <x:v>0</x:v>
      </x:c>
      <x:c r="F52" s="1" t="n">
        <x:v>25</x:v>
      </x:c>
      <x:c r="G52" s="1" t="n">
        <x:v>14</x:v>
      </x:c>
      <x:c r="H52" s="1" t="n">
        <x:v>0</x:v>
      </x:c>
      <x:c r="I52" s="1" t="n">
        <x:v>0</x:v>
      </x:c>
      <x:c r="J52" s="1" t="str">
        <x:v>yes</x:v>
      </x:c>
      <x:c r="K52" s="1" t="n">
        <x:f>2*H52+E52+IF(G52&gt;30,2,0)-IF(B52&gt;24,1,0)</x:f>
        <x:v>-1</x:v>
      </x:c>
      <x:c r="L52" s="1" t="str">
        <x:f>IF(K52&gt;=3,"yes","no")</x:f>
        <x:v>no</x:v>
      </x:c>
      <x:c r="M52" s="1"/>
      <x:c r="N52" s="1"/>
      <x:c r="O52" s="1"/>
    </x:row>
    <x:row r="53">
      <x:c r="A53" s="1" t="str">
        <x:v>S0052</x:v>
      </x:c>
      <x:c r="B53" s="1" t="n">
        <x:v>10</x:v>
      </x:c>
      <x:c r="C53" s="1" t="str">
        <x:v>basic</x:v>
      </x:c>
      <x:c r="D53" s="8" t="n">
        <x:v>9.99</x:v>
      </x:c>
      <x:c r="E53" s="1" t="n">
        <x:v>0</x:v>
      </x:c>
      <x:c r="F53" s="1" t="n">
        <x:v>10</x:v>
      </x:c>
      <x:c r="G53" s="1" t="n">
        <x:v>9</x:v>
      </x:c>
      <x:c r="H53" s="1" t="n">
        <x:v>2</x:v>
      </x:c>
      <x:c r="I53" s="1" t="n">
        <x:v>0</x:v>
      </x:c>
      <x:c r="J53" s="1" t="str">
        <x:v>no</x:v>
      </x:c>
      <x:c r="K53" s="1" t="n">
        <x:f>2*H53+E53+IF(G53&gt;30,2,0)-IF(B53&gt;24,1,0)</x:f>
        <x:v>4</x:v>
      </x:c>
      <x:c r="L53" s="1" t="str">
        <x:f>IF(K53&gt;=3,"yes","no")</x:f>
        <x:v>yes</x:v>
      </x:c>
      <x:c r="M53" s="1"/>
      <x:c r="N53" s="1"/>
      <x:c r="O53" s="1"/>
    </x:row>
    <x:row r="54">
      <x:c r="A54" s="1" t="str">
        <x:v>S0053</x:v>
      </x:c>
      <x:c r="B54" s="1" t="n">
        <x:v>29</x:v>
      </x:c>
      <x:c r="C54" s="1" t="str">
        <x:v>basic</x:v>
      </x:c>
      <x:c r="D54" s="8" t="n">
        <x:v>9.99</x:v>
      </x:c>
      <x:c r="E54" s="1" t="n">
        <x:v>1</x:v>
      </x:c>
      <x:c r="F54" s="1" t="n">
        <x:v>14</x:v>
      </x:c>
      <x:c r="G54" s="1" t="n">
        <x:v>5</x:v>
      </x:c>
      <x:c r="H54" s="1" t="n">
        <x:v>1</x:v>
      </x:c>
      <x:c r="I54" s="1" t="n">
        <x:v>0</x:v>
      </x:c>
      <x:c r="J54" s="1" t="str">
        <x:v>no</x:v>
      </x:c>
      <x:c r="K54" s="1" t="n">
        <x:f>2*H54+E54+IF(G54&gt;30,2,0)-IF(B54&gt;24,1,0)</x:f>
        <x:v>2</x:v>
      </x:c>
      <x:c r="L54" s="1" t="str">
        <x:f>IF(K54&gt;=3,"yes","no")</x:f>
        <x:v>no</x:v>
      </x:c>
      <x:c r="M54" s="1"/>
      <x:c r="N54" s="1"/>
      <x:c r="O54" s="1"/>
    </x:row>
    <x:row r="55">
      <x:c r="A55" s="1" t="str">
        <x:v>S0054</x:v>
      </x:c>
      <x:c r="B55" s="1" t="n">
        <x:v>29</x:v>
      </x:c>
      <x:c r="C55" s="1" t="str">
        <x:v>premium</x:v>
      </x:c>
      <x:c r="D55" s="8" t="n">
        <x:v>15.99</x:v>
      </x:c>
      <x:c r="E55" s="1" t="n">
        <x:v>1</x:v>
      </x:c>
      <x:c r="F55" s="1" t="n">
        <x:v>29</x:v>
      </x:c>
      <x:c r="G55" s="1" t="n">
        <x:v>3</x:v>
      </x:c>
      <x:c r="H55" s="1" t="n">
        <x:v>0</x:v>
      </x:c>
      <x:c r="I55" s="1" t="n">
        <x:v>0</x:v>
      </x:c>
      <x:c r="J55" s="1" t="str">
        <x:v>no</x:v>
      </x:c>
      <x:c r="K55" s="1" t="n">
        <x:f>2*H55+E55+IF(G55&gt;30,2,0)-IF(B55&gt;24,1,0)</x:f>
        <x:v>0</x:v>
      </x:c>
      <x:c r="L55" s="1" t="str">
        <x:f>IF(K55&gt;=3,"yes","no")</x:f>
        <x:v>no</x:v>
      </x:c>
      <x:c r="M55" s="1"/>
      <x:c r="N55" s="1"/>
      <x:c r="O55" s="1"/>
    </x:row>
    <x:row r="56">
      <x:c r="A56" s="1" t="str">
        <x:v>S0055</x:v>
      </x:c>
      <x:c r="B56" s="1" t="n">
        <x:v>10</x:v>
      </x:c>
      <x:c r="C56" s="1" t="str">
        <x:v>basic</x:v>
      </x:c>
      <x:c r="D56" s="8" t="n">
        <x:v>9.99</x:v>
      </x:c>
      <x:c r="E56" s="1" t="n">
        <x:v>0</x:v>
      </x:c>
      <x:c r="F56" s="1" t="n">
        <x:v>8</x:v>
      </x:c>
      <x:c r="G56" s="1" t="n">
        <x:v>4</x:v>
      </x:c>
      <x:c r="H56" s="1" t="n">
        <x:v>0</x:v>
      </x:c>
      <x:c r="I56" s="1" t="n">
        <x:v>0</x:v>
      </x:c>
      <x:c r="J56" s="1" t="str">
        <x:v>no</x:v>
      </x:c>
      <x:c r="K56" s="1" t="n">
        <x:f>2*H56+E56+IF(G56&gt;30,2,0)-IF(B56&gt;24,1,0)</x:f>
        <x:v>0</x:v>
      </x:c>
      <x:c r="L56" s="1" t="str">
        <x:f>IF(K56&gt;=3,"yes","no")</x:f>
        <x:v>no</x:v>
      </x:c>
      <x:c r="M56" s="1"/>
      <x:c r="N56" s="1"/>
      <x:c r="O56" s="1"/>
    </x:row>
    <x:row r="57">
      <x:c r="A57" s="1" t="str">
        <x:v>S0056</x:v>
      </x:c>
      <x:c r="B57" s="1" t="n">
        <x:v>13</x:v>
      </x:c>
      <x:c r="C57" s="1" t="str">
        <x:v>basic</x:v>
      </x:c>
      <x:c r="D57" s="8" t="n">
        <x:v>9.99</x:v>
      </x:c>
      <x:c r="E57" s="1" t="n">
        <x:v>0</x:v>
      </x:c>
      <x:c r="F57" s="1" t="n">
        <x:v>21</x:v>
      </x:c>
      <x:c r="G57" s="1" t="n">
        <x:v>12</x:v>
      </x:c>
      <x:c r="H57" s="1" t="n">
        <x:v>0</x:v>
      </x:c>
      <x:c r="I57" s="1" t="n">
        <x:v>0</x:v>
      </x:c>
      <x:c r="J57" s="1" t="str">
        <x:v>no</x:v>
      </x:c>
      <x:c r="K57" s="1" t="n">
        <x:f>2*H57+E57+IF(G57&gt;30,2,0)-IF(B57&gt;24,1,0)</x:f>
        <x:v>0</x:v>
      </x:c>
      <x:c r="L57" s="1" t="str">
        <x:f>IF(K57&gt;=3,"yes","no")</x:f>
        <x:v>no</x:v>
      </x:c>
      <x:c r="M57" s="1"/>
      <x:c r="N57" s="1"/>
      <x:c r="O57" s="1"/>
    </x:row>
    <x:row r="58">
      <x:c r="A58" s="1" t="str">
        <x:v>S0057</x:v>
      </x:c>
      <x:c r="B58" s="1" t="n">
        <x:v>14</x:v>
      </x:c>
      <x:c r="C58" s="1" t="str">
        <x:v>premium</x:v>
      </x:c>
      <x:c r="D58" s="8" t="n">
        <x:v>15.99</x:v>
      </x:c>
      <x:c r="E58" s="1" t="n">
        <x:v>1</x:v>
      </x:c>
      <x:c r="F58" s="1" t="n">
        <x:v>30</x:v>
      </x:c>
      <x:c r="G58" s="1" t="n">
        <x:v>0</x:v>
      </x:c>
      <x:c r="H58" s="1" t="n">
        <x:v>0</x:v>
      </x:c>
      <x:c r="I58" s="1" t="n">
        <x:v>0</x:v>
      </x:c>
      <x:c r="J58" s="1" t="str">
        <x:v>no</x:v>
      </x:c>
      <x:c r="K58" s="1" t="n">
        <x:f>2*H58+E58+IF(G58&gt;30,2,0)-IF(B58&gt;24,1,0)</x:f>
        <x:v>1</x:v>
      </x:c>
      <x:c r="L58" s="1" t="str">
        <x:f>IF(K58&gt;=3,"yes","no")</x:f>
        <x:v>no</x:v>
      </x:c>
      <x:c r="M58" s="1"/>
      <x:c r="N58" s="1"/>
      <x:c r="O58" s="1"/>
    </x:row>
    <x:row r="59">
      <x:c r="A59" s="1" t="str">
        <x:v>S0058</x:v>
      </x:c>
      <x:c r="B59" s="1" t="n">
        <x:v>28</x:v>
      </x:c>
      <x:c r="C59" s="1" t="str">
        <x:v>premium</x:v>
      </x:c>
      <x:c r="D59" s="8" t="n">
        <x:v>15.99</x:v>
      </x:c>
      <x:c r="E59" s="1" t="n">
        <x:v>2</x:v>
      </x:c>
      <x:c r="F59" s="1" t="n">
        <x:v>0</x:v>
      </x:c>
      <x:c r="G59" s="1" t="n">
        <x:v>40</x:v>
      </x:c>
      <x:c r="H59" s="1" t="n">
        <x:v>0</x:v>
      </x:c>
      <x:c r="I59" s="1" t="n">
        <x:v>0</x:v>
      </x:c>
      <x:c r="J59" s="1" t="str">
        <x:v>no</x:v>
      </x:c>
      <x:c r="K59" s="1" t="n">
        <x:f>2*H59+E59+IF(G59&gt;30,2,0)-IF(B59&gt;24,1,0)</x:f>
        <x:v>3</x:v>
      </x:c>
      <x:c r="L59" s="1" t="str">
        <x:f>IF(K59&gt;=3,"yes","no")</x:f>
        <x:v>yes</x:v>
      </x:c>
      <x:c r="M59" s="1"/>
      <x:c r="N59" s="1"/>
      <x:c r="O59" s="1"/>
    </x:row>
    <x:row r="60">
      <x:c r="A60" s="1" t="str">
        <x:v>S0059</x:v>
      </x:c>
      <x:c r="B60" s="1" t="n">
        <x:v>27</x:v>
      </x:c>
      <x:c r="C60" s="1" t="str">
        <x:v>basic</x:v>
      </x:c>
      <x:c r="D60" s="8" t="n">
        <x:v>9.99</x:v>
      </x:c>
      <x:c r="E60" s="1" t="n">
        <x:v>1</x:v>
      </x:c>
      <x:c r="F60" s="1" t="n">
        <x:v>10</x:v>
      </x:c>
      <x:c r="G60" s="1" t="n">
        <x:v>20</x:v>
      </x:c>
      <x:c r="H60" s="1" t="n">
        <x:v>0</x:v>
      </x:c>
      <x:c r="I60" s="1" t="n">
        <x:v>0</x:v>
      </x:c>
      <x:c r="J60" s="1" t="str">
        <x:v>no</x:v>
      </x:c>
      <x:c r="K60" s="1" t="n">
        <x:f>2*H60+E60+IF(G60&gt;30,2,0)-IF(B60&gt;24,1,0)</x:f>
        <x:v>0</x:v>
      </x:c>
      <x:c r="L60" s="1" t="str">
        <x:f>IF(K60&gt;=3,"yes","no")</x:f>
        <x:v>no</x:v>
      </x:c>
      <x:c r="M60" s="1"/>
      <x:c r="N60" s="1"/>
      <x:c r="O60" s="1"/>
    </x:row>
    <x:row r="61">
      <x:c r="A61" s="1" t="str">
        <x:v>S0060</x:v>
      </x:c>
      <x:c r="B61" s="1" t="n">
        <x:v>47</x:v>
      </x:c>
      <x:c r="C61" s="1" t="str">
        <x:v>basic</x:v>
      </x:c>
      <x:c r="D61" s="8" t="n">
        <x:v>9.99</x:v>
      </x:c>
      <x:c r="E61" s="1" t="n">
        <x:v>1</x:v>
      </x:c>
      <x:c r="F61" s="1" t="n">
        <x:v>21</x:v>
      </x:c>
      <x:c r="G61" s="1" t="n">
        <x:v>2</x:v>
      </x:c>
      <x:c r="H61" s="1" t="n">
        <x:v>0</x:v>
      </x:c>
      <x:c r="I61" s="1" t="n">
        <x:v>0</x:v>
      </x:c>
      <x:c r="J61" s="1" t="str">
        <x:v>no</x:v>
      </x:c>
      <x:c r="K61" s="1" t="n">
        <x:f>2*H61+E61+IF(G61&gt;30,2,0)-IF(B61&gt;24,1,0)</x:f>
        <x:v>0</x:v>
      </x:c>
      <x:c r="L61" s="1" t="str">
        <x:f>IF(K61&gt;=3,"yes","no")</x:f>
        <x:v>no</x:v>
      </x:c>
      <x:c r="M61" s="1"/>
      <x:c r="N61" s="1"/>
      <x:c r="O61" s="1"/>
    </x:row>
    <x:row r="62">
      <x:c r="A62" s="1" t="str">
        <x:v>S0061</x:v>
      </x:c>
      <x:c r="B62" s="1" t="n">
        <x:v>19</x:v>
      </x:c>
      <x:c r="C62" s="1" t="str">
        <x:v>basic</x:v>
      </x:c>
      <x:c r="D62" s="8" t="n">
        <x:v>9.99</x:v>
      </x:c>
      <x:c r="E62" s="1" t="n">
        <x:v>0</x:v>
      </x:c>
      <x:c r="F62" s="1" t="n">
        <x:v>17</x:v>
      </x:c>
      <x:c r="G62" s="1" t="n">
        <x:v>23</x:v>
      </x:c>
      <x:c r="H62" s="1" t="n">
        <x:v>0</x:v>
      </x:c>
      <x:c r="I62" s="1" t="n">
        <x:v>1</x:v>
      </x:c>
      <x:c r="J62" s="1" t="str">
        <x:v>yes</x:v>
      </x:c>
      <x:c r="K62" s="1" t="n">
        <x:f>2*H62+E62+IF(G62&gt;30,2,0)-IF(B62&gt;24,1,0)</x:f>
        <x:v>0</x:v>
      </x:c>
      <x:c r="L62" s="1" t="str">
        <x:f>IF(K62&gt;=3,"yes","no")</x:f>
        <x:v>no</x:v>
      </x:c>
      <x:c r="M62" s="1"/>
      <x:c r="N62" s="1"/>
      <x:c r="O62" s="1"/>
    </x:row>
    <x:row r="63">
      <x:c r="A63" s="1" t="str">
        <x:v>S0062</x:v>
      </x:c>
      <x:c r="B63" s="1" t="n">
        <x:v>43</x:v>
      </x:c>
      <x:c r="C63" s="1" t="str">
        <x:v>premium</x:v>
      </x:c>
      <x:c r="D63" s="8" t="n">
        <x:v>15.99</x:v>
      </x:c>
      <x:c r="E63" s="1" t="n">
        <x:v>0</x:v>
      </x:c>
      <x:c r="F63" s="1" t="n">
        <x:v>26</x:v>
      </x:c>
      <x:c r="G63" s="1" t="n">
        <x:v>9</x:v>
      </x:c>
      <x:c r="H63" s="1" t="n">
        <x:v>0</x:v>
      </x:c>
      <x:c r="I63" s="1" t="n">
        <x:v>0</x:v>
      </x:c>
      <x:c r="J63" s="1" t="str">
        <x:v>no</x:v>
      </x:c>
      <x:c r="K63" s="1" t="n">
        <x:f>2*H63+E63+IF(G63&gt;30,2,0)-IF(B63&gt;24,1,0)</x:f>
        <x:v>-1</x:v>
      </x:c>
      <x:c r="L63" s="1" t="str">
        <x:f>IF(K63&gt;=3,"yes","no")</x:f>
        <x:v>no</x:v>
      </x:c>
      <x:c r="M63" s="1"/>
      <x:c r="N63" s="1"/>
      <x:c r="O63" s="1"/>
    </x:row>
    <x:row r="64">
      <x:c r="A64" s="1" t="str">
        <x:v>S0063</x:v>
      </x:c>
      <x:c r="B64" s="1" t="n">
        <x:v>31</x:v>
      </x:c>
      <x:c r="C64" s="1" t="str">
        <x:v>basic</x:v>
      </x:c>
      <x:c r="D64" s="8" t="n">
        <x:v>9.99</x:v>
      </x:c>
      <x:c r="E64" s="1" t="n">
        <x:v>1</x:v>
      </x:c>
      <x:c r="F64" s="1" t="n">
        <x:v>17</x:v>
      </x:c>
      <x:c r="G64" s="1" t="n">
        <x:v>5</x:v>
      </x:c>
      <x:c r="H64" s="1" t="n">
        <x:v>0</x:v>
      </x:c>
      <x:c r="I64" s="1" t="n">
        <x:v>0</x:v>
      </x:c>
      <x:c r="J64" s="1" t="str">
        <x:v>no</x:v>
      </x:c>
      <x:c r="K64" s="1" t="n">
        <x:f>2*H64+E64+IF(G64&gt;30,2,0)-IF(B64&gt;24,1,0)</x:f>
        <x:v>0</x:v>
      </x:c>
      <x:c r="L64" s="1" t="str">
        <x:f>IF(K64&gt;=3,"yes","no")</x:f>
        <x:v>no</x:v>
      </x:c>
      <x:c r="M64" s="1"/>
      <x:c r="N64" s="1"/>
      <x:c r="O64" s="1"/>
    </x:row>
    <x:row r="65">
      <x:c r="A65" s="1" t="str">
        <x:v>S0064</x:v>
      </x:c>
      <x:c r="B65" s="1" t="n">
        <x:v>13</x:v>
      </x:c>
      <x:c r="C65" s="1" t="str">
        <x:v>basic</x:v>
      </x:c>
      <x:c r="D65" s="8" t="n">
        <x:v>9.99</x:v>
      </x:c>
      <x:c r="E65" s="1" t="n">
        <x:v>0</x:v>
      </x:c>
      <x:c r="F65" s="1" t="n">
        <x:v>0</x:v>
      </x:c>
      <x:c r="G65" s="1" t="n">
        <x:v>58</x:v>
      </x:c>
      <x:c r="H65" s="1" t="n">
        <x:v>0</x:v>
      </x:c>
      <x:c r="I65" s="1" t="n">
        <x:v>0</x:v>
      </x:c>
      <x:c r="J65" s="1" t="str">
        <x:v>no</x:v>
      </x:c>
      <x:c r="K65" s="1" t="n">
        <x:f>2*H65+E65+IF(G65&gt;30,2,0)-IF(B65&gt;24,1,0)</x:f>
        <x:v>2</x:v>
      </x:c>
      <x:c r="L65" s="1" t="str">
        <x:f>IF(K65&gt;=3,"yes","no")</x:f>
        <x:v>no</x:v>
      </x:c>
      <x:c r="M65" s="1"/>
      <x:c r="N65" s="1"/>
      <x:c r="O65" s="1"/>
    </x:row>
    <x:row r="66">
      <x:c r="A66" s="1" t="str">
        <x:v>S0065</x:v>
      </x:c>
      <x:c r="B66" s="1" t="n">
        <x:v>29</x:v>
      </x:c>
      <x:c r="C66" s="1" t="str">
        <x:v>basic</x:v>
      </x:c>
      <x:c r="D66" s="8" t="n">
        <x:v>9.99</x:v>
      </x:c>
      <x:c r="E66" s="1" t="n">
        <x:v>1</x:v>
      </x:c>
      <x:c r="F66" s="1" t="n">
        <x:v>20</x:v>
      </x:c>
      <x:c r="G66" s="1" t="n">
        <x:v>14</x:v>
      </x:c>
      <x:c r="H66" s="1" t="n">
        <x:v>1</x:v>
      </x:c>
      <x:c r="I66" s="1" t="n">
        <x:v>0</x:v>
      </x:c>
      <x:c r="J66" s="1" t="str">
        <x:v>no</x:v>
      </x:c>
      <x:c r="K66" s="1" t="n">
        <x:f>2*H66+E66+IF(G66&gt;30,2,0)-IF(B66&gt;24,1,0)</x:f>
        <x:v>2</x:v>
      </x:c>
      <x:c r="L66" s="1" t="str">
        <x:f>IF(K66&gt;=3,"yes","no")</x:f>
        <x:v>no</x:v>
      </x:c>
      <x:c r="M66" s="1"/>
      <x:c r="N66" s="1"/>
      <x:c r="O66" s="1"/>
    </x:row>
    <x:row r="67">
      <x:c r="A67" s="1" t="str">
        <x:v>S0066</x:v>
      </x:c>
      <x:c r="B67" s="1" t="n">
        <x:v>31</x:v>
      </x:c>
      <x:c r="C67" s="1" t="str">
        <x:v>basic</x:v>
      </x:c>
      <x:c r="D67" s="8" t="n">
        <x:v>9.99</x:v>
      </x:c>
      <x:c r="E67" s="1" t="n">
        <x:v>0</x:v>
      </x:c>
      <x:c r="F67" s="1" t="n">
        <x:v>9</x:v>
      </x:c>
      <x:c r="G67" s="1" t="n">
        <x:v>17</x:v>
      </x:c>
      <x:c r="H67" s="1" t="n">
        <x:v>0</x:v>
      </x:c>
      <x:c r="I67" s="1" t="n">
        <x:v>0</x:v>
      </x:c>
      <x:c r="J67" s="1" t="str">
        <x:v>no</x:v>
      </x:c>
      <x:c r="K67" s="1" t="n">
        <x:f>2*H67+E67+IF(G67&gt;30,2,0)-IF(B67&gt;24,1,0)</x:f>
        <x:v>-1</x:v>
      </x:c>
      <x:c r="L67" s="1" t="str">
        <x:f>IF(K67&gt;=3,"yes","no")</x:f>
        <x:v>no</x:v>
      </x:c>
      <x:c r="M67" s="1"/>
      <x:c r="N67" s="1"/>
      <x:c r="O67" s="1"/>
    </x:row>
    <x:row r="68">
      <x:c r="A68" s="1" t="str">
        <x:v>S0067</x:v>
      </x:c>
      <x:c r="B68" s="1" t="n">
        <x:v>20</x:v>
      </x:c>
      <x:c r="C68" s="1" t="str">
        <x:v>basic</x:v>
      </x:c>
      <x:c r="D68" s="8" t="n">
        <x:v>9.99</x:v>
      </x:c>
      <x:c r="E68" s="1" t="n">
        <x:v>1</x:v>
      </x:c>
      <x:c r="F68" s="1" t="n">
        <x:v>1</x:v>
      </x:c>
      <x:c r="G68" s="1" t="n">
        <x:v>20</x:v>
      </x:c>
      <x:c r="H68" s="1" t="n">
        <x:v>0</x:v>
      </x:c>
      <x:c r="I68" s="1" t="n">
        <x:v>0</x:v>
      </x:c>
      <x:c r="J68" s="1" t="str">
        <x:v>yes</x:v>
      </x:c>
      <x:c r="K68" s="1" t="n">
        <x:f>2*H68+E68+IF(G68&gt;30,2,0)-IF(B68&gt;24,1,0)</x:f>
        <x:v>1</x:v>
      </x:c>
      <x:c r="L68" s="1" t="str">
        <x:f>IF(K68&gt;=3,"yes","no")</x:f>
        <x:v>no</x:v>
      </x:c>
      <x:c r="M68" s="1"/>
      <x:c r="N68" s="1"/>
      <x:c r="O68" s="1"/>
    </x:row>
    <x:row r="69">
      <x:c r="A69" s="1" t="str">
        <x:v>S0068</x:v>
      </x:c>
      <x:c r="B69" s="1" t="n">
        <x:v>40</x:v>
      </x:c>
      <x:c r="C69" s="1" t="str">
        <x:v>premium</x:v>
      </x:c>
      <x:c r="D69" s="8" t="n">
        <x:v>15.99</x:v>
      </x:c>
      <x:c r="E69" s="1" t="n">
        <x:v>0</x:v>
      </x:c>
      <x:c r="F69" s="1" t="n">
        <x:v>18</x:v>
      </x:c>
      <x:c r="G69" s="1" t="n">
        <x:v>1</x:v>
      </x:c>
      <x:c r="H69" s="1" t="n">
        <x:v>0</x:v>
      </x:c>
      <x:c r="I69" s="1" t="n">
        <x:v>0</x:v>
      </x:c>
      <x:c r="J69" s="1" t="str">
        <x:v>no</x:v>
      </x:c>
      <x:c r="K69" s="1" t="n">
        <x:f>2*H69+E69+IF(G69&gt;30,2,0)-IF(B69&gt;24,1,0)</x:f>
        <x:v>-1</x:v>
      </x:c>
      <x:c r="L69" s="1" t="str">
        <x:f>IF(K69&gt;=3,"yes","no")</x:f>
        <x:v>no</x:v>
      </x:c>
      <x:c r="M69" s="1"/>
      <x:c r="N69" s="1"/>
      <x:c r="O69" s="1"/>
    </x:row>
    <x:row r="70">
      <x:c r="A70" s="1" t="str">
        <x:v>S0069</x:v>
      </x:c>
      <x:c r="B70" s="1" t="n">
        <x:v>42</x:v>
      </x:c>
      <x:c r="C70" s="1" t="str">
        <x:v>basic</x:v>
      </x:c>
      <x:c r="D70" s="8" t="n">
        <x:v>9.99</x:v>
      </x:c>
      <x:c r="E70" s="1" t="n">
        <x:v>0</x:v>
      </x:c>
      <x:c r="F70" s="1" t="n">
        <x:v>23</x:v>
      </x:c>
      <x:c r="G70" s="1" t="n">
        <x:v>4</x:v>
      </x:c>
      <x:c r="H70" s="1" t="n">
        <x:v>0</x:v>
      </x:c>
      <x:c r="I70" s="1" t="n">
        <x:v>0</x:v>
      </x:c>
      <x:c r="J70" s="1" t="str">
        <x:v>no</x:v>
      </x:c>
      <x:c r="K70" s="1" t="n">
        <x:f>2*H70+E70+IF(G70&gt;30,2,0)-IF(B70&gt;24,1,0)</x:f>
        <x:v>-1</x:v>
      </x:c>
      <x:c r="L70" s="1" t="str">
        <x:f>IF(K70&gt;=3,"yes","no")</x:f>
        <x:v>no</x:v>
      </x:c>
      <x:c r="M70" s="1"/>
      <x:c r="N70" s="1"/>
      <x:c r="O70" s="1"/>
    </x:row>
    <x:row r="71">
      <x:c r="A71" s="1" t="str">
        <x:v>S0070</x:v>
      </x:c>
      <x:c r="B71" s="1" t="n">
        <x:v>11</x:v>
      </x:c>
      <x:c r="C71" s="1" t="str">
        <x:v>basic</x:v>
      </x:c>
      <x:c r="D71" s="8" t="n">
        <x:v>9.99</x:v>
      </x:c>
      <x:c r="E71" s="1" t="n">
        <x:v>0</x:v>
      </x:c>
      <x:c r="F71" s="1" t="n">
        <x:v>23</x:v>
      </x:c>
      <x:c r="G71" s="1" t="n">
        <x:v>9</x:v>
      </x:c>
      <x:c r="H71" s="1" t="n">
        <x:v>0</x:v>
      </x:c>
      <x:c r="I71" s="1" t="n">
        <x:v>1</x:v>
      </x:c>
      <x:c r="J71" s="1" t="str">
        <x:v>no</x:v>
      </x:c>
      <x:c r="K71" s="1" t="n">
        <x:f>2*H71+E71+IF(G71&gt;30,2,0)-IF(B71&gt;24,1,0)</x:f>
        <x:v>0</x:v>
      </x:c>
      <x:c r="L71" s="1" t="str">
        <x:f>IF(K71&gt;=3,"yes","no")</x:f>
        <x:v>no</x:v>
      </x:c>
      <x:c r="M71" s="1"/>
      <x:c r="N71" s="1"/>
      <x:c r="O71" s="1"/>
    </x:row>
    <x:row r="72">
      <x:c r="A72" s="1" t="str">
        <x:v>S0071</x:v>
      </x:c>
      <x:c r="B72" s="1" t="n">
        <x:v>19</x:v>
      </x:c>
      <x:c r="C72" s="1" t="str">
        <x:v>basic</x:v>
      </x:c>
      <x:c r="D72" s="8" t="n">
        <x:v>9.99</x:v>
      </x:c>
      <x:c r="E72" s="1" t="n">
        <x:v>2</x:v>
      </x:c>
      <x:c r="F72" s="1" t="n">
        <x:v>26</x:v>
      </x:c>
      <x:c r="G72" s="1" t="n">
        <x:v>1</x:v>
      </x:c>
      <x:c r="H72" s="1" t="n">
        <x:v>0</x:v>
      </x:c>
      <x:c r="I72" s="1" t="n">
        <x:v>0</x:v>
      </x:c>
      <x:c r="J72" s="1" t="str">
        <x:v>no</x:v>
      </x:c>
      <x:c r="K72" s="1" t="n">
        <x:f>2*H72+E72+IF(G72&gt;30,2,0)-IF(B72&gt;24,1,0)</x:f>
        <x:v>2</x:v>
      </x:c>
      <x:c r="L72" s="1" t="str">
        <x:f>IF(K72&gt;=3,"yes","no")</x:f>
        <x:v>no</x:v>
      </x:c>
      <x:c r="M72" s="1"/>
      <x:c r="N72" s="1"/>
      <x:c r="O72" s="1"/>
    </x:row>
    <x:row r="73">
      <x:c r="A73" s="1" t="str">
        <x:v>S0072</x:v>
      </x:c>
      <x:c r="B73" s="1" t="n">
        <x:v>21</x:v>
      </x:c>
      <x:c r="C73" s="1" t="str">
        <x:v>premium</x:v>
      </x:c>
      <x:c r="D73" s="8" t="n">
        <x:v>15.99</x:v>
      </x:c>
      <x:c r="E73" s="1" t="n">
        <x:v>0</x:v>
      </x:c>
      <x:c r="F73" s="1" t="n">
        <x:v>25</x:v>
      </x:c>
      <x:c r="G73" s="1" t="n">
        <x:v>5</x:v>
      </x:c>
      <x:c r="H73" s="1" t="n">
        <x:v>0</x:v>
      </x:c>
      <x:c r="I73" s="1" t="n">
        <x:v>0</x:v>
      </x:c>
      <x:c r="J73" s="1" t="str">
        <x:v>no</x:v>
      </x:c>
      <x:c r="K73" s="1" t="n">
        <x:f>2*H73+E73+IF(G73&gt;30,2,0)-IF(B73&gt;24,1,0)</x:f>
        <x:v>0</x:v>
      </x:c>
      <x:c r="L73" s="1" t="str">
        <x:f>IF(K73&gt;=3,"yes","no")</x:f>
        <x:v>no</x:v>
      </x:c>
      <x:c r="M73" s="1"/>
      <x:c r="N73" s="1"/>
      <x:c r="O73" s="1"/>
    </x:row>
    <x:row r="74">
      <x:c r="A74" s="1" t="str">
        <x:v>S0073</x:v>
      </x:c>
      <x:c r="B74" s="1" t="n">
        <x:v>11</x:v>
      </x:c>
      <x:c r="C74" s="1" t="str">
        <x:v>basic</x:v>
      </x:c>
      <x:c r="D74" s="8" t="n">
        <x:v>9.99</x:v>
      </x:c>
      <x:c r="E74" s="1" t="n">
        <x:v>4</x:v>
      </x:c>
      <x:c r="F74" s="1" t="n">
        <x:v>19</x:v>
      </x:c>
      <x:c r="G74" s="1" t="n">
        <x:v>0</x:v>
      </x:c>
      <x:c r="H74" s="1" t="n">
        <x:v>0</x:v>
      </x:c>
      <x:c r="I74" s="1" t="n">
        <x:v>0</x:v>
      </x:c>
      <x:c r="J74" s="1" t="str">
        <x:v>yes</x:v>
      </x:c>
      <x:c r="K74" s="1" t="n">
        <x:f>2*H74+E74+IF(G74&gt;30,2,0)-IF(B74&gt;24,1,0)</x:f>
        <x:v>4</x:v>
      </x:c>
      <x:c r="L74" s="1" t="str">
        <x:f>IF(K74&gt;=3,"yes","no")</x:f>
        <x:v>yes</x:v>
      </x:c>
      <x:c r="M74" s="1"/>
      <x:c r="N74" s="1"/>
      <x:c r="O74" s="1"/>
    </x:row>
    <x:row r="75">
      <x:c r="A75" s="1" t="str">
        <x:v>S0074</x:v>
      </x:c>
      <x:c r="B75" s="1" t="n">
        <x:v>2</x:v>
      </x:c>
      <x:c r="C75" s="1" t="str">
        <x:v>basic</x:v>
      </x:c>
      <x:c r="D75" s="8" t="n">
        <x:v>9.99</x:v>
      </x:c>
      <x:c r="E75" s="1" t="n">
        <x:v>0</x:v>
      </x:c>
      <x:c r="F75" s="1" t="n">
        <x:v>18</x:v>
      </x:c>
      <x:c r="G75" s="1" t="n">
        <x:v>3</x:v>
      </x:c>
      <x:c r="H75" s="1" t="n">
        <x:v>0</x:v>
      </x:c>
      <x:c r="I75" s="1" t="n">
        <x:v>0</x:v>
      </x:c>
      <x:c r="J75" s="1" t="str">
        <x:v>no</x:v>
      </x:c>
      <x:c r="K75" s="1" t="n">
        <x:f>2*H75+E75+IF(G75&gt;30,2,0)-IF(B75&gt;24,1,0)</x:f>
        <x:v>0</x:v>
      </x:c>
      <x:c r="L75" s="1" t="str">
        <x:f>IF(K75&gt;=3,"yes","no")</x:f>
        <x:v>no</x:v>
      </x:c>
      <x:c r="M75" s="1"/>
      <x:c r="N75" s="1"/>
      <x:c r="O75" s="1"/>
    </x:row>
    <x:row r="76">
      <x:c r="A76" s="1" t="str">
        <x:v>S0075</x:v>
      </x:c>
      <x:c r="B76" s="1" t="n">
        <x:v>20</x:v>
      </x:c>
      <x:c r="C76" s="1" t="str">
        <x:v>basic</x:v>
      </x:c>
      <x:c r="D76" s="8" t="n">
        <x:v>9.99</x:v>
      </x:c>
      <x:c r="E76" s="1" t="n">
        <x:v>0</x:v>
      </x:c>
      <x:c r="F76" s="1" t="n">
        <x:v>2</x:v>
      </x:c>
      <x:c r="G76" s="1" t="n">
        <x:v>20</x:v>
      </x:c>
      <x:c r="H76" s="1" t="n">
        <x:v>1</x:v>
      </x:c>
      <x:c r="I76" s="1" t="n">
        <x:v>0</x:v>
      </x:c>
      <x:c r="J76" s="1" t="str">
        <x:v>yes</x:v>
      </x:c>
      <x:c r="K76" s="1" t="n">
        <x:f>2*H76+E76+IF(G76&gt;30,2,0)-IF(B76&gt;24,1,0)</x:f>
        <x:v>2</x:v>
      </x:c>
      <x:c r="L76" s="1" t="str">
        <x:f>IF(K76&gt;=3,"yes","no")</x:f>
        <x:v>no</x:v>
      </x:c>
      <x:c r="M76" s="1"/>
      <x:c r="N76" s="1"/>
      <x:c r="O76" s="1"/>
    </x:row>
    <x:row r="77">
      <x:c r="A77" s="1" t="str">
        <x:v>S0076</x:v>
      </x:c>
      <x:c r="B77" s="1" t="n">
        <x:v>21</x:v>
      </x:c>
      <x:c r="C77" s="1" t="str">
        <x:v>basic</x:v>
      </x:c>
      <x:c r="D77" s="8" t="n">
        <x:v>9.99</x:v>
      </x:c>
      <x:c r="E77" s="1" t="n">
        <x:v>0</x:v>
      </x:c>
      <x:c r="F77" s="1" t="n">
        <x:v>21</x:v>
      </x:c>
      <x:c r="G77" s="1" t="n">
        <x:v>14</x:v>
      </x:c>
      <x:c r="H77" s="1" t="n">
        <x:v>0</x:v>
      </x:c>
      <x:c r="I77" s="1" t="n">
        <x:v>0</x:v>
      </x:c>
      <x:c r="J77" s="1" t="str">
        <x:v>no</x:v>
      </x:c>
      <x:c r="K77" s="1" t="n">
        <x:f>2*H77+E77+IF(G77&gt;30,2,0)-IF(B77&gt;24,1,0)</x:f>
        <x:v>0</x:v>
      </x:c>
      <x:c r="L77" s="1" t="str">
        <x:f>IF(K77&gt;=3,"yes","no")</x:f>
        <x:v>no</x:v>
      </x:c>
      <x:c r="M77" s="1"/>
      <x:c r="N77" s="1"/>
      <x:c r="O77" s="1"/>
    </x:row>
    <x:row r="78">
      <x:c r="A78" s="1" t="str">
        <x:v>S0077</x:v>
      </x:c>
      <x:c r="B78" s="1" t="n">
        <x:v>40</x:v>
      </x:c>
      <x:c r="C78" s="1" t="str">
        <x:v>basic</x:v>
      </x:c>
      <x:c r="D78" s="8" t="n">
        <x:v>9.99</x:v>
      </x:c>
      <x:c r="E78" s="1" t="n">
        <x:v>4</x:v>
      </x:c>
      <x:c r="F78" s="1" t="n">
        <x:v>0</x:v>
      </x:c>
      <x:c r="G78" s="1" t="n">
        <x:v>33</x:v>
      </x:c>
      <x:c r="H78" s="1" t="n">
        <x:v>0</x:v>
      </x:c>
      <x:c r="I78" s="1" t="n">
        <x:v>0</x:v>
      </x:c>
      <x:c r="J78" s="1" t="str">
        <x:v>no</x:v>
      </x:c>
      <x:c r="K78" s="1" t="n">
        <x:f>2*H78+E78+IF(G78&gt;30,2,0)-IF(B78&gt;24,1,0)</x:f>
        <x:v>5</x:v>
      </x:c>
      <x:c r="L78" s="1" t="str">
        <x:f>IF(K78&gt;=3,"yes","no")</x:f>
        <x:v>yes</x:v>
      </x:c>
      <x:c r="M78" s="1"/>
      <x:c r="N78" s="1"/>
      <x:c r="O78" s="1"/>
    </x:row>
    <x:row r="79">
      <x:c r="A79" s="1" t="str">
        <x:v>S0078</x:v>
      </x:c>
      <x:c r="B79" s="1" t="n">
        <x:v>8</x:v>
      </x:c>
      <x:c r="C79" s="1" t="str">
        <x:v>premium</x:v>
      </x:c>
      <x:c r="D79" s="8" t="n">
        <x:v>15.99</x:v>
      </x:c>
      <x:c r="E79" s="1" t="n">
        <x:v>2</x:v>
      </x:c>
      <x:c r="F79" s="1" t="n">
        <x:v>17</x:v>
      </x:c>
      <x:c r="G79" s="1" t="n">
        <x:v>0</x:v>
      </x:c>
      <x:c r="H79" s="1" t="n">
        <x:v>0</x:v>
      </x:c>
      <x:c r="I79" s="1" t="n">
        <x:v>0</x:v>
      </x:c>
      <x:c r="J79" s="1" t="str">
        <x:v>no</x:v>
      </x:c>
      <x:c r="K79" s="1" t="n">
        <x:f>2*H79+E79+IF(G79&gt;30,2,0)-IF(B79&gt;24,1,0)</x:f>
        <x:v>2</x:v>
      </x:c>
      <x:c r="L79" s="1" t="str">
        <x:f>IF(K79&gt;=3,"yes","no")</x:f>
        <x:v>no</x:v>
      </x:c>
      <x:c r="M79" s="1"/>
      <x:c r="N79" s="1"/>
      <x:c r="O79" s="1"/>
    </x:row>
    <x:row r="80">
      <x:c r="A80" s="1" t="str">
        <x:v>S0079</x:v>
      </x:c>
      <x:c r="B80" s="1" t="n">
        <x:v>29</x:v>
      </x:c>
      <x:c r="C80" s="1" t="str">
        <x:v>basic</x:v>
      </x:c>
      <x:c r="D80" s="8" t="n">
        <x:v>9.99</x:v>
      </x:c>
      <x:c r="E80" s="1" t="n">
        <x:v>1</x:v>
      </x:c>
      <x:c r="F80" s="1" t="n">
        <x:v>8</x:v>
      </x:c>
      <x:c r="G80" s="1" t="n">
        <x:v>5</x:v>
      </x:c>
      <x:c r="H80" s="1" t="n">
        <x:v>0</x:v>
      </x:c>
      <x:c r="I80" s="1" t="n">
        <x:v>0</x:v>
      </x:c>
      <x:c r="J80" s="1" t="str">
        <x:v>no</x:v>
      </x:c>
      <x:c r="K80" s="1" t="n">
        <x:f>2*H80+E80+IF(G80&gt;30,2,0)-IF(B80&gt;24,1,0)</x:f>
        <x:v>0</x:v>
      </x:c>
      <x:c r="L80" s="1" t="str">
        <x:f>IF(K80&gt;=3,"yes","no")</x:f>
        <x:v>no</x:v>
      </x:c>
      <x:c r="M80" s="1"/>
      <x:c r="N80" s="1"/>
      <x:c r="O80" s="1"/>
    </x:row>
    <x:row r="81">
      <x:c r="A81" s="1" t="str">
        <x:v>S0080</x:v>
      </x:c>
      <x:c r="B81" s="1" t="n">
        <x:v>15</x:v>
      </x:c>
      <x:c r="C81" s="1" t="str">
        <x:v>basic</x:v>
      </x:c>
      <x:c r="D81" s="8" t="n">
        <x:v>9.99</x:v>
      </x:c>
      <x:c r="E81" s="1" t="n">
        <x:v>0</x:v>
      </x:c>
      <x:c r="F81" s="1" t="n">
        <x:v>25</x:v>
      </x:c>
      <x:c r="G81" s="1" t="n">
        <x:v>2</x:v>
      </x:c>
      <x:c r="H81" s="1" t="n">
        <x:v>0</x:v>
      </x:c>
      <x:c r="I81" s="1" t="n">
        <x:v>0</x:v>
      </x:c>
      <x:c r="J81" s="1" t="str">
        <x:v>no</x:v>
      </x:c>
      <x:c r="K81" s="1" t="n">
        <x:f>2*H81+E81+IF(G81&gt;30,2,0)-IF(B81&gt;24,1,0)</x:f>
        <x:v>0</x:v>
      </x:c>
      <x:c r="L81" s="1" t="str">
        <x:f>IF(K81&gt;=3,"yes","no")</x:f>
        <x:v>no</x:v>
      </x:c>
      <x:c r="M81" s="1"/>
      <x:c r="N81" s="1"/>
      <x:c r="O81" s="1"/>
    </x:row>
    <x:row r="82">
      <x:c r="A82" s="1" t="str">
        <x:v>S0081</x:v>
      </x:c>
      <x:c r="B82" s="1" t="n">
        <x:v>26</x:v>
      </x:c>
      <x:c r="C82" s="1" t="str">
        <x:v>premium</x:v>
      </x:c>
      <x:c r="D82" s="8" t="n">
        <x:v>15.99</x:v>
      </x:c>
      <x:c r="E82" s="1" t="n">
        <x:v>1</x:v>
      </x:c>
      <x:c r="F82" s="1" t="n">
        <x:v>23</x:v>
      </x:c>
      <x:c r="G82" s="1" t="n">
        <x:v>5</x:v>
      </x:c>
      <x:c r="H82" s="1" t="n">
        <x:v>0</x:v>
      </x:c>
      <x:c r="I82" s="1" t="n">
        <x:v>0</x:v>
      </x:c>
      <x:c r="J82" s="1" t="str">
        <x:v>no</x:v>
      </x:c>
      <x:c r="K82" s="1" t="n">
        <x:f>2*H82+E82+IF(G82&gt;30,2,0)-IF(B82&gt;24,1,0)</x:f>
        <x:v>0</x:v>
      </x:c>
      <x:c r="L82" s="1" t="str">
        <x:f>IF(K82&gt;=3,"yes","no")</x:f>
        <x:v>no</x:v>
      </x:c>
      <x:c r="M82" s="1"/>
      <x:c r="N82" s="1"/>
      <x:c r="O82" s="1"/>
    </x:row>
    <x:row r="83">
      <x:c r="A83" s="1" t="str">
        <x:v>S0082</x:v>
      </x:c>
      <x:c r="B83" s="1" t="n">
        <x:v>33</x:v>
      </x:c>
      <x:c r="C83" s="1" t="str">
        <x:v>basic</x:v>
      </x:c>
      <x:c r="D83" s="8" t="n">
        <x:v>9.99</x:v>
      </x:c>
      <x:c r="E83" s="1" t="n">
        <x:v>1</x:v>
      </x:c>
      <x:c r="F83" s="1" t="n">
        <x:v>20</x:v>
      </x:c>
      <x:c r="G83" s="1" t="n">
        <x:v>7</x:v>
      </x:c>
      <x:c r="H83" s="1" t="n">
        <x:v>0</x:v>
      </x:c>
      <x:c r="I83" s="1" t="n">
        <x:v>0</x:v>
      </x:c>
      <x:c r="J83" s="1" t="str">
        <x:v>no</x:v>
      </x:c>
      <x:c r="K83" s="1" t="n">
        <x:f>2*H83+E83+IF(G83&gt;30,2,0)-IF(B83&gt;24,1,0)</x:f>
        <x:v>0</x:v>
      </x:c>
      <x:c r="L83" s="1" t="str">
        <x:f>IF(K83&gt;=3,"yes","no")</x:f>
        <x:v>no</x:v>
      </x:c>
      <x:c r="M83" s="1"/>
      <x:c r="N83" s="1"/>
      <x:c r="O83" s="1"/>
    </x:row>
    <x:row r="84">
      <x:c r="A84" s="1" t="str">
        <x:v>S0083</x:v>
      </x:c>
      <x:c r="B84" s="1" t="n">
        <x:v>48</x:v>
      </x:c>
      <x:c r="C84" s="1" t="str">
        <x:v>basic</x:v>
      </x:c>
      <x:c r="D84" s="8" t="n">
        <x:v>9.99</x:v>
      </x:c>
      <x:c r="E84" s="1" t="n">
        <x:v>1</x:v>
      </x:c>
      <x:c r="F84" s="1" t="n">
        <x:v>0</x:v>
      </x:c>
      <x:c r="G84" s="1" t="n">
        <x:v>59</x:v>
      </x:c>
      <x:c r="H84" s="1" t="n">
        <x:v>0</x:v>
      </x:c>
      <x:c r="I84" s="1" t="n">
        <x:v>0</x:v>
      </x:c>
      <x:c r="J84" s="1" t="str">
        <x:v>no</x:v>
      </x:c>
      <x:c r="K84" s="1" t="n">
        <x:f>2*H84+E84+IF(G84&gt;30,2,0)-IF(B84&gt;24,1,0)</x:f>
        <x:v>2</x:v>
      </x:c>
      <x:c r="L84" s="1" t="str">
        <x:f>IF(K84&gt;=3,"yes","no")</x:f>
        <x:v>no</x:v>
      </x:c>
      <x:c r="M84" s="1"/>
      <x:c r="N84" s="1"/>
      <x:c r="O84" s="1"/>
    </x:row>
    <x:row r="85">
      <x:c r="A85" s="1" t="str">
        <x:v>S0084</x:v>
      </x:c>
      <x:c r="B85" s="1" t="n">
        <x:v>34</x:v>
      </x:c>
      <x:c r="C85" s="1" t="str">
        <x:v>basic</x:v>
      </x:c>
      <x:c r="D85" s="8" t="n">
        <x:v>9.99</x:v>
      </x:c>
      <x:c r="E85" s="1" t="n">
        <x:v>0</x:v>
      </x:c>
      <x:c r="F85" s="1" t="n">
        <x:v>6</x:v>
      </x:c>
      <x:c r="G85" s="1" t="n">
        <x:v>16</x:v>
      </x:c>
      <x:c r="H85" s="1" t="n">
        <x:v>0</x:v>
      </x:c>
      <x:c r="I85" s="1" t="n">
        <x:v>0</x:v>
      </x:c>
      <x:c r="J85" s="1" t="str">
        <x:v>no</x:v>
      </x:c>
      <x:c r="K85" s="1" t="n">
        <x:f>2*H85+E85+IF(G85&gt;30,2,0)-IF(B85&gt;24,1,0)</x:f>
        <x:v>-1</x:v>
      </x:c>
      <x:c r="L85" s="1" t="str">
        <x:f>IF(K85&gt;=3,"yes","no")</x:f>
        <x:v>no</x:v>
      </x:c>
      <x:c r="M85" s="1"/>
      <x:c r="N85" s="1"/>
      <x:c r="O85" s="1"/>
    </x:row>
    <x:row r="86">
      <x:c r="A86" s="1" t="str">
        <x:v>S0085</x:v>
      </x:c>
      <x:c r="B86" s="1" t="n">
        <x:v>39</x:v>
      </x:c>
      <x:c r="C86" s="1" t="str">
        <x:v>premium</x:v>
      </x:c>
      <x:c r="D86" s="8" t="n">
        <x:v>15.99</x:v>
      </x:c>
      <x:c r="E86" s="1" t="n">
        <x:v>2</x:v>
      </x:c>
      <x:c r="F86" s="1" t="n">
        <x:v>0</x:v>
      </x:c>
      <x:c r="G86" s="1" t="n">
        <x:v>49</x:v>
      </x:c>
      <x:c r="H86" s="1" t="n">
        <x:v>0</x:v>
      </x:c>
      <x:c r="I86" s="1" t="n">
        <x:v>0</x:v>
      </x:c>
      <x:c r="J86" s="1" t="str">
        <x:v>no</x:v>
      </x:c>
      <x:c r="K86" s="1" t="n">
        <x:f>2*H86+E86+IF(G86&gt;30,2,0)-IF(B86&gt;24,1,0)</x:f>
        <x:v>3</x:v>
      </x:c>
      <x:c r="L86" s="1" t="str">
        <x:f>IF(K86&gt;=3,"yes","no")</x:f>
        <x:v>yes</x:v>
      </x:c>
      <x:c r="M86" s="1"/>
      <x:c r="N86" s="1"/>
      <x:c r="O86" s="1"/>
    </x:row>
    <x:row r="87">
      <x:c r="A87" s="1" t="str">
        <x:v>S0086</x:v>
      </x:c>
      <x:c r="B87" s="1" t="n">
        <x:v>33</x:v>
      </x:c>
      <x:c r="C87" s="1" t="str">
        <x:v>premium</x:v>
      </x:c>
      <x:c r="D87" s="8" t="n">
        <x:v>15.99</x:v>
      </x:c>
      <x:c r="E87" s="1" t="n">
        <x:v>1</x:v>
      </x:c>
      <x:c r="F87" s="1" t="n">
        <x:v>12</x:v>
      </x:c>
      <x:c r="G87" s="1" t="n">
        <x:v>28</x:v>
      </x:c>
      <x:c r="H87" s="1" t="n">
        <x:v>2</x:v>
      </x:c>
      <x:c r="I87" s="1" t="n">
        <x:v>1</x:v>
      </x:c>
      <x:c r="J87" s="1" t="str">
        <x:v>yes</x:v>
      </x:c>
      <x:c r="K87" s="1" t="n">
        <x:f>2*H87+E87+IF(G87&gt;30,2,0)-IF(B87&gt;24,1,0)</x:f>
        <x:v>4</x:v>
      </x:c>
      <x:c r="L87" s="1" t="str">
        <x:f>IF(K87&gt;=3,"yes","no")</x:f>
        <x:v>yes</x:v>
      </x:c>
      <x:c r="M87" s="1"/>
      <x:c r="N87" s="1"/>
      <x:c r="O87" s="1"/>
    </x:row>
    <x:row r="88">
      <x:c r="A88" s="1" t="str">
        <x:v>S0087</x:v>
      </x:c>
      <x:c r="B88" s="1" t="n">
        <x:v>45</x:v>
      </x:c>
      <x:c r="C88" s="1" t="str">
        <x:v>basic</x:v>
      </x:c>
      <x:c r="D88" s="8" t="n">
        <x:v>9.99</x:v>
      </x:c>
      <x:c r="E88" s="1" t="n">
        <x:v>0</x:v>
      </x:c>
      <x:c r="F88" s="1" t="n">
        <x:v>0</x:v>
      </x:c>
      <x:c r="G88" s="1" t="n">
        <x:v>40</x:v>
      </x:c>
      <x:c r="H88" s="1" t="n">
        <x:v>0</x:v>
      </x:c>
      <x:c r="I88" s="1" t="n">
        <x:v>0</x:v>
      </x:c>
      <x:c r="J88" s="1" t="str">
        <x:v>no</x:v>
      </x:c>
      <x:c r="K88" s="1" t="n">
        <x:f>2*H88+E88+IF(G88&gt;30,2,0)-IF(B88&gt;24,1,0)</x:f>
        <x:v>1</x:v>
      </x:c>
      <x:c r="L88" s="1" t="str">
        <x:f>IF(K88&gt;=3,"yes","no")</x:f>
        <x:v>no</x:v>
      </x:c>
      <x:c r="M88" s="1"/>
      <x:c r="N88" s="1"/>
      <x:c r="O88" s="1"/>
    </x:row>
    <x:row r="89">
      <x:c r="A89" s="1" t="str">
        <x:v>S0088</x:v>
      </x:c>
      <x:c r="B89" s="1" t="n">
        <x:v>41</x:v>
      </x:c>
      <x:c r="C89" s="1" t="str">
        <x:v>premium</x:v>
      </x:c>
      <x:c r="D89" s="8" t="n">
        <x:v>15.99</x:v>
      </x:c>
      <x:c r="E89" s="1" t="n">
        <x:v>2</x:v>
      </x:c>
      <x:c r="F89" s="1" t="n">
        <x:v>14</x:v>
      </x:c>
      <x:c r="G89" s="1" t="n">
        <x:v>17</x:v>
      </x:c>
      <x:c r="H89" s="1" t="n">
        <x:v>0</x:v>
      </x:c>
      <x:c r="I89" s="1" t="n">
        <x:v>0</x:v>
      </x:c>
      <x:c r="J89" s="1" t="str">
        <x:v>no</x:v>
      </x:c>
      <x:c r="K89" s="1" t="n">
        <x:f>2*H89+E89+IF(G89&gt;30,2,0)-IF(B89&gt;24,1,0)</x:f>
        <x:v>1</x:v>
      </x:c>
      <x:c r="L89" s="1" t="str">
        <x:f>IF(K89&gt;=3,"yes","no")</x:f>
        <x:v>no</x:v>
      </x:c>
      <x:c r="M89" s="1"/>
      <x:c r="N89" s="1"/>
      <x:c r="O89" s="1"/>
    </x:row>
    <x:row r="90">
      <x:c r="A90" s="1" t="str">
        <x:v>S0089</x:v>
      </x:c>
      <x:c r="B90" s="1" t="n">
        <x:v>33</x:v>
      </x:c>
      <x:c r="C90" s="1" t="str">
        <x:v>basic</x:v>
      </x:c>
      <x:c r="D90" s="8" t="n">
        <x:v>9.99</x:v>
      </x:c>
      <x:c r="E90" s="1" t="n">
        <x:v>0</x:v>
      </x:c>
      <x:c r="F90" s="1" t="n">
        <x:v>31</x:v>
      </x:c>
      <x:c r="G90" s="1" t="n">
        <x:v>2</x:v>
      </x:c>
      <x:c r="H90" s="1" t="n">
        <x:v>0</x:v>
      </x:c>
      <x:c r="I90" s="1" t="n">
        <x:v>0</x:v>
      </x:c>
      <x:c r="J90" s="1" t="str">
        <x:v>no</x:v>
      </x:c>
      <x:c r="K90" s="1" t="n">
        <x:f>2*H90+E90+IF(G90&gt;30,2,0)-IF(B90&gt;24,1,0)</x:f>
        <x:v>-1</x:v>
      </x:c>
      <x:c r="L90" s="1" t="str">
        <x:f>IF(K90&gt;=3,"yes","no")</x:f>
        <x:v>no</x:v>
      </x:c>
      <x:c r="M90" s="1"/>
      <x:c r="N90" s="1"/>
      <x:c r="O90" s="1"/>
    </x:row>
    <x:row r="91">
      <x:c r="A91" s="1" t="str">
        <x:v>S0090</x:v>
      </x:c>
      <x:c r="B91" s="1" t="n">
        <x:v>38</x:v>
      </x:c>
      <x:c r="C91" s="1" t="str">
        <x:v>basic</x:v>
      </x:c>
      <x:c r="D91" s="8" t="n">
        <x:v>9.99</x:v>
      </x:c>
      <x:c r="E91" s="1" t="n">
        <x:v>0</x:v>
      </x:c>
      <x:c r="F91" s="1" t="n">
        <x:v>3</x:v>
      </x:c>
      <x:c r="G91" s="1" t="n">
        <x:v>9</x:v>
      </x:c>
      <x:c r="H91" s="1" t="n">
        <x:v>0</x:v>
      </x:c>
      <x:c r="I91" s="1" t="n">
        <x:v>0</x:v>
      </x:c>
      <x:c r="J91" s="1" t="str">
        <x:v>no</x:v>
      </x:c>
      <x:c r="K91" s="1" t="n">
        <x:f>2*H91+E91+IF(G91&gt;30,2,0)-IF(B91&gt;24,1,0)</x:f>
        <x:v>-1</x:v>
      </x:c>
      <x:c r="L91" s="1" t="str">
        <x:f>IF(K91&gt;=3,"yes","no")</x:f>
        <x:v>no</x:v>
      </x:c>
      <x:c r="M91" s="1"/>
      <x:c r="N91" s="1"/>
      <x:c r="O91" s="1"/>
    </x:row>
    <x:row r="92">
      <x:c r="A92" s="1" t="str">
        <x:v>S0091</x:v>
      </x:c>
      <x:c r="B92" s="1" t="n">
        <x:v>25</x:v>
      </x:c>
      <x:c r="C92" s="1" t="str">
        <x:v>basic</x:v>
      </x:c>
      <x:c r="D92" s="8" t="n">
        <x:v>9.99</x:v>
      </x:c>
      <x:c r="E92" s="1" t="n">
        <x:v>0</x:v>
      </x:c>
      <x:c r="F92" s="1" t="n">
        <x:v>23</x:v>
      </x:c>
      <x:c r="G92" s="1" t="n">
        <x:v>0</x:v>
      </x:c>
      <x:c r="H92" s="1" t="n">
        <x:v>0</x:v>
      </x:c>
      <x:c r="I92" s="1" t="n">
        <x:v>1</x:v>
      </x:c>
      <x:c r="J92" s="1" t="str">
        <x:v>no</x:v>
      </x:c>
      <x:c r="K92" s="1" t="n">
        <x:f>2*H92+E92+IF(G92&gt;30,2,0)-IF(B92&gt;24,1,0)</x:f>
        <x:v>-1</x:v>
      </x:c>
      <x:c r="L92" s="1" t="str">
        <x:f>IF(K92&gt;=3,"yes","no")</x:f>
        <x:v>no</x:v>
      </x:c>
      <x:c r="M92" s="1"/>
      <x:c r="N92" s="1"/>
      <x:c r="O92" s="1"/>
    </x:row>
    <x:row r="93">
      <x:c r="A93" s="1" t="str">
        <x:v>S0092</x:v>
      </x:c>
      <x:c r="B93" s="1" t="n">
        <x:v>25</x:v>
      </x:c>
      <x:c r="C93" s="1" t="str">
        <x:v>basic</x:v>
      </x:c>
      <x:c r="D93" s="8" t="n">
        <x:v>9.99</x:v>
      </x:c>
      <x:c r="E93" s="1" t="n">
        <x:v>0</x:v>
      </x:c>
      <x:c r="F93" s="1" t="n">
        <x:v>23</x:v>
      </x:c>
      <x:c r="G93" s="1" t="n">
        <x:v>28</x:v>
      </x:c>
      <x:c r="H93" s="1" t="n">
        <x:v>0</x:v>
      </x:c>
      <x:c r="I93" s="1" t="n">
        <x:v>1</x:v>
      </x:c>
      <x:c r="J93" s="1" t="str">
        <x:v>no</x:v>
      </x:c>
      <x:c r="K93" s="1" t="n">
        <x:f>2*H93+E93+IF(G93&gt;30,2,0)-IF(B93&gt;24,1,0)</x:f>
        <x:v>-1</x:v>
      </x:c>
      <x:c r="L93" s="1" t="str">
        <x:f>IF(K93&gt;=3,"yes","no")</x:f>
        <x:v>no</x:v>
      </x:c>
      <x:c r="M93" s="1"/>
      <x:c r="N93" s="1"/>
      <x:c r="O93" s="1"/>
    </x:row>
    <x:row r="94">
      <x:c r="A94" s="1" t="str">
        <x:v>S0093</x:v>
      </x:c>
      <x:c r="B94" s="1" t="n">
        <x:v>22</x:v>
      </x:c>
      <x:c r="C94" s="1" t="str">
        <x:v>premium</x:v>
      </x:c>
      <x:c r="D94" s="8" t="n">
        <x:v>15.99</x:v>
      </x:c>
      <x:c r="E94" s="1" t="n">
        <x:v>0</x:v>
      </x:c>
      <x:c r="F94" s="1" t="n">
        <x:v>25</x:v>
      </x:c>
      <x:c r="G94" s="1" t="n">
        <x:v>16</x:v>
      </x:c>
      <x:c r="H94" s="1" t="n">
        <x:v>1</x:v>
      </x:c>
      <x:c r="I94" s="1" t="n">
        <x:v>0</x:v>
      </x:c>
      <x:c r="J94" s="1" t="str">
        <x:v>no</x:v>
      </x:c>
      <x:c r="K94" s="1" t="n">
        <x:f>2*H94+E94+IF(G94&gt;30,2,0)-IF(B94&gt;24,1,0)</x:f>
        <x:v>2</x:v>
      </x:c>
      <x:c r="L94" s="1" t="str">
        <x:f>IF(K94&gt;=3,"yes","no")</x:f>
        <x:v>no</x:v>
      </x:c>
      <x:c r="M94" s="1"/>
      <x:c r="N94" s="1"/>
      <x:c r="O94" s="1"/>
    </x:row>
    <x:row r="95">
      <x:c r="A95" s="1" t="str">
        <x:v>S0094</x:v>
      </x:c>
      <x:c r="B95" s="1" t="n">
        <x:v>34</x:v>
      </x:c>
      <x:c r="C95" s="1" t="str">
        <x:v>premium</x:v>
      </x:c>
      <x:c r="D95" s="8" t="n">
        <x:v>15.99</x:v>
      </x:c>
      <x:c r="E95" s="1" t="n">
        <x:v>0</x:v>
      </x:c>
      <x:c r="F95" s="1" t="n">
        <x:v>23</x:v>
      </x:c>
      <x:c r="G95" s="1" t="n">
        <x:v>5</x:v>
      </x:c>
      <x:c r="H95" s="1" t="n">
        <x:v>0</x:v>
      </x:c>
      <x:c r="I95" s="1" t="n">
        <x:v>1</x:v>
      </x:c>
      <x:c r="J95" s="1" t="str">
        <x:v>no</x:v>
      </x:c>
      <x:c r="K95" s="1" t="n">
        <x:f>2*H95+E95+IF(G95&gt;30,2,0)-IF(B95&gt;24,1,0)</x:f>
        <x:v>-1</x:v>
      </x:c>
      <x:c r="L95" s="1" t="str">
        <x:f>IF(K95&gt;=3,"yes","no")</x:f>
        <x:v>no</x:v>
      </x:c>
      <x:c r="M95" s="1"/>
      <x:c r="N95" s="1"/>
      <x:c r="O95" s="1"/>
    </x:row>
    <x:row r="96">
      <x:c r="A96" s="1" t="str">
        <x:v>S0095</x:v>
      </x:c>
      <x:c r="B96" s="1" t="n">
        <x:v>19</x:v>
      </x:c>
      <x:c r="C96" s="1" t="str">
        <x:v>premium</x:v>
      </x:c>
      <x:c r="D96" s="8" t="n">
        <x:v>15.99</x:v>
      </x:c>
      <x:c r="E96" s="1" t="n">
        <x:v>2</x:v>
      </x:c>
      <x:c r="F96" s="1" t="n">
        <x:v>0</x:v>
      </x:c>
      <x:c r="G96" s="1" t="n">
        <x:v>51</x:v>
      </x:c>
      <x:c r="H96" s="1" t="n">
        <x:v>0</x:v>
      </x:c>
      <x:c r="I96" s="1" t="n">
        <x:v>0</x:v>
      </x:c>
      <x:c r="J96" s="1" t="str">
        <x:v>yes</x:v>
      </x:c>
      <x:c r="K96" s="1" t="n">
        <x:f>2*H96+E96+IF(G96&gt;30,2,0)-IF(B96&gt;24,1,0)</x:f>
        <x:v>4</x:v>
      </x:c>
      <x:c r="L96" s="1" t="str">
        <x:f>IF(K96&gt;=3,"yes","no")</x:f>
        <x:v>yes</x:v>
      </x:c>
      <x:c r="M96" s="1"/>
      <x:c r="N96" s="1"/>
      <x:c r="O96" s="1"/>
    </x:row>
    <x:row r="97">
      <x:c r="A97" s="1" t="str">
        <x:v>S0096</x:v>
      </x:c>
      <x:c r="B97" s="1" t="n">
        <x:v>17</x:v>
      </x:c>
      <x:c r="C97" s="1" t="str">
        <x:v>basic</x:v>
      </x:c>
      <x:c r="D97" s="8" t="n">
        <x:v>9.99</x:v>
      </x:c>
      <x:c r="E97" s="1" t="n">
        <x:v>1</x:v>
      </x:c>
      <x:c r="F97" s="1" t="n">
        <x:v>0</x:v>
      </x:c>
      <x:c r="G97" s="1" t="n">
        <x:v>55</x:v>
      </x:c>
      <x:c r="H97" s="1" t="n">
        <x:v>0</x:v>
      </x:c>
      <x:c r="I97" s="1" t="n">
        <x:v>1</x:v>
      </x:c>
      <x:c r="J97" s="1" t="str">
        <x:v>yes</x:v>
      </x:c>
      <x:c r="K97" s="1" t="n">
        <x:f>2*H97+E97+IF(G97&gt;30,2,0)-IF(B97&gt;24,1,0)</x:f>
        <x:v>3</x:v>
      </x:c>
      <x:c r="L97" s="1" t="str">
        <x:f>IF(K97&gt;=3,"yes","no")</x:f>
        <x:v>yes</x:v>
      </x:c>
      <x:c r="M97" s="1"/>
      <x:c r="N97" s="1"/>
      <x:c r="O97" s="1"/>
    </x:row>
    <x:row r="98">
      <x:c r="A98" s="1" t="str">
        <x:v>S0097</x:v>
      </x:c>
      <x:c r="B98" s="1" t="n">
        <x:v>22</x:v>
      </x:c>
      <x:c r="C98" s="1" t="str">
        <x:v>basic</x:v>
      </x:c>
      <x:c r="D98" s="8" t="n">
        <x:v>9.99</x:v>
      </x:c>
      <x:c r="E98" s="1" t="n">
        <x:v>0</x:v>
      </x:c>
      <x:c r="F98" s="1" t="n">
        <x:v>13</x:v>
      </x:c>
      <x:c r="G98" s="1" t="n">
        <x:v>4</x:v>
      </x:c>
      <x:c r="H98" s="1" t="n">
        <x:v>2</x:v>
      </x:c>
      <x:c r="I98" s="1" t="n">
        <x:v>0</x:v>
      </x:c>
      <x:c r="J98" s="1" t="str">
        <x:v>no</x:v>
      </x:c>
      <x:c r="K98" s="1" t="n">
        <x:f>2*H98+E98+IF(G98&gt;30,2,0)-IF(B98&gt;24,1,0)</x:f>
        <x:v>4</x:v>
      </x:c>
      <x:c r="L98" s="1" t="str">
        <x:f>IF(K98&gt;=3,"yes","no")</x:f>
        <x:v>yes</x:v>
      </x:c>
      <x:c r="M98" s="1"/>
      <x:c r="N98" s="1"/>
      <x:c r="O98" s="1"/>
    </x:row>
    <x:row r="99">
      <x:c r="A99" s="1" t="str">
        <x:v>S0098</x:v>
      </x:c>
      <x:c r="B99" s="1" t="n">
        <x:v>5</x:v>
      </x:c>
      <x:c r="C99" s="1" t="str">
        <x:v>premium</x:v>
      </x:c>
      <x:c r="D99" s="8" t="n">
        <x:v>15.99</x:v>
      </x:c>
      <x:c r="E99" s="1" t="n">
        <x:v>0</x:v>
      </x:c>
      <x:c r="F99" s="1" t="n">
        <x:v>22</x:v>
      </x:c>
      <x:c r="G99" s="1" t="n">
        <x:v>7</x:v>
      </x:c>
      <x:c r="H99" s="1" t="n">
        <x:v>0</x:v>
      </x:c>
      <x:c r="I99" s="1" t="n">
        <x:v>0</x:v>
      </x:c>
      <x:c r="J99" s="1" t="str">
        <x:v>no</x:v>
      </x:c>
      <x:c r="K99" s="1" t="n">
        <x:f>2*H99+E99+IF(G99&gt;30,2,0)-IF(B99&gt;24,1,0)</x:f>
        <x:v>0</x:v>
      </x:c>
      <x:c r="L99" s="1" t="str">
        <x:f>IF(K99&gt;=3,"yes","no")</x:f>
        <x:v>no</x:v>
      </x:c>
      <x:c r="M99" s="1"/>
      <x:c r="N99" s="1"/>
      <x:c r="O99" s="1"/>
    </x:row>
    <x:row r="100">
      <x:c r="A100" s="1" t="str">
        <x:v>S0099</x:v>
      </x:c>
      <x:c r="B100" s="1" t="n">
        <x:v>9</x:v>
      </x:c>
      <x:c r="C100" s="1" t="str">
        <x:v>basic</x:v>
      </x:c>
      <x:c r="D100" s="8" t="n">
        <x:v>9.99</x:v>
      </x:c>
      <x:c r="E100" s="1" t="n">
        <x:v>1</x:v>
      </x:c>
      <x:c r="F100" s="1" t="n">
        <x:v>8</x:v>
      </x:c>
      <x:c r="G100" s="1" t="n">
        <x:v>14</x:v>
      </x:c>
      <x:c r="H100" s="1" t="n">
        <x:v>0</x:v>
      </x:c>
      <x:c r="I100" s="1" t="n">
        <x:v>1</x:v>
      </x:c>
      <x:c r="J100" s="1" t="str">
        <x:v>no</x:v>
      </x:c>
      <x:c r="K100" s="1" t="n">
        <x:f>2*H100+E100+IF(G100&gt;30,2,0)-IF(B100&gt;24,1,0)</x:f>
        <x:v>1</x:v>
      </x:c>
      <x:c r="L100" s="1" t="str">
        <x:f>IF(K100&gt;=3,"yes","no")</x:f>
        <x:v>no</x:v>
      </x:c>
      <x:c r="M100" s="1"/>
      <x:c r="N100" s="1"/>
      <x:c r="O100" s="1"/>
    </x:row>
    <x:row r="101">
      <x:c r="A101" s="1" t="str">
        <x:v>S0100</x:v>
      </x:c>
      <x:c r="B101" s="1" t="n">
        <x:v>34</x:v>
      </x:c>
      <x:c r="C101" s="1" t="str">
        <x:v>basic</x:v>
      </x:c>
      <x:c r="D101" s="8" t="n">
        <x:v>9.99</x:v>
      </x:c>
      <x:c r="E101" s="1" t="n">
        <x:v>0</x:v>
      </x:c>
      <x:c r="F101" s="1" t="n">
        <x:v>14</x:v>
      </x:c>
      <x:c r="G101" s="1" t="n">
        <x:v>6</x:v>
      </x:c>
      <x:c r="H101" s="1" t="n">
        <x:v>0</x:v>
      </x:c>
      <x:c r="I101" s="1" t="n">
        <x:v>0</x:v>
      </x:c>
      <x:c r="J101" s="1" t="str">
        <x:v>yes</x:v>
      </x:c>
      <x:c r="K101" s="1" t="n">
        <x:f>2*H101+E101+IF(G101&gt;30,2,0)-IF(B101&gt;24,1,0)</x:f>
        <x:v>-1</x:v>
      </x:c>
      <x:c r="L101" s="1" t="str">
        <x:f>IF(K101&gt;=3,"yes","no")</x:f>
        <x:v>no</x:v>
      </x:c>
      <x:c r="M101" s="1"/>
      <x:c r="N101" s="1"/>
      <x:c r="O101" s="1"/>
    </x:row>
    <x:row r="102">
      <x:c r="A102" s="1" t="str">
        <x:v>S0101</x:v>
      </x:c>
      <x:c r="B102" s="1" t="n">
        <x:v>42</x:v>
      </x:c>
      <x:c r="C102" s="1" t="str">
        <x:v>premium</x:v>
      </x:c>
      <x:c r="D102" s="8" t="n">
        <x:v>15.99</x:v>
      </x:c>
      <x:c r="E102" s="1" t="n">
        <x:v>0</x:v>
      </x:c>
      <x:c r="F102" s="1" t="n">
        <x:v>11</x:v>
      </x:c>
      <x:c r="G102" s="1" t="n">
        <x:v>27</x:v>
      </x:c>
      <x:c r="H102" s="1" t="n">
        <x:v>0</x:v>
      </x:c>
      <x:c r="I102" s="1" t="n">
        <x:v>0</x:v>
      </x:c>
      <x:c r="J102" s="1" t="str">
        <x:v>no</x:v>
      </x:c>
      <x:c r="K102" s="1" t="n">
        <x:f>2*H102+E102+IF(G102&gt;30,2,0)-IF(B102&gt;24,1,0)</x:f>
        <x:v>-1</x:v>
      </x:c>
      <x:c r="L102" s="1" t="str">
        <x:f>IF(K102&gt;=3,"yes","no")</x:f>
        <x:v>no</x:v>
      </x:c>
      <x:c r="M102" s="1"/>
      <x:c r="N102" s="1"/>
      <x:c r="O102" s="1"/>
    </x:row>
    <x:row r="103">
      <x:c r="A103" s="1" t="str">
        <x:v>S0102</x:v>
      </x:c>
      <x:c r="B103" s="1" t="n">
        <x:v>19</x:v>
      </x:c>
      <x:c r="C103" s="1" t="str">
        <x:v>basic</x:v>
      </x:c>
      <x:c r="D103" s="8" t="n">
        <x:v>9.99</x:v>
      </x:c>
      <x:c r="E103" s="1" t="n">
        <x:v>2</x:v>
      </x:c>
      <x:c r="F103" s="1" t="n">
        <x:v>26</x:v>
      </x:c>
      <x:c r="G103" s="1" t="n">
        <x:v>9</x:v>
      </x:c>
      <x:c r="H103" s="1" t="n">
        <x:v>0</x:v>
      </x:c>
      <x:c r="I103" s="1" t="n">
        <x:v>1</x:v>
      </x:c>
      <x:c r="J103" s="1" t="str">
        <x:v>no</x:v>
      </x:c>
      <x:c r="K103" s="1" t="n">
        <x:f>2*H103+E103+IF(G103&gt;30,2,0)-IF(B103&gt;24,1,0)</x:f>
        <x:v>2</x:v>
      </x:c>
      <x:c r="L103" s="1" t="str">
        <x:f>IF(K103&gt;=3,"yes","no")</x:f>
        <x:v>no</x:v>
      </x:c>
      <x:c r="M103" s="1"/>
      <x:c r="N103" s="1"/>
      <x:c r="O103" s="1"/>
    </x:row>
    <x:row r="104">
      <x:c r="A104" s="1" t="str">
        <x:v>S0103</x:v>
      </x:c>
      <x:c r="B104" s="1" t="n">
        <x:v>24</x:v>
      </x:c>
      <x:c r="C104" s="1" t="str">
        <x:v>basic</x:v>
      </x:c>
      <x:c r="D104" s="8" t="n">
        <x:v>9.99</x:v>
      </x:c>
      <x:c r="E104" s="1" t="n">
        <x:v>1</x:v>
      </x:c>
      <x:c r="F104" s="1" t="n">
        <x:v>7</x:v>
      </x:c>
      <x:c r="G104" s="1" t="n">
        <x:v>4</x:v>
      </x:c>
      <x:c r="H104" s="1" t="n">
        <x:v>0</x:v>
      </x:c>
      <x:c r="I104" s="1" t="n">
        <x:v>1</x:v>
      </x:c>
      <x:c r="J104" s="1" t="str">
        <x:v>no</x:v>
      </x:c>
      <x:c r="K104" s="1" t="n">
        <x:f>2*H104+E104+IF(G104&gt;30,2,0)-IF(B104&gt;24,1,0)</x:f>
        <x:v>1</x:v>
      </x:c>
      <x:c r="L104" s="1" t="str">
        <x:f>IF(K104&gt;=3,"yes","no")</x:f>
        <x:v>no</x:v>
      </x:c>
      <x:c r="M104" s="1"/>
      <x:c r="N104" s="1"/>
      <x:c r="O104" s="1"/>
    </x:row>
    <x:row r="105">
      <x:c r="A105" s="1" t="str">
        <x:v>S0104</x:v>
      </x:c>
      <x:c r="B105" s="1" t="n">
        <x:v>38</x:v>
      </x:c>
      <x:c r="C105" s="1" t="str">
        <x:v>basic</x:v>
      </x:c>
      <x:c r="D105" s="8" t="n">
        <x:v>9.99</x:v>
      </x:c>
      <x:c r="E105" s="1" t="n">
        <x:v>0</x:v>
      </x:c>
      <x:c r="F105" s="1" t="n">
        <x:v>0</x:v>
      </x:c>
      <x:c r="G105" s="1" t="n">
        <x:v>55</x:v>
      </x:c>
      <x:c r="H105" s="1" t="n">
        <x:v>0</x:v>
      </x:c>
      <x:c r="I105" s="1" t="n">
        <x:v>0</x:v>
      </x:c>
      <x:c r="J105" s="1" t="str">
        <x:v>no</x:v>
      </x:c>
      <x:c r="K105" s="1" t="n">
        <x:f>2*H105+E105+IF(G105&gt;30,2,0)-IF(B105&gt;24,1,0)</x:f>
        <x:v>1</x:v>
      </x:c>
      <x:c r="L105" s="1" t="str">
        <x:f>IF(K105&gt;=3,"yes","no")</x:f>
        <x:v>no</x:v>
      </x:c>
      <x:c r="M105" s="1"/>
      <x:c r="N105" s="1"/>
      <x:c r="O105" s="1"/>
    </x:row>
    <x:row r="106">
      <x:c r="A106" s="1" t="str">
        <x:v>S0105</x:v>
      </x:c>
      <x:c r="B106" s="1" t="n">
        <x:v>44</x:v>
      </x:c>
      <x:c r="C106" s="1" t="str">
        <x:v>basic</x:v>
      </x:c>
      <x:c r="D106" s="8" t="n">
        <x:v>9.99</x:v>
      </x:c>
      <x:c r="E106" s="1" t="n">
        <x:v>0</x:v>
      </x:c>
      <x:c r="F106" s="1" t="n">
        <x:v>19</x:v>
      </x:c>
      <x:c r="G106" s="1" t="n">
        <x:v>17</x:v>
      </x:c>
      <x:c r="H106" s="1" t="n">
        <x:v>0</x:v>
      </x:c>
      <x:c r="I106" s="1" t="n">
        <x:v>0</x:v>
      </x:c>
      <x:c r="J106" s="1" t="str">
        <x:v>no</x:v>
      </x:c>
      <x:c r="K106" s="1" t="n">
        <x:f>2*H106+E106+IF(G106&gt;30,2,0)-IF(B106&gt;24,1,0)</x:f>
        <x:v>-1</x:v>
      </x:c>
      <x:c r="L106" s="1" t="str">
        <x:f>IF(K106&gt;=3,"yes","no")</x:f>
        <x:v>no</x:v>
      </x:c>
      <x:c r="M106" s="1"/>
      <x:c r="N106" s="1"/>
      <x:c r="O106" s="1"/>
    </x:row>
    <x:row r="107">
      <x:c r="A107" s="1" t="str">
        <x:v>S0106</x:v>
      </x:c>
      <x:c r="B107" s="1" t="n">
        <x:v>33</x:v>
      </x:c>
      <x:c r="C107" s="1" t="str">
        <x:v>basic</x:v>
      </x:c>
      <x:c r="D107" s="8" t="n">
        <x:v>9.99</x:v>
      </x:c>
      <x:c r="E107" s="1" t="n">
        <x:v>0</x:v>
      </x:c>
      <x:c r="F107" s="1" t="n">
        <x:v>27</x:v>
      </x:c>
      <x:c r="G107" s="1" t="n">
        <x:v>3</x:v>
      </x:c>
      <x:c r="H107" s="1" t="n">
        <x:v>0</x:v>
      </x:c>
      <x:c r="I107" s="1" t="n">
        <x:v>0</x:v>
      </x:c>
      <x:c r="J107" s="1" t="str">
        <x:v>no</x:v>
      </x:c>
      <x:c r="K107" s="1" t="n">
        <x:f>2*H107+E107+IF(G107&gt;30,2,0)-IF(B107&gt;24,1,0)</x:f>
        <x:v>-1</x:v>
      </x:c>
      <x:c r="L107" s="1" t="str">
        <x:f>IF(K107&gt;=3,"yes","no")</x:f>
        <x:v>no</x:v>
      </x:c>
      <x:c r="M107" s="1"/>
      <x:c r="N107" s="1"/>
      <x:c r="O107" s="1"/>
    </x:row>
    <x:row r="108">
      <x:c r="A108" s="1" t="str">
        <x:v>S0107</x:v>
      </x:c>
      <x:c r="B108" s="1" t="n">
        <x:v>23</x:v>
      </x:c>
      <x:c r="C108" s="1" t="str">
        <x:v>basic</x:v>
      </x:c>
      <x:c r="D108" s="8" t="n">
        <x:v>9.99</x:v>
      </x:c>
      <x:c r="E108" s="1" t="n">
        <x:v>0</x:v>
      </x:c>
      <x:c r="F108" s="1" t="n">
        <x:v>0</x:v>
      </x:c>
      <x:c r="G108" s="1" t="n">
        <x:v>46</x:v>
      </x:c>
      <x:c r="H108" s="1" t="n">
        <x:v>0</x:v>
      </x:c>
      <x:c r="I108" s="1" t="n">
        <x:v>0</x:v>
      </x:c>
      <x:c r="J108" s="1" t="str">
        <x:v>yes</x:v>
      </x:c>
      <x:c r="K108" s="1" t="n">
        <x:f>2*H108+E108+IF(G108&gt;30,2,0)-IF(B108&gt;24,1,0)</x:f>
        <x:v>2</x:v>
      </x:c>
      <x:c r="L108" s="1" t="str">
        <x:f>IF(K108&gt;=3,"yes","no")</x:f>
        <x:v>no</x:v>
      </x:c>
      <x:c r="M108" s="1"/>
      <x:c r="N108" s="1"/>
      <x:c r="O108" s="1"/>
    </x:row>
    <x:row r="109">
      <x:c r="A109" s="1" t="str">
        <x:v>S0108</x:v>
      </x:c>
      <x:c r="B109" s="1" t="n">
        <x:v>43</x:v>
      </x:c>
      <x:c r="C109" s="1" t="str">
        <x:v>basic</x:v>
      </x:c>
      <x:c r="D109" s="8" t="n">
        <x:v>9.99</x:v>
      </x:c>
      <x:c r="E109" s="1" t="n">
        <x:v>0</x:v>
      </x:c>
      <x:c r="F109" s="1" t="n">
        <x:v>1</x:v>
      </x:c>
      <x:c r="G109" s="1" t="n">
        <x:v>23</x:v>
      </x:c>
      <x:c r="H109" s="1" t="n">
        <x:v>0</x:v>
      </x:c>
      <x:c r="I109" s="1" t="n">
        <x:v>0</x:v>
      </x:c>
      <x:c r="J109" s="1" t="str">
        <x:v>no</x:v>
      </x:c>
      <x:c r="K109" s="1" t="n">
        <x:f>2*H109+E109+IF(G109&gt;30,2,0)-IF(B109&gt;24,1,0)</x:f>
        <x:v>-1</x:v>
      </x:c>
      <x:c r="L109" s="1" t="str">
        <x:f>IF(K109&gt;=3,"yes","no")</x:f>
        <x:v>no</x:v>
      </x:c>
      <x:c r="M109" s="1"/>
      <x:c r="N109" s="1"/>
      <x:c r="O109" s="1"/>
    </x:row>
    <x:row r="110">
      <x:c r="A110" s="1" t="str">
        <x:v>S0109</x:v>
      </x:c>
      <x:c r="B110" s="1" t="n">
        <x:v>17</x:v>
      </x:c>
      <x:c r="C110" s="1" t="str">
        <x:v>basic</x:v>
      </x:c>
      <x:c r="D110" s="8" t="n">
        <x:v>9.99</x:v>
      </x:c>
      <x:c r="E110" s="1" t="n">
        <x:v>0</x:v>
      </x:c>
      <x:c r="F110" s="1" t="n">
        <x:v>4</x:v>
      </x:c>
      <x:c r="G110" s="1" t="n">
        <x:v>9</x:v>
      </x:c>
      <x:c r="H110" s="1" t="n">
        <x:v>0</x:v>
      </x:c>
      <x:c r="I110" s="1" t="n">
        <x:v>0</x:v>
      </x:c>
      <x:c r="J110" s="1" t="str">
        <x:v>no</x:v>
      </x:c>
      <x:c r="K110" s="1" t="n">
        <x:f>2*H110+E110+IF(G110&gt;30,2,0)-IF(B110&gt;24,1,0)</x:f>
        <x:v>0</x:v>
      </x:c>
      <x:c r="L110" s="1" t="str">
        <x:f>IF(K110&gt;=3,"yes","no")</x:f>
        <x:v>no</x:v>
      </x:c>
      <x:c r="M110" s="1"/>
      <x:c r="N110" s="1"/>
      <x:c r="O110" s="1"/>
    </x:row>
    <x:row r="111">
      <x:c r="A111" s="1" t="str">
        <x:v>S0110</x:v>
      </x:c>
      <x:c r="B111" s="1" t="n">
        <x:v>41</x:v>
      </x:c>
      <x:c r="C111" s="1" t="str">
        <x:v>premium</x:v>
      </x:c>
      <x:c r="D111" s="8" t="n">
        <x:v>15.99</x:v>
      </x:c>
      <x:c r="E111" s="1" t="n">
        <x:v>2</x:v>
      </x:c>
      <x:c r="F111" s="1" t="n">
        <x:v>24</x:v>
      </x:c>
      <x:c r="G111" s="1" t="n">
        <x:v>3</x:v>
      </x:c>
      <x:c r="H111" s="1" t="n">
        <x:v>0</x:v>
      </x:c>
      <x:c r="I111" s="1" t="n">
        <x:v>0</x:v>
      </x:c>
      <x:c r="J111" s="1" t="str">
        <x:v>no</x:v>
      </x:c>
      <x:c r="K111" s="1" t="n">
        <x:f>2*H111+E111+IF(G111&gt;30,2,0)-IF(B111&gt;24,1,0)</x:f>
        <x:v>1</x:v>
      </x:c>
      <x:c r="L111" s="1" t="str">
        <x:f>IF(K111&gt;=3,"yes","no")</x:f>
        <x:v>no</x:v>
      </x:c>
      <x:c r="M111" s="1"/>
      <x:c r="N111" s="1"/>
      <x:c r="O111" s="1"/>
    </x:row>
    <x:row r="112">
      <x:c r="A112" s="1" t="str">
        <x:v>S0111</x:v>
      </x:c>
      <x:c r="B112" s="1" t="n">
        <x:v>18</x:v>
      </x:c>
      <x:c r="C112" s="1" t="str">
        <x:v>basic</x:v>
      </x:c>
      <x:c r="D112" s="8" t="n">
        <x:v>9.99</x:v>
      </x:c>
      <x:c r="E112" s="1" t="n">
        <x:v>0</x:v>
      </x:c>
      <x:c r="F112" s="1" t="n">
        <x:v>16</x:v>
      </x:c>
      <x:c r="G112" s="1" t="n">
        <x:v>14</x:v>
      </x:c>
      <x:c r="H112" s="1" t="n">
        <x:v>0</x:v>
      </x:c>
      <x:c r="I112" s="1" t="n">
        <x:v>0</x:v>
      </x:c>
      <x:c r="J112" s="1" t="str">
        <x:v>no</x:v>
      </x:c>
      <x:c r="K112" s="1" t="n">
        <x:f>2*H112+E112+IF(G112&gt;30,2,0)-IF(B112&gt;24,1,0)</x:f>
        <x:v>0</x:v>
      </x:c>
      <x:c r="L112" s="1" t="str">
        <x:f>IF(K112&gt;=3,"yes","no")</x:f>
        <x:v>no</x:v>
      </x:c>
      <x:c r="M112" s="1"/>
      <x:c r="N112" s="1"/>
      <x:c r="O112" s="1"/>
    </x:row>
    <x:row r="113">
      <x:c r="A113" s="1" t="str">
        <x:v>S0112</x:v>
      </x:c>
      <x:c r="B113" s="1" t="n">
        <x:v>3</x:v>
      </x:c>
      <x:c r="C113" s="1" t="str">
        <x:v>basic</x:v>
      </x:c>
      <x:c r="D113" s="8" t="n">
        <x:v>9.99</x:v>
      </x:c>
      <x:c r="E113" s="1" t="n">
        <x:v>0</x:v>
      </x:c>
      <x:c r="F113" s="1" t="n">
        <x:v>1</x:v>
      </x:c>
      <x:c r="G113" s="1" t="n">
        <x:v>28</x:v>
      </x:c>
      <x:c r="H113" s="1" t="n">
        <x:v>0</x:v>
      </x:c>
      <x:c r="I113" s="1" t="n">
        <x:v>0</x:v>
      </x:c>
      <x:c r="J113" s="1" t="str">
        <x:v>no</x:v>
      </x:c>
      <x:c r="K113" s="1" t="n">
        <x:f>2*H113+E113+IF(G113&gt;30,2,0)-IF(B113&gt;24,1,0)</x:f>
        <x:v>0</x:v>
      </x:c>
      <x:c r="L113" s="1" t="str">
        <x:f>IF(K113&gt;=3,"yes","no")</x:f>
        <x:v>no</x:v>
      </x:c>
      <x:c r="M113" s="1"/>
      <x:c r="N113" s="1"/>
      <x:c r="O113" s="1"/>
    </x:row>
    <x:row r="114">
      <x:c r="A114" s="1" t="str">
        <x:v>S0113</x:v>
      </x:c>
      <x:c r="B114" s="1" t="n">
        <x:v>48</x:v>
      </x:c>
      <x:c r="C114" s="1" t="str">
        <x:v>premium</x:v>
      </x:c>
      <x:c r="D114" s="8" t="n">
        <x:v>15.99</x:v>
      </x:c>
      <x:c r="E114" s="1" t="n">
        <x:v>0</x:v>
      </x:c>
      <x:c r="F114" s="1" t="n">
        <x:v>27</x:v>
      </x:c>
      <x:c r="G114" s="1" t="n">
        <x:v>0</x:v>
      </x:c>
      <x:c r="H114" s="1" t="n">
        <x:v>0</x:v>
      </x:c>
      <x:c r="I114" s="1" t="n">
        <x:v>0</x:v>
      </x:c>
      <x:c r="J114" s="1" t="str">
        <x:v>no</x:v>
      </x:c>
      <x:c r="K114" s="1" t="n">
        <x:f>2*H114+E114+IF(G114&gt;30,2,0)-IF(B114&gt;24,1,0)</x:f>
        <x:v>-1</x:v>
      </x:c>
      <x:c r="L114" s="1" t="str">
        <x:f>IF(K114&gt;=3,"yes","no")</x:f>
        <x:v>no</x:v>
      </x:c>
      <x:c r="M114" s="1"/>
      <x:c r="N114" s="1"/>
      <x:c r="O114" s="1"/>
    </x:row>
    <x:row r="115">
      <x:c r="A115" s="1" t="str">
        <x:v>S0114</x:v>
      </x:c>
      <x:c r="B115" s="1" t="n">
        <x:v>34</x:v>
      </x:c>
      <x:c r="C115" s="1" t="str">
        <x:v>basic</x:v>
      </x:c>
      <x:c r="D115" s="8" t="n">
        <x:v>9.99</x:v>
      </x:c>
      <x:c r="E115" s="1" t="n">
        <x:v>0</x:v>
      </x:c>
      <x:c r="F115" s="1" t="n">
        <x:v>0</x:v>
      </x:c>
      <x:c r="G115" s="1" t="n">
        <x:v>47</x:v>
      </x:c>
      <x:c r="H115" s="1" t="n">
        <x:v>0</x:v>
      </x:c>
      <x:c r="I115" s="1" t="n">
        <x:v>0</x:v>
      </x:c>
      <x:c r="J115" s="1" t="str">
        <x:v>no</x:v>
      </x:c>
      <x:c r="K115" s="1" t="n">
        <x:f>2*H115+E115+IF(G115&gt;30,2,0)-IF(B115&gt;24,1,0)</x:f>
        <x:v>1</x:v>
      </x:c>
      <x:c r="L115" s="1" t="str">
        <x:f>IF(K115&gt;=3,"yes","no")</x:f>
        <x:v>no</x:v>
      </x:c>
      <x:c r="M115" s="1"/>
      <x:c r="N115" s="1"/>
      <x:c r="O115" s="1"/>
    </x:row>
    <x:row r="116">
      <x:c r="A116" s="1" t="str">
        <x:v>S0115</x:v>
      </x:c>
      <x:c r="B116" s="1" t="n">
        <x:v>8</x:v>
      </x:c>
      <x:c r="C116" s="1" t="str">
        <x:v>premium</x:v>
      </x:c>
      <x:c r="D116" s="8" t="n">
        <x:v>15.99</x:v>
      </x:c>
      <x:c r="E116" s="1" t="n">
        <x:v>4</x:v>
      </x:c>
      <x:c r="F116" s="1" t="n">
        <x:v>29</x:v>
      </x:c>
      <x:c r="G116" s="1" t="n">
        <x:v>6</x:v>
      </x:c>
      <x:c r="H116" s="1" t="n">
        <x:v>0</x:v>
      </x:c>
      <x:c r="I116" s="1" t="n">
        <x:v>0</x:v>
      </x:c>
      <x:c r="J116" s="1" t="str">
        <x:v>no</x:v>
      </x:c>
      <x:c r="K116" s="1" t="n">
        <x:f>2*H116+E116+IF(G116&gt;30,2,0)-IF(B116&gt;24,1,0)</x:f>
        <x:v>4</x:v>
      </x:c>
      <x:c r="L116" s="1" t="str">
        <x:f>IF(K116&gt;=3,"yes","no")</x:f>
        <x:v>yes</x:v>
      </x:c>
      <x:c r="M116" s="1"/>
      <x:c r="N116" s="1"/>
      <x:c r="O116" s="1"/>
    </x:row>
    <x:row r="117">
      <x:c r="A117" s="1" t="str">
        <x:v>S0116</x:v>
      </x:c>
      <x:c r="B117" s="1" t="n">
        <x:v>44</x:v>
      </x:c>
      <x:c r="C117" s="1" t="str">
        <x:v>basic</x:v>
      </x:c>
      <x:c r="D117" s="8" t="n">
        <x:v>9.99</x:v>
      </x:c>
      <x:c r="E117" s="1" t="n">
        <x:v>0</x:v>
      </x:c>
      <x:c r="F117" s="1" t="n">
        <x:v>21</x:v>
      </x:c>
      <x:c r="G117" s="1" t="n">
        <x:v>22</x:v>
      </x:c>
      <x:c r="H117" s="1" t="n">
        <x:v>0</x:v>
      </x:c>
      <x:c r="I117" s="1" t="n">
        <x:v>1</x:v>
      </x:c>
      <x:c r="J117" s="1" t="str">
        <x:v>no</x:v>
      </x:c>
      <x:c r="K117" s="1" t="n">
        <x:f>2*H117+E117+IF(G117&gt;30,2,0)-IF(B117&gt;24,1,0)</x:f>
        <x:v>-1</x:v>
      </x:c>
      <x:c r="L117" s="1" t="str">
        <x:f>IF(K117&gt;=3,"yes","no")</x:f>
        <x:v>no</x:v>
      </x:c>
      <x:c r="M117" s="1"/>
      <x:c r="N117" s="1"/>
      <x:c r="O117" s="1"/>
    </x:row>
    <x:row r="118">
      <x:c r="A118" s="1" t="str">
        <x:v>S0117</x:v>
      </x:c>
      <x:c r="B118" s="1" t="n">
        <x:v>31</x:v>
      </x:c>
      <x:c r="C118" s="1" t="str">
        <x:v>basic</x:v>
      </x:c>
      <x:c r="D118" s="8" t="n">
        <x:v>9.99</x:v>
      </x:c>
      <x:c r="E118" s="1" t="n">
        <x:v>2</x:v>
      </x:c>
      <x:c r="F118" s="1" t="n">
        <x:v>10</x:v>
      </x:c>
      <x:c r="G118" s="1" t="n">
        <x:v>2</x:v>
      </x:c>
      <x:c r="H118" s="1" t="n">
        <x:v>0</x:v>
      </x:c>
      <x:c r="I118" s="1" t="n">
        <x:v>0</x:v>
      </x:c>
      <x:c r="J118" s="1" t="str">
        <x:v>no</x:v>
      </x:c>
      <x:c r="K118" s="1" t="n">
        <x:f>2*H118+E118+IF(G118&gt;30,2,0)-IF(B118&gt;24,1,0)</x:f>
        <x:v>1</x:v>
      </x:c>
      <x:c r="L118" s="1" t="str">
        <x:f>IF(K118&gt;=3,"yes","no")</x:f>
        <x:v>no</x:v>
      </x:c>
      <x:c r="M118" s="1"/>
      <x:c r="N118" s="1"/>
      <x:c r="O118" s="1"/>
    </x:row>
    <x:row r="119">
      <x:c r="A119" s="1" t="str">
        <x:v>S0118</x:v>
      </x:c>
      <x:c r="B119" s="1" t="n">
        <x:v>10</x:v>
      </x:c>
      <x:c r="C119" s="1" t="str">
        <x:v>basic</x:v>
      </x:c>
      <x:c r="D119" s="8" t="n">
        <x:v>9.99</x:v>
      </x:c>
      <x:c r="E119" s="1" t="n">
        <x:v>2</x:v>
      </x:c>
      <x:c r="F119" s="1" t="n">
        <x:v>0</x:v>
      </x:c>
      <x:c r="G119" s="1" t="n">
        <x:v>59</x:v>
      </x:c>
      <x:c r="H119" s="1" t="n">
        <x:v>0</x:v>
      </x:c>
      <x:c r="I119" s="1" t="n">
        <x:v>0</x:v>
      </x:c>
      <x:c r="J119" s="1" t="str">
        <x:v>yes</x:v>
      </x:c>
      <x:c r="K119" s="1" t="n">
        <x:f>2*H119+E119+IF(G119&gt;30,2,0)-IF(B119&gt;24,1,0)</x:f>
        <x:v>4</x:v>
      </x:c>
      <x:c r="L119" s="1" t="str">
        <x:f>IF(K119&gt;=3,"yes","no")</x:f>
        <x:v>yes</x:v>
      </x:c>
      <x:c r="M119" s="1"/>
      <x:c r="N119" s="1"/>
      <x:c r="O119" s="1"/>
    </x:row>
    <x:row r="120">
      <x:c r="A120" s="1" t="str">
        <x:v>S0119</x:v>
      </x:c>
      <x:c r="B120" s="1" t="n">
        <x:v>25</x:v>
      </x:c>
      <x:c r="C120" s="1" t="str">
        <x:v>basic</x:v>
      </x:c>
      <x:c r="D120" s="8" t="n">
        <x:v>9.99</x:v>
      </x:c>
      <x:c r="E120" s="1" t="n">
        <x:v>1</x:v>
      </x:c>
      <x:c r="F120" s="1" t="n">
        <x:v>1</x:v>
      </x:c>
      <x:c r="G120" s="1" t="n">
        <x:v>24</x:v>
      </x:c>
      <x:c r="H120" s="1" t="n">
        <x:v>0</x:v>
      </x:c>
      <x:c r="I120" s="1" t="n">
        <x:v>0</x:v>
      </x:c>
      <x:c r="J120" s="1" t="str">
        <x:v>no</x:v>
      </x:c>
      <x:c r="K120" s="1" t="n">
        <x:f>2*H120+E120+IF(G120&gt;30,2,0)-IF(B120&gt;24,1,0)</x:f>
        <x:v>0</x:v>
      </x:c>
      <x:c r="L120" s="1" t="str">
        <x:f>IF(K120&gt;=3,"yes","no")</x:f>
        <x:v>no</x:v>
      </x:c>
      <x:c r="M120" s="1"/>
      <x:c r="N120" s="1"/>
      <x:c r="O120" s="1"/>
    </x:row>
    <x:row r="121">
      <x:c r="A121" s="1" t="str">
        <x:v>S0120</x:v>
      </x:c>
      <x:c r="B121" s="1" t="n">
        <x:v>2</x:v>
      </x:c>
      <x:c r="C121" s="1" t="str">
        <x:v>basic</x:v>
      </x:c>
      <x:c r="D121" s="8" t="n">
        <x:v>9.99</x:v>
      </x:c>
      <x:c r="E121" s="1" t="n">
        <x:v>1</x:v>
      </x:c>
      <x:c r="F121" s="1" t="n">
        <x:v>25</x:v>
      </x:c>
      <x:c r="G121" s="1" t="n">
        <x:v>0</x:v>
      </x:c>
      <x:c r="H121" s="1" t="n">
        <x:v>0</x:v>
      </x:c>
      <x:c r="I121" s="1" t="n">
        <x:v>0</x:v>
      </x:c>
      <x:c r="J121" s="1" t="str">
        <x:v>yes</x:v>
      </x:c>
      <x:c r="K121" s="1" t="n">
        <x:f>2*H121+E121+IF(G121&gt;30,2,0)-IF(B121&gt;24,1,0)</x:f>
        <x:v>1</x:v>
      </x:c>
      <x:c r="L121" s="1" t="str">
        <x:f>IF(K121&gt;=3,"yes","no")</x:f>
        <x:v>no</x:v>
      </x:c>
      <x:c r="M121" s="1"/>
      <x:c r="N121" s="1"/>
      <x:c r="O121" s="1"/>
    </x:row>
    <x:row r="122">
      <x:c r="A122" s="1" t="str">
        <x:v>S0121</x:v>
      </x:c>
      <x:c r="B122" s="1" t="n">
        <x:v>16</x:v>
      </x:c>
      <x:c r="C122" s="1" t="str">
        <x:v>premium</x:v>
      </x:c>
      <x:c r="D122" s="8" t="n">
        <x:v>15.99</x:v>
      </x:c>
      <x:c r="E122" s="1" t="n">
        <x:v>1</x:v>
      </x:c>
      <x:c r="F122" s="1" t="n">
        <x:v>4</x:v>
      </x:c>
      <x:c r="G122" s="1" t="n">
        <x:v>10</x:v>
      </x:c>
      <x:c r="H122" s="1" t="n">
        <x:v>0</x:v>
      </x:c>
      <x:c r="I122" s="1" t="n">
        <x:v>0</x:v>
      </x:c>
      <x:c r="J122" s="1" t="str">
        <x:v>yes</x:v>
      </x:c>
      <x:c r="K122" s="1" t="n">
        <x:f>2*H122+E122+IF(G122&gt;30,2,0)-IF(B122&gt;24,1,0)</x:f>
        <x:v>1</x:v>
      </x:c>
      <x:c r="L122" s="1" t="str">
        <x:f>IF(K122&gt;=3,"yes","no")</x:f>
        <x:v>no</x:v>
      </x:c>
      <x:c r="M122" s="1"/>
      <x:c r="N122" s="1"/>
      <x:c r="O122" s="1"/>
    </x:row>
    <x:row r="123">
      <x:c r="A123" s="1" t="str">
        <x:v>S0122</x:v>
      </x:c>
      <x:c r="B123" s="1" t="n">
        <x:v>2</x:v>
      </x:c>
      <x:c r="C123" s="1" t="str">
        <x:v>premium</x:v>
      </x:c>
      <x:c r="D123" s="8" t="n">
        <x:v>15.99</x:v>
      </x:c>
      <x:c r="E123" s="1" t="n">
        <x:v>0</x:v>
      </x:c>
      <x:c r="F123" s="1" t="n">
        <x:v>11</x:v>
      </x:c>
      <x:c r="G123" s="1" t="n">
        <x:v>7</x:v>
      </x:c>
      <x:c r="H123" s="1" t="n">
        <x:v>0</x:v>
      </x:c>
      <x:c r="I123" s="1" t="n">
        <x:v>0</x:v>
      </x:c>
      <x:c r="J123" s="1" t="str">
        <x:v>no</x:v>
      </x:c>
      <x:c r="K123" s="1" t="n">
        <x:f>2*H123+E123+IF(G123&gt;30,2,0)-IF(B123&gt;24,1,0)</x:f>
        <x:v>0</x:v>
      </x:c>
      <x:c r="L123" s="1" t="str">
        <x:f>IF(K123&gt;=3,"yes","no")</x:f>
        <x:v>no</x:v>
      </x:c>
      <x:c r="M123" s="1"/>
      <x:c r="N123" s="1"/>
      <x:c r="O123" s="1"/>
    </x:row>
    <x:row r="124">
      <x:c r="A124" s="1" t="str">
        <x:v>S0123</x:v>
      </x:c>
      <x:c r="B124" s="1" t="n">
        <x:v>1</x:v>
      </x:c>
      <x:c r="C124" s="1" t="str">
        <x:v>basic</x:v>
      </x:c>
      <x:c r="D124" s="8" t="n">
        <x:v>9.99</x:v>
      </x:c>
      <x:c r="E124" s="1" t="n">
        <x:v>1</x:v>
      </x:c>
      <x:c r="F124" s="1" t="n">
        <x:v>20</x:v>
      </x:c>
      <x:c r="G124" s="1" t="n">
        <x:v>5</x:v>
      </x:c>
      <x:c r="H124" s="1" t="n">
        <x:v>0</x:v>
      </x:c>
      <x:c r="I124" s="1" t="n">
        <x:v>0</x:v>
      </x:c>
      <x:c r="J124" s="1" t="str">
        <x:v>no</x:v>
      </x:c>
      <x:c r="K124" s="1" t="n">
        <x:f>2*H124+E124+IF(G124&gt;30,2,0)-IF(B124&gt;24,1,0)</x:f>
        <x:v>1</x:v>
      </x:c>
      <x:c r="L124" s="1" t="str">
        <x:f>IF(K124&gt;=3,"yes","no")</x:f>
        <x:v>no</x:v>
      </x:c>
      <x:c r="M124" s="1"/>
      <x:c r="N124" s="1"/>
      <x:c r="O124" s="1"/>
    </x:row>
    <x:row r="125">
      <x:c r="A125" s="1" t="str">
        <x:v>S0124</x:v>
      </x:c>
      <x:c r="B125" s="1" t="n">
        <x:v>27</x:v>
      </x:c>
      <x:c r="C125" s="1" t="str">
        <x:v>basic</x:v>
      </x:c>
      <x:c r="D125" s="8" t="n">
        <x:v>9.99</x:v>
      </x:c>
      <x:c r="E125" s="1" t="n">
        <x:v>1</x:v>
      </x:c>
      <x:c r="F125" s="1" t="n">
        <x:v>14</x:v>
      </x:c>
      <x:c r="G125" s="1" t="n">
        <x:v>1</x:v>
      </x:c>
      <x:c r="H125" s="1" t="n">
        <x:v>0</x:v>
      </x:c>
      <x:c r="I125" s="1" t="n">
        <x:v>0</x:v>
      </x:c>
      <x:c r="J125" s="1" t="str">
        <x:v>no</x:v>
      </x:c>
      <x:c r="K125" s="1" t="n">
        <x:f>2*H125+E125+IF(G125&gt;30,2,0)-IF(B125&gt;24,1,0)</x:f>
        <x:v>0</x:v>
      </x:c>
      <x:c r="L125" s="1" t="str">
        <x:f>IF(K125&gt;=3,"yes","no")</x:f>
        <x:v>no</x:v>
      </x:c>
      <x:c r="M125" s="1"/>
      <x:c r="N125" s="1"/>
      <x:c r="O125" s="1"/>
    </x:row>
    <x:row r="126">
      <x:c r="A126" s="1" t="str">
        <x:v>S0125</x:v>
      </x:c>
      <x:c r="B126" s="1" t="n">
        <x:v>4</x:v>
      </x:c>
      <x:c r="C126" s="1" t="str">
        <x:v>basic</x:v>
      </x:c>
      <x:c r="D126" s="8" t="n">
        <x:v>9.99</x:v>
      </x:c>
      <x:c r="E126" s="1" t="n">
        <x:v>0</x:v>
      </x:c>
      <x:c r="F126" s="1" t="n">
        <x:v>15</x:v>
      </x:c>
      <x:c r="G126" s="1" t="n">
        <x:v>7</x:v>
      </x:c>
      <x:c r="H126" s="1" t="n">
        <x:v>0</x:v>
      </x:c>
      <x:c r="I126" s="1" t="n">
        <x:v>0</x:v>
      </x:c>
      <x:c r="J126" s="1" t="str">
        <x:v>no</x:v>
      </x:c>
      <x:c r="K126" s="1" t="n">
        <x:f>2*H126+E126+IF(G126&gt;30,2,0)-IF(B126&gt;24,1,0)</x:f>
        <x:v>0</x:v>
      </x:c>
      <x:c r="L126" s="1" t="str">
        <x:f>IF(K126&gt;=3,"yes","no")</x:f>
        <x:v>no</x:v>
      </x:c>
      <x:c r="M126" s="1"/>
      <x:c r="N126" s="1"/>
      <x:c r="O126" s="1"/>
    </x:row>
    <x:row r="127">
      <x:c r="A127" s="1" t="str">
        <x:v>S0126</x:v>
      </x:c>
      <x:c r="B127" s="1" t="n">
        <x:v>41</x:v>
      </x:c>
      <x:c r="C127" s="1" t="str">
        <x:v>premium</x:v>
      </x:c>
      <x:c r="D127" s="8" t="n">
        <x:v>15.99</x:v>
      </x:c>
      <x:c r="E127" s="1" t="n">
        <x:v>3</x:v>
      </x:c>
      <x:c r="F127" s="1" t="n">
        <x:v>23</x:v>
      </x:c>
      <x:c r="G127" s="1" t="n">
        <x:v>0</x:v>
      </x:c>
      <x:c r="H127" s="1" t="n">
        <x:v>1</x:v>
      </x:c>
      <x:c r="I127" s="1" t="n">
        <x:v>0</x:v>
      </x:c>
      <x:c r="J127" s="1" t="str">
        <x:v>yes</x:v>
      </x:c>
      <x:c r="K127" s="1" t="n">
        <x:f>2*H127+E127+IF(G127&gt;30,2,0)-IF(B127&gt;24,1,0)</x:f>
        <x:v>4</x:v>
      </x:c>
      <x:c r="L127" s="1" t="str">
        <x:f>IF(K127&gt;=3,"yes","no")</x:f>
        <x:v>yes</x:v>
      </x:c>
      <x:c r="M127" s="1"/>
      <x:c r="N127" s="1"/>
      <x:c r="O127" s="1"/>
    </x:row>
    <x:row r="128">
      <x:c r="A128" s="1" t="str">
        <x:v>S0127</x:v>
      </x:c>
      <x:c r="B128" s="1" t="n">
        <x:v>10</x:v>
      </x:c>
      <x:c r="C128" s="1" t="str">
        <x:v>basic</x:v>
      </x:c>
      <x:c r="D128" s="8" t="n">
        <x:v>9.99</x:v>
      </x:c>
      <x:c r="E128" s="1" t="n">
        <x:v>1</x:v>
      </x:c>
      <x:c r="F128" s="1" t="n">
        <x:v>0</x:v>
      </x:c>
      <x:c r="G128" s="1" t="n">
        <x:v>58</x:v>
      </x:c>
      <x:c r="H128" s="1" t="n">
        <x:v>0</x:v>
      </x:c>
      <x:c r="I128" s="1" t="n">
        <x:v>0</x:v>
      </x:c>
      <x:c r="J128" s="1" t="str">
        <x:v>yes</x:v>
      </x:c>
      <x:c r="K128" s="1" t="n">
        <x:f>2*H128+E128+IF(G128&gt;30,2,0)-IF(B128&gt;24,1,0)</x:f>
        <x:v>3</x:v>
      </x:c>
      <x:c r="L128" s="1" t="str">
        <x:f>IF(K128&gt;=3,"yes","no")</x:f>
        <x:v>yes</x:v>
      </x:c>
      <x:c r="M128" s="1"/>
      <x:c r="N128" s="1"/>
      <x:c r="O128" s="1"/>
    </x:row>
    <x:row r="129">
      <x:c r="A129" s="1" t="str">
        <x:v>S0128</x:v>
      </x:c>
      <x:c r="B129" s="1" t="n">
        <x:v>23</x:v>
      </x:c>
      <x:c r="C129" s="1" t="str">
        <x:v>basic</x:v>
      </x:c>
      <x:c r="D129" s="8" t="n">
        <x:v>9.99</x:v>
      </x:c>
      <x:c r="E129" s="1" t="n">
        <x:v>0</x:v>
      </x:c>
      <x:c r="F129" s="1" t="n">
        <x:v>7</x:v>
      </x:c>
      <x:c r="G129" s="1" t="n">
        <x:v>1</x:v>
      </x:c>
      <x:c r="H129" s="1" t="n">
        <x:v>0</x:v>
      </x:c>
      <x:c r="I129" s="1" t="n">
        <x:v>0</x:v>
      </x:c>
      <x:c r="J129" s="1" t="str">
        <x:v>no</x:v>
      </x:c>
      <x:c r="K129" s="1" t="n">
        <x:f>2*H129+E129+IF(G129&gt;30,2,0)-IF(B129&gt;24,1,0)</x:f>
        <x:v>0</x:v>
      </x:c>
      <x:c r="L129" s="1" t="str">
        <x:f>IF(K129&gt;=3,"yes","no")</x:f>
        <x:v>no</x:v>
      </x:c>
      <x:c r="M129" s="1"/>
      <x:c r="N129" s="1"/>
      <x:c r="O129" s="1"/>
    </x:row>
    <x:row r="130">
      <x:c r="A130" s="1" t="str">
        <x:v>S0129</x:v>
      </x:c>
      <x:c r="B130" s="1" t="n">
        <x:v>41</x:v>
      </x:c>
      <x:c r="C130" s="1" t="str">
        <x:v>premium</x:v>
      </x:c>
      <x:c r="D130" s="8" t="n">
        <x:v>15.99</x:v>
      </x:c>
      <x:c r="E130" s="1" t="n">
        <x:v>2</x:v>
      </x:c>
      <x:c r="F130" s="1" t="n">
        <x:v>15</x:v>
      </x:c>
      <x:c r="G130" s="1" t="n">
        <x:v>16</x:v>
      </x:c>
      <x:c r="H130" s="1" t="n">
        <x:v>0</x:v>
      </x:c>
      <x:c r="I130" s="1" t="n">
        <x:v>0</x:v>
      </x:c>
      <x:c r="J130" s="1" t="str">
        <x:v>no</x:v>
      </x:c>
      <x:c r="K130" s="1" t="n">
        <x:f>2*H130+E130+IF(G130&gt;30,2,0)-IF(B130&gt;24,1,0)</x:f>
        <x:v>1</x:v>
      </x:c>
      <x:c r="L130" s="1" t="str">
        <x:f>IF(K130&gt;=3,"yes","no")</x:f>
        <x:v>no</x:v>
      </x:c>
      <x:c r="M130" s="1"/>
      <x:c r="N130" s="1"/>
      <x:c r="O130" s="1"/>
    </x:row>
    <x:row r="131">
      <x:c r="A131" s="1" t="str">
        <x:v>S0130</x:v>
      </x:c>
      <x:c r="B131" s="1" t="n">
        <x:v>19</x:v>
      </x:c>
      <x:c r="C131" s="1" t="str">
        <x:v>basic</x:v>
      </x:c>
      <x:c r="D131" s="8" t="n">
        <x:v>9.99</x:v>
      </x:c>
      <x:c r="E131" s="1" t="n">
        <x:v>1</x:v>
      </x:c>
      <x:c r="F131" s="1" t="n">
        <x:v>23</x:v>
      </x:c>
      <x:c r="G131" s="1" t="n">
        <x:v>1</x:v>
      </x:c>
      <x:c r="H131" s="1" t="n">
        <x:v>0</x:v>
      </x:c>
      <x:c r="I131" s="1" t="n">
        <x:v>0</x:v>
      </x:c>
      <x:c r="J131" s="1" t="str">
        <x:v>no</x:v>
      </x:c>
      <x:c r="K131" s="1" t="n">
        <x:f>2*H131+E131+IF(G131&gt;30,2,0)-IF(B131&gt;24,1,0)</x:f>
        <x:v>1</x:v>
      </x:c>
      <x:c r="L131" s="1" t="str">
        <x:f>IF(K131&gt;=3,"yes","no")</x:f>
        <x:v>no</x:v>
      </x:c>
      <x:c r="M131" s="1"/>
      <x:c r="N131" s="1"/>
      <x:c r="O131" s="1"/>
    </x:row>
    <x:row r="132">
      <x:c r="A132" s="1" t="str">
        <x:v>S0131</x:v>
      </x:c>
      <x:c r="B132" s="1" t="n">
        <x:v>19</x:v>
      </x:c>
      <x:c r="C132" s="1" t="str">
        <x:v>basic</x:v>
      </x:c>
      <x:c r="D132" s="8" t="n">
        <x:v>9.99</x:v>
      </x:c>
      <x:c r="E132" s="1" t="n">
        <x:v>2</x:v>
      </x:c>
      <x:c r="F132" s="1" t="n">
        <x:v>4</x:v>
      </x:c>
      <x:c r="G132" s="1" t="n">
        <x:v>21</x:v>
      </x:c>
      <x:c r="H132" s="1" t="n">
        <x:v>0</x:v>
      </x:c>
      <x:c r="I132" s="1" t="n">
        <x:v>0</x:v>
      </x:c>
      <x:c r="J132" s="1" t="str">
        <x:v>no</x:v>
      </x:c>
      <x:c r="K132" s="1" t="n">
        <x:f>2*H132+E132+IF(G132&gt;30,2,0)-IF(B132&gt;24,1,0)</x:f>
        <x:v>2</x:v>
      </x:c>
      <x:c r="L132" s="1" t="str">
        <x:f>IF(K132&gt;=3,"yes","no")</x:f>
        <x:v>no</x:v>
      </x:c>
      <x:c r="M132" s="1"/>
      <x:c r="N132" s="1"/>
      <x:c r="O132" s="1"/>
    </x:row>
    <x:row r="133">
      <x:c r="A133" s="1" t="str">
        <x:v>S0132</x:v>
      </x:c>
      <x:c r="B133" s="1" t="n">
        <x:v>18</x:v>
      </x:c>
      <x:c r="C133" s="1" t="str">
        <x:v>basic</x:v>
      </x:c>
      <x:c r="D133" s="8" t="n">
        <x:v>9.99</x:v>
      </x:c>
      <x:c r="E133" s="1" t="n">
        <x:v>0</x:v>
      </x:c>
      <x:c r="F133" s="1" t="n">
        <x:v>12</x:v>
      </x:c>
      <x:c r="G133" s="1" t="n">
        <x:v>25</x:v>
      </x:c>
      <x:c r="H133" s="1" t="n">
        <x:v>1</x:v>
      </x:c>
      <x:c r="I133" s="1" t="n">
        <x:v>0</x:v>
      </x:c>
      <x:c r="J133" s="1" t="str">
        <x:v>yes</x:v>
      </x:c>
      <x:c r="K133" s="1" t="n">
        <x:f>2*H133+E133+IF(G133&gt;30,2,0)-IF(B133&gt;24,1,0)</x:f>
        <x:v>2</x:v>
      </x:c>
      <x:c r="L133" s="1" t="str">
        <x:f>IF(K133&gt;=3,"yes","no")</x:f>
        <x:v>no</x:v>
      </x:c>
      <x:c r="M133" s="1"/>
      <x:c r="N133" s="1"/>
      <x:c r="O133" s="1"/>
    </x:row>
    <x:row r="134">
      <x:c r="A134" s="1" t="str">
        <x:v>S0133</x:v>
      </x:c>
      <x:c r="B134" s="1" t="n">
        <x:v>29</x:v>
      </x:c>
      <x:c r="C134" s="1" t="str">
        <x:v>basic</x:v>
      </x:c>
      <x:c r="D134" s="8" t="n">
        <x:v>9.99</x:v>
      </x:c>
      <x:c r="E134" s="1" t="n">
        <x:v>0</x:v>
      </x:c>
      <x:c r="F134" s="1" t="n">
        <x:v>25</x:v>
      </x:c>
      <x:c r="G134" s="1" t="n">
        <x:v>11</x:v>
      </x:c>
      <x:c r="H134" s="1" t="n">
        <x:v>0</x:v>
      </x:c>
      <x:c r="I134" s="1" t="n">
        <x:v>0</x:v>
      </x:c>
      <x:c r="J134" s="1" t="str">
        <x:v>no</x:v>
      </x:c>
      <x:c r="K134" s="1" t="n">
        <x:f>2*H134+E134+IF(G134&gt;30,2,0)-IF(B134&gt;24,1,0)</x:f>
        <x:v>-1</x:v>
      </x:c>
      <x:c r="L134" s="1" t="str">
        <x:f>IF(K134&gt;=3,"yes","no")</x:f>
        <x:v>no</x:v>
      </x:c>
      <x:c r="M134" s="1"/>
      <x:c r="N134" s="1"/>
      <x:c r="O134" s="1"/>
    </x:row>
    <x:row r="135">
      <x:c r="A135" s="1" t="str">
        <x:v>S0134</x:v>
      </x:c>
      <x:c r="B135" s="1" t="n">
        <x:v>44</x:v>
      </x:c>
      <x:c r="C135" s="1" t="str">
        <x:v>premium</x:v>
      </x:c>
      <x:c r="D135" s="8" t="n">
        <x:v>15.99</x:v>
      </x:c>
      <x:c r="E135" s="1" t="n">
        <x:v>1</x:v>
      </x:c>
      <x:c r="F135" s="1" t="n">
        <x:v>1</x:v>
      </x:c>
      <x:c r="G135" s="1" t="n">
        <x:v>15</x:v>
      </x:c>
      <x:c r="H135" s="1" t="n">
        <x:v>0</x:v>
      </x:c>
      <x:c r="I135" s="1" t="n">
        <x:v>0</x:v>
      </x:c>
      <x:c r="J135" s="1" t="str">
        <x:v>no</x:v>
      </x:c>
      <x:c r="K135" s="1" t="n">
        <x:f>2*H135+E135+IF(G135&gt;30,2,0)-IF(B135&gt;24,1,0)</x:f>
        <x:v>0</x:v>
      </x:c>
      <x:c r="L135" s="1" t="str">
        <x:f>IF(K135&gt;=3,"yes","no")</x:f>
        <x:v>no</x:v>
      </x:c>
      <x:c r="M135" s="1"/>
      <x:c r="N135" s="1"/>
      <x:c r="O135" s="1"/>
    </x:row>
    <x:row r="136">
      <x:c r="A136" s="1" t="str">
        <x:v>S0135</x:v>
      </x:c>
      <x:c r="B136" s="1" t="n">
        <x:v>7</x:v>
      </x:c>
      <x:c r="C136" s="1" t="str">
        <x:v>premium</x:v>
      </x:c>
      <x:c r="D136" s="8" t="n">
        <x:v>15.99</x:v>
      </x:c>
      <x:c r="E136" s="1" t="n">
        <x:v>2</x:v>
      </x:c>
      <x:c r="F136" s="1" t="n">
        <x:v>9</x:v>
      </x:c>
      <x:c r="G136" s="1" t="n">
        <x:v>14</x:v>
      </x:c>
      <x:c r="H136" s="1" t="n">
        <x:v>0</x:v>
      </x:c>
      <x:c r="I136" s="1" t="n">
        <x:v>1</x:v>
      </x:c>
      <x:c r="J136" s="1" t="str">
        <x:v>no</x:v>
      </x:c>
      <x:c r="K136" s="1" t="n">
        <x:f>2*H136+E136+IF(G136&gt;30,2,0)-IF(B136&gt;24,1,0)</x:f>
        <x:v>2</x:v>
      </x:c>
      <x:c r="L136" s="1" t="str">
        <x:f>IF(K136&gt;=3,"yes","no")</x:f>
        <x:v>no</x:v>
      </x:c>
      <x:c r="M136" s="1"/>
      <x:c r="N136" s="1"/>
      <x:c r="O136" s="1"/>
    </x:row>
    <x:row r="137">
      <x:c r="A137" s="1" t="str">
        <x:v>S0136</x:v>
      </x:c>
      <x:c r="B137" s="1" t="n">
        <x:v>9</x:v>
      </x:c>
      <x:c r="C137" s="1" t="str">
        <x:v>basic</x:v>
      </x:c>
      <x:c r="D137" s="8" t="n">
        <x:v>9.99</x:v>
      </x:c>
      <x:c r="E137" s="1" t="n">
        <x:v>0</x:v>
      </x:c>
      <x:c r="F137" s="1" t="n">
        <x:v>0</x:v>
      </x:c>
      <x:c r="G137" s="1" t="n">
        <x:v>47</x:v>
      </x:c>
      <x:c r="H137" s="1" t="n">
        <x:v>0</x:v>
      </x:c>
      <x:c r="I137" s="1" t="n">
        <x:v>0</x:v>
      </x:c>
      <x:c r="J137" s="1" t="str">
        <x:v>yes</x:v>
      </x:c>
      <x:c r="K137" s="1" t="n">
        <x:f>2*H137+E137+IF(G137&gt;30,2,0)-IF(B137&gt;24,1,0)</x:f>
        <x:v>2</x:v>
      </x:c>
      <x:c r="L137" s="1" t="str">
        <x:f>IF(K137&gt;=3,"yes","no")</x:f>
        <x:v>no</x:v>
      </x:c>
      <x:c r="M137" s="1"/>
      <x:c r="N137" s="1"/>
      <x:c r="O137" s="1"/>
    </x:row>
    <x:row r="138">
      <x:c r="A138" s="1" t="str">
        <x:v>S0137</x:v>
      </x:c>
      <x:c r="B138" s="1" t="n">
        <x:v>9</x:v>
      </x:c>
      <x:c r="C138" s="1" t="str">
        <x:v>basic</x:v>
      </x:c>
      <x:c r="D138" s="8" t="n">
        <x:v>9.99</x:v>
      </x:c>
      <x:c r="E138" s="1" t="n">
        <x:v>0</x:v>
      </x:c>
      <x:c r="F138" s="1" t="n">
        <x:v>16</x:v>
      </x:c>
      <x:c r="G138" s="1" t="n">
        <x:v>2</x:v>
      </x:c>
      <x:c r="H138" s="1" t="n">
        <x:v>0</x:v>
      </x:c>
      <x:c r="I138" s="1" t="n">
        <x:v>0</x:v>
      </x:c>
      <x:c r="J138" s="1" t="str">
        <x:v>no</x:v>
      </x:c>
      <x:c r="K138" s="1" t="n">
        <x:f>2*H138+E138+IF(G138&gt;30,2,0)-IF(B138&gt;24,1,0)</x:f>
        <x:v>0</x:v>
      </x:c>
      <x:c r="L138" s="1" t="str">
        <x:f>IF(K138&gt;=3,"yes","no")</x:f>
        <x:v>no</x:v>
      </x:c>
      <x:c r="M138" s="1"/>
      <x:c r="N138" s="1"/>
      <x:c r="O138" s="1"/>
    </x:row>
    <x:row r="139">
      <x:c r="A139" s="1" t="str">
        <x:v>S0138</x:v>
      </x:c>
      <x:c r="B139" s="1" t="n">
        <x:v>33</x:v>
      </x:c>
      <x:c r="C139" s="1" t="str">
        <x:v>basic</x:v>
      </x:c>
      <x:c r="D139" s="8" t="n">
        <x:v>9.99</x:v>
      </x:c>
      <x:c r="E139" s="1" t="n">
        <x:v>3</x:v>
      </x:c>
      <x:c r="F139" s="1" t="n">
        <x:v>17</x:v>
      </x:c>
      <x:c r="G139" s="1" t="n">
        <x:v>15</x:v>
      </x:c>
      <x:c r="H139" s="1" t="n">
        <x:v>0</x:v>
      </x:c>
      <x:c r="I139" s="1" t="n">
        <x:v>1</x:v>
      </x:c>
      <x:c r="J139" s="1" t="str">
        <x:v>no</x:v>
      </x:c>
      <x:c r="K139" s="1" t="n">
        <x:f>2*H139+E139+IF(G139&gt;30,2,0)-IF(B139&gt;24,1,0)</x:f>
        <x:v>2</x:v>
      </x:c>
      <x:c r="L139" s="1" t="str">
        <x:f>IF(K139&gt;=3,"yes","no")</x:f>
        <x:v>no</x:v>
      </x:c>
      <x:c r="M139" s="1"/>
      <x:c r="N139" s="1"/>
      <x:c r="O139" s="1"/>
    </x:row>
    <x:row r="140">
      <x:c r="A140" s="1" t="str">
        <x:v>S0139</x:v>
      </x:c>
      <x:c r="B140" s="1" t="n">
        <x:v>33</x:v>
      </x:c>
      <x:c r="C140" s="1" t="str">
        <x:v>premium</x:v>
      </x:c>
      <x:c r="D140" s="8" t="n">
        <x:v>15.99</x:v>
      </x:c>
      <x:c r="E140" s="1" t="n">
        <x:v>3</x:v>
      </x:c>
      <x:c r="F140" s="1" t="n">
        <x:v>20</x:v>
      </x:c>
      <x:c r="G140" s="1" t="n">
        <x:v>7</x:v>
      </x:c>
      <x:c r="H140" s="1" t="n">
        <x:v>0</x:v>
      </x:c>
      <x:c r="I140" s="1" t="n">
        <x:v>1</x:v>
      </x:c>
      <x:c r="J140" s="1" t="str">
        <x:v>no</x:v>
      </x:c>
      <x:c r="K140" s="1" t="n">
        <x:f>2*H140+E140+IF(G140&gt;30,2,0)-IF(B140&gt;24,1,0)</x:f>
        <x:v>2</x:v>
      </x:c>
      <x:c r="L140" s="1" t="str">
        <x:f>IF(K140&gt;=3,"yes","no")</x:f>
        <x:v>no</x:v>
      </x:c>
      <x:c r="M140" s="1"/>
      <x:c r="N140" s="1"/>
      <x:c r="O140" s="1"/>
    </x:row>
    <x:row r="141">
      <x:c r="A141" s="1" t="str">
        <x:v>S0140</x:v>
      </x:c>
      <x:c r="B141" s="1" t="n">
        <x:v>34</x:v>
      </x:c>
      <x:c r="C141" s="1" t="str">
        <x:v>basic</x:v>
      </x:c>
      <x:c r="D141" s="8" t="n">
        <x:v>9.99</x:v>
      </x:c>
      <x:c r="E141" s="1" t="n">
        <x:v>0</x:v>
      </x:c>
      <x:c r="F141" s="1" t="n">
        <x:v>16</x:v>
      </x:c>
      <x:c r="G141" s="1" t="n">
        <x:v>2</x:v>
      </x:c>
      <x:c r="H141" s="1" t="n">
        <x:v>2</x:v>
      </x:c>
      <x:c r="I141" s="1" t="n">
        <x:v>0</x:v>
      </x:c>
      <x:c r="J141" s="1" t="str">
        <x:v>no</x:v>
      </x:c>
      <x:c r="K141" s="1" t="n">
        <x:f>2*H141+E141+IF(G141&gt;30,2,0)-IF(B141&gt;24,1,0)</x:f>
        <x:v>3</x:v>
      </x:c>
      <x:c r="L141" s="1" t="str">
        <x:f>IF(K141&gt;=3,"yes","no")</x:f>
        <x:v>yes</x:v>
      </x:c>
      <x:c r="M141" s="1"/>
      <x:c r="N141" s="1"/>
      <x:c r="O141" s="1"/>
    </x:row>
    <x:row r="142">
      <x:c r="A142" s="1" t="str">
        <x:v>S0141</x:v>
      </x:c>
      <x:c r="B142" s="1" t="n">
        <x:v>35</x:v>
      </x:c>
      <x:c r="C142" s="1" t="str">
        <x:v>basic</x:v>
      </x:c>
      <x:c r="D142" s="8" t="n">
        <x:v>9.99</x:v>
      </x:c>
      <x:c r="E142" s="1" t="n">
        <x:v>0</x:v>
      </x:c>
      <x:c r="F142" s="1" t="n">
        <x:v>26</x:v>
      </x:c>
      <x:c r="G142" s="1" t="n">
        <x:v>6</x:v>
      </x:c>
      <x:c r="H142" s="1" t="n">
        <x:v>0</x:v>
      </x:c>
      <x:c r="I142" s="1" t="n">
        <x:v>1</x:v>
      </x:c>
      <x:c r="J142" s="1" t="str">
        <x:v>no</x:v>
      </x:c>
      <x:c r="K142" s="1" t="n">
        <x:f>2*H142+E142+IF(G142&gt;30,2,0)-IF(B142&gt;24,1,0)</x:f>
        <x:v>-1</x:v>
      </x:c>
      <x:c r="L142" s="1" t="str">
        <x:f>IF(K142&gt;=3,"yes","no")</x:f>
        <x:v>no</x:v>
      </x:c>
      <x:c r="M142" s="1"/>
      <x:c r="N142" s="1"/>
      <x:c r="O142" s="1"/>
    </x:row>
    <x:row r="143">
      <x:c r="A143" s="1" t="str">
        <x:v>S0142</x:v>
      </x:c>
      <x:c r="B143" s="1" t="n">
        <x:v>7</x:v>
      </x:c>
      <x:c r="C143" s="1" t="str">
        <x:v>premium</x:v>
      </x:c>
      <x:c r="D143" s="8" t="n">
        <x:v>15.99</x:v>
      </x:c>
      <x:c r="E143" s="1" t="n">
        <x:v>1</x:v>
      </x:c>
      <x:c r="F143" s="1" t="n">
        <x:v>13</x:v>
      </x:c>
      <x:c r="G143" s="1" t="n">
        <x:v>1</x:v>
      </x:c>
      <x:c r="H143" s="1" t="n">
        <x:v>0</x:v>
      </x:c>
      <x:c r="I143" s="1" t="n">
        <x:v>0</x:v>
      </x:c>
      <x:c r="J143" s="1" t="str">
        <x:v>yes</x:v>
      </x:c>
      <x:c r="K143" s="1" t="n">
        <x:f>2*H143+E143+IF(G143&gt;30,2,0)-IF(B143&gt;24,1,0)</x:f>
        <x:v>1</x:v>
      </x:c>
      <x:c r="L143" s="1" t="str">
        <x:f>IF(K143&gt;=3,"yes","no")</x:f>
        <x:v>no</x:v>
      </x:c>
      <x:c r="M143" s="1"/>
      <x:c r="N143" s="1"/>
      <x:c r="O143" s="1"/>
    </x:row>
    <x:row r="144">
      <x:c r="A144" s="1" t="str">
        <x:v>S0143</x:v>
      </x:c>
      <x:c r="B144" s="1" t="n">
        <x:v>16</x:v>
      </x:c>
      <x:c r="C144" s="1" t="str">
        <x:v>basic</x:v>
      </x:c>
      <x:c r="D144" s="8" t="n">
        <x:v>9.99</x:v>
      </x:c>
      <x:c r="E144" s="1" t="n">
        <x:v>0</x:v>
      </x:c>
      <x:c r="F144" s="1" t="n">
        <x:v>16</x:v>
      </x:c>
      <x:c r="G144" s="1" t="n">
        <x:v>9</x:v>
      </x:c>
      <x:c r="H144" s="1" t="n">
        <x:v>0</x:v>
      </x:c>
      <x:c r="I144" s="1" t="n">
        <x:v>0</x:v>
      </x:c>
      <x:c r="J144" s="1" t="str">
        <x:v>no</x:v>
      </x:c>
      <x:c r="K144" s="1" t="n">
        <x:f>2*H144+E144+IF(G144&gt;30,2,0)-IF(B144&gt;24,1,0)</x:f>
        <x:v>0</x:v>
      </x:c>
      <x:c r="L144" s="1" t="str">
        <x:f>IF(K144&gt;=3,"yes","no")</x:f>
        <x:v>no</x:v>
      </x:c>
      <x:c r="M144" s="1"/>
      <x:c r="N144" s="1"/>
      <x:c r="O144" s="1"/>
    </x:row>
    <x:row r="145">
      <x:c r="A145" s="1" t="str">
        <x:v>S0144</x:v>
      </x:c>
      <x:c r="B145" s="1" t="n">
        <x:v>26</x:v>
      </x:c>
      <x:c r="C145" s="1" t="str">
        <x:v>basic</x:v>
      </x:c>
      <x:c r="D145" s="8" t="n">
        <x:v>9.99</x:v>
      </x:c>
      <x:c r="E145" s="1" t="n">
        <x:v>0</x:v>
      </x:c>
      <x:c r="F145" s="1" t="n">
        <x:v>17</x:v>
      </x:c>
      <x:c r="G145" s="1" t="n">
        <x:v>29</x:v>
      </x:c>
      <x:c r="H145" s="1" t="n">
        <x:v>0</x:v>
      </x:c>
      <x:c r="I145" s="1" t="n">
        <x:v>0</x:v>
      </x:c>
      <x:c r="J145" s="1" t="str">
        <x:v>no</x:v>
      </x:c>
      <x:c r="K145" s="1" t="n">
        <x:f>2*H145+E145+IF(G145&gt;30,2,0)-IF(B145&gt;24,1,0)</x:f>
        <x:v>-1</x:v>
      </x:c>
      <x:c r="L145" s="1" t="str">
        <x:f>IF(K145&gt;=3,"yes","no")</x:f>
        <x:v>no</x:v>
      </x:c>
      <x:c r="M145" s="1"/>
      <x:c r="N145" s="1"/>
      <x:c r="O145" s="1"/>
    </x:row>
    <x:row r="146">
      <x:c r="A146" s="1" t="str">
        <x:v>S0145</x:v>
      </x:c>
      <x:c r="B146" s="1" t="n">
        <x:v>38</x:v>
      </x:c>
      <x:c r="C146" s="1" t="str">
        <x:v>basic</x:v>
      </x:c>
      <x:c r="D146" s="8" t="n">
        <x:v>9.99</x:v>
      </x:c>
      <x:c r="E146" s="1" t="n">
        <x:v>1</x:v>
      </x:c>
      <x:c r="F146" s="1" t="n">
        <x:v>32</x:v>
      </x:c>
      <x:c r="G146" s="1" t="n">
        <x:v>7</x:v>
      </x:c>
      <x:c r="H146" s="1" t="n">
        <x:v>0</x:v>
      </x:c>
      <x:c r="I146" s="1" t="n">
        <x:v>0</x:v>
      </x:c>
      <x:c r="J146" s="1" t="str">
        <x:v>no</x:v>
      </x:c>
      <x:c r="K146" s="1" t="n">
        <x:f>2*H146+E146+IF(G146&gt;30,2,0)-IF(B146&gt;24,1,0)</x:f>
        <x:v>0</x:v>
      </x:c>
      <x:c r="L146" s="1" t="str">
        <x:f>IF(K146&gt;=3,"yes","no")</x:f>
        <x:v>no</x:v>
      </x:c>
      <x:c r="M146" s="1"/>
      <x:c r="N146" s="1"/>
      <x:c r="O146" s="1"/>
    </x:row>
    <x:row r="147">
      <x:c r="A147" s="1" t="str">
        <x:v>S0146</x:v>
      </x:c>
      <x:c r="B147" s="1" t="n">
        <x:v>48</x:v>
      </x:c>
      <x:c r="C147" s="1" t="str">
        <x:v>basic</x:v>
      </x:c>
      <x:c r="D147" s="8" t="n">
        <x:v>9.99</x:v>
      </x:c>
      <x:c r="E147" s="1" t="n">
        <x:v>0</x:v>
      </x:c>
      <x:c r="F147" s="1" t="n">
        <x:v>16</x:v>
      </x:c>
      <x:c r="G147" s="1" t="n">
        <x:v>18</x:v>
      </x:c>
      <x:c r="H147" s="1" t="n">
        <x:v>0</x:v>
      </x:c>
      <x:c r="I147" s="1" t="n">
        <x:v>0</x:v>
      </x:c>
      <x:c r="J147" s="1" t="str">
        <x:v>no</x:v>
      </x:c>
      <x:c r="K147" s="1" t="n">
        <x:f>2*H147+E147+IF(G147&gt;30,2,0)-IF(B147&gt;24,1,0)</x:f>
        <x:v>-1</x:v>
      </x:c>
      <x:c r="L147" s="1" t="str">
        <x:f>IF(K147&gt;=3,"yes","no")</x:f>
        <x:v>no</x:v>
      </x:c>
      <x:c r="M147" s="1"/>
      <x:c r="N147" s="1"/>
      <x:c r="O147" s="1"/>
    </x:row>
    <x:row r="148">
      <x:c r="A148" s="1" t="str">
        <x:v>S0147</x:v>
      </x:c>
      <x:c r="B148" s="1" t="n">
        <x:v>40</x:v>
      </x:c>
      <x:c r="C148" s="1" t="str">
        <x:v>basic</x:v>
      </x:c>
      <x:c r="D148" s="8" t="n">
        <x:v>9.99</x:v>
      </x:c>
      <x:c r="E148" s="1" t="n">
        <x:v>0</x:v>
      </x:c>
      <x:c r="F148" s="1" t="n">
        <x:v>0</x:v>
      </x:c>
      <x:c r="G148" s="1" t="n">
        <x:v>34</x:v>
      </x:c>
      <x:c r="H148" s="1" t="n">
        <x:v>2</x:v>
      </x:c>
      <x:c r="I148" s="1" t="n">
        <x:v>1</x:v>
      </x:c>
      <x:c r="J148" s="1" t="str">
        <x:v>yes</x:v>
      </x:c>
      <x:c r="K148" s="1" t="n">
        <x:f>2*H148+E148+IF(G148&gt;30,2,0)-IF(B148&gt;24,1,0)</x:f>
        <x:v>5</x:v>
      </x:c>
      <x:c r="L148" s="1" t="str">
        <x:f>IF(K148&gt;=3,"yes","no")</x:f>
        <x:v>yes</x:v>
      </x:c>
      <x:c r="M148" s="1"/>
      <x:c r="N148" s="1"/>
      <x:c r="O148" s="1"/>
    </x:row>
    <x:row r="149">
      <x:c r="A149" s="1" t="str">
        <x:v>S0148</x:v>
      </x:c>
      <x:c r="B149" s="1" t="n">
        <x:v>39</x:v>
      </x:c>
      <x:c r="C149" s="1" t="str">
        <x:v>basic</x:v>
      </x:c>
      <x:c r="D149" s="8" t="n">
        <x:v>9.99</x:v>
      </x:c>
      <x:c r="E149" s="1" t="n">
        <x:v>0</x:v>
      </x:c>
      <x:c r="F149" s="1" t="n">
        <x:v>6</x:v>
      </x:c>
      <x:c r="G149" s="1" t="n">
        <x:v>8</x:v>
      </x:c>
      <x:c r="H149" s="1" t="n">
        <x:v>0</x:v>
      </x:c>
      <x:c r="I149" s="1" t="n">
        <x:v>0</x:v>
      </x:c>
      <x:c r="J149" s="1" t="str">
        <x:v>no</x:v>
      </x:c>
      <x:c r="K149" s="1" t="n">
        <x:f>2*H149+E149+IF(G149&gt;30,2,0)-IF(B149&gt;24,1,0)</x:f>
        <x:v>-1</x:v>
      </x:c>
      <x:c r="L149" s="1" t="str">
        <x:f>IF(K149&gt;=3,"yes","no")</x:f>
        <x:v>no</x:v>
      </x:c>
      <x:c r="M149" s="1"/>
      <x:c r="N149" s="1"/>
      <x:c r="O149" s="1"/>
    </x:row>
    <x:row r="150">
      <x:c r="A150" s="1" t="str">
        <x:v>S0149</x:v>
      </x:c>
      <x:c r="B150" s="1" t="n">
        <x:v>48</x:v>
      </x:c>
      <x:c r="C150" s="1" t="str">
        <x:v>basic</x:v>
      </x:c>
      <x:c r="D150" s="8" t="n">
        <x:v>9.99</x:v>
      </x:c>
      <x:c r="E150" s="1" t="n">
        <x:v>3</x:v>
      </x:c>
      <x:c r="F150" s="1" t="n">
        <x:v>8</x:v>
      </x:c>
      <x:c r="G150" s="1" t="n">
        <x:v>17</x:v>
      </x:c>
      <x:c r="H150" s="1" t="n">
        <x:v>0</x:v>
      </x:c>
      <x:c r="I150" s="1" t="n">
        <x:v>1</x:v>
      </x:c>
      <x:c r="J150" s="1" t="str">
        <x:v>no</x:v>
      </x:c>
      <x:c r="K150" s="1" t="n">
        <x:f>2*H150+E150+IF(G150&gt;30,2,0)-IF(B150&gt;24,1,0)</x:f>
        <x:v>2</x:v>
      </x:c>
      <x:c r="L150" s="1" t="str">
        <x:f>IF(K150&gt;=3,"yes","no")</x:f>
        <x:v>no</x:v>
      </x:c>
      <x:c r="M150" s="1"/>
      <x:c r="N150" s="1"/>
      <x:c r="O150" s="1"/>
    </x:row>
    <x:row r="151">
      <x:c r="A151" s="1" t="str">
        <x:v>S0150</x:v>
      </x:c>
      <x:c r="B151" s="1" t="n">
        <x:v>46</x:v>
      </x:c>
      <x:c r="C151" s="1" t="str">
        <x:v>premium</x:v>
      </x:c>
      <x:c r="D151" s="8" t="n">
        <x:v>15.99</x:v>
      </x:c>
      <x:c r="E151" s="1" t="n">
        <x:v>0</x:v>
      </x:c>
      <x:c r="F151" s="1" t="n">
        <x:v>8</x:v>
      </x:c>
      <x:c r="G151" s="1" t="n">
        <x:v>29</x:v>
      </x:c>
      <x:c r="H151" s="1" t="n">
        <x:v>0</x:v>
      </x:c>
      <x:c r="I151" s="1" t="n">
        <x:v>0</x:v>
      </x:c>
      <x:c r="J151" s="1" t="str">
        <x:v>no</x:v>
      </x:c>
      <x:c r="K151" s="1" t="n">
        <x:f>2*H151+E151+IF(G151&gt;30,2,0)-IF(B151&gt;24,1,0)</x:f>
        <x:v>-1</x:v>
      </x:c>
      <x:c r="L151" s="1" t="str">
        <x:f>IF(K151&gt;=3,"yes","no")</x:f>
        <x:v>no</x:v>
      </x:c>
      <x:c r="M151" s="1"/>
      <x:c r="N151" s="1"/>
      <x:c r="O151" s="1"/>
    </x:row>
    <x:row r="152">
      <x:c r="A152" s="1" t="str">
        <x:v>S0151</x:v>
      </x:c>
      <x:c r="B152" s="1" t="n">
        <x:v>43</x:v>
      </x:c>
      <x:c r="C152" s="1" t="str">
        <x:v>basic</x:v>
      </x:c>
      <x:c r="D152" s="8" t="n">
        <x:v>9.99</x:v>
      </x:c>
      <x:c r="E152" s="1" t="n">
        <x:v>0</x:v>
      </x:c>
      <x:c r="F152" s="1" t="n">
        <x:v>1</x:v>
      </x:c>
      <x:c r="G152" s="1" t="n">
        <x:v>18</x:v>
      </x:c>
      <x:c r="H152" s="1" t="n">
        <x:v>1</x:v>
      </x:c>
      <x:c r="I152" s="1" t="n">
        <x:v>0</x:v>
      </x:c>
      <x:c r="J152" s="1" t="str">
        <x:v>no</x:v>
      </x:c>
      <x:c r="K152" s="1" t="n">
        <x:f>2*H152+E152+IF(G152&gt;30,2,0)-IF(B152&gt;24,1,0)</x:f>
        <x:v>1</x:v>
      </x:c>
      <x:c r="L152" s="1" t="str">
        <x:f>IF(K152&gt;=3,"yes","no")</x:f>
        <x:v>no</x:v>
      </x:c>
      <x:c r="M152" s="1"/>
      <x:c r="N152" s="1"/>
      <x:c r="O152" s="1"/>
    </x:row>
    <x:row r="153">
      <x:c r="A153" s="1" t="str">
        <x:v>S0152</x:v>
      </x:c>
      <x:c r="B153" s="1" t="n">
        <x:v>22</x:v>
      </x:c>
      <x:c r="C153" s="1" t="str">
        <x:v>premium</x:v>
      </x:c>
      <x:c r="D153" s="8" t="n">
        <x:v>15.99</x:v>
      </x:c>
      <x:c r="E153" s="1" t="n">
        <x:v>0</x:v>
      </x:c>
      <x:c r="F153" s="1" t="n">
        <x:v>14</x:v>
      </x:c>
      <x:c r="G153" s="1" t="n">
        <x:v>5</x:v>
      </x:c>
      <x:c r="H153" s="1" t="n">
        <x:v>0</x:v>
      </x:c>
      <x:c r="I153" s="1" t="n">
        <x:v>0</x:v>
      </x:c>
      <x:c r="J153" s="1" t="str">
        <x:v>no</x:v>
      </x:c>
      <x:c r="K153" s="1" t="n">
        <x:f>2*H153+E153+IF(G153&gt;30,2,0)-IF(B153&gt;24,1,0)</x:f>
        <x:v>0</x:v>
      </x:c>
      <x:c r="L153" s="1" t="str">
        <x:f>IF(K153&gt;=3,"yes","no")</x:f>
        <x:v>no</x:v>
      </x:c>
      <x:c r="M153" s="1"/>
      <x:c r="N153" s="1"/>
      <x:c r="O153" s="1"/>
    </x:row>
    <x:row r="154">
      <x:c r="A154" s="1" t="str">
        <x:v>S0153</x:v>
      </x:c>
      <x:c r="B154" s="1" t="n">
        <x:v>36</x:v>
      </x:c>
      <x:c r="C154" s="1" t="str">
        <x:v>basic</x:v>
      </x:c>
      <x:c r="D154" s="8" t="n">
        <x:v>9.99</x:v>
      </x:c>
      <x:c r="E154" s="1" t="n">
        <x:v>2</x:v>
      </x:c>
      <x:c r="F154" s="1" t="n">
        <x:v>11</x:v>
      </x:c>
      <x:c r="G154" s="1" t="n">
        <x:v>3</x:v>
      </x:c>
      <x:c r="H154" s="1" t="n">
        <x:v>0</x:v>
      </x:c>
      <x:c r="I154" s="1" t="n">
        <x:v>0</x:v>
      </x:c>
      <x:c r="J154" s="1" t="str">
        <x:v>no</x:v>
      </x:c>
      <x:c r="K154" s="1" t="n">
        <x:f>2*H154+E154+IF(G154&gt;30,2,0)-IF(B154&gt;24,1,0)</x:f>
        <x:v>1</x:v>
      </x:c>
      <x:c r="L154" s="1" t="str">
        <x:f>IF(K154&gt;=3,"yes","no")</x:f>
        <x:v>no</x:v>
      </x:c>
      <x:c r="M154" s="1"/>
      <x:c r="N154" s="1"/>
      <x:c r="O154" s="1"/>
    </x:row>
    <x:row r="155">
      <x:c r="A155" s="1" t="str">
        <x:v>S0154</x:v>
      </x:c>
      <x:c r="B155" s="1" t="n">
        <x:v>25</x:v>
      </x:c>
      <x:c r="C155" s="1" t="str">
        <x:v>basic</x:v>
      </x:c>
      <x:c r="D155" s="8" t="n">
        <x:v>9.99</x:v>
      </x:c>
      <x:c r="E155" s="1" t="n">
        <x:v>1</x:v>
      </x:c>
      <x:c r="F155" s="1" t="n">
        <x:v>0</x:v>
      </x:c>
      <x:c r="G155" s="1" t="n">
        <x:v>33</x:v>
      </x:c>
      <x:c r="H155" s="1" t="n">
        <x:v>0</x:v>
      </x:c>
      <x:c r="I155" s="1" t="n">
        <x:v>1</x:v>
      </x:c>
      <x:c r="J155" s="1" t="str">
        <x:v>no</x:v>
      </x:c>
      <x:c r="K155" s="1" t="n">
        <x:f>2*H155+E155+IF(G155&gt;30,2,0)-IF(B155&gt;24,1,0)</x:f>
        <x:v>2</x:v>
      </x:c>
      <x:c r="L155" s="1" t="str">
        <x:f>IF(K155&gt;=3,"yes","no")</x:f>
        <x:v>no</x:v>
      </x:c>
      <x:c r="M155" s="1"/>
      <x:c r="N155" s="1"/>
      <x:c r="O155" s="1"/>
    </x:row>
    <x:row r="156">
      <x:c r="A156" s="1" t="str">
        <x:v>S0155</x:v>
      </x:c>
      <x:c r="B156" s="1" t="n">
        <x:v>27</x:v>
      </x:c>
      <x:c r="C156" s="1" t="str">
        <x:v>basic</x:v>
      </x:c>
      <x:c r="D156" s="8" t="n">
        <x:v>9.99</x:v>
      </x:c>
      <x:c r="E156" s="1" t="n">
        <x:v>0</x:v>
      </x:c>
      <x:c r="F156" s="1" t="n">
        <x:v>30</x:v>
      </x:c>
      <x:c r="G156" s="1" t="n">
        <x:v>1</x:v>
      </x:c>
      <x:c r="H156" s="1" t="n">
        <x:v>1</x:v>
      </x:c>
      <x:c r="I156" s="1" t="n">
        <x:v>1</x:v>
      </x:c>
      <x:c r="J156" s="1" t="str">
        <x:v>no</x:v>
      </x:c>
      <x:c r="K156" s="1" t="n">
        <x:f>2*H156+E156+IF(G156&gt;30,2,0)-IF(B156&gt;24,1,0)</x:f>
        <x:v>1</x:v>
      </x:c>
      <x:c r="L156" s="1" t="str">
        <x:f>IF(K156&gt;=3,"yes","no")</x:f>
        <x:v>no</x:v>
      </x:c>
      <x:c r="M156" s="1"/>
      <x:c r="N156" s="1"/>
      <x:c r="O156" s="1"/>
    </x:row>
    <x:row r="157">
      <x:c r="A157" s="1" t="str">
        <x:v>S0156</x:v>
      </x:c>
      <x:c r="B157" s="1" t="n">
        <x:v>23</x:v>
      </x:c>
      <x:c r="C157" s="1" t="str">
        <x:v>basic</x:v>
      </x:c>
      <x:c r="D157" s="8" t="n">
        <x:v>9.99</x:v>
      </x:c>
      <x:c r="E157" s="1" t="n">
        <x:v>2</x:v>
      </x:c>
      <x:c r="F157" s="1" t="n">
        <x:v>28</x:v>
      </x:c>
      <x:c r="G157" s="1" t="n">
        <x:v>3</x:v>
      </x:c>
      <x:c r="H157" s="1" t="n">
        <x:v>2</x:v>
      </x:c>
      <x:c r="I157" s="1" t="n">
        <x:v>0</x:v>
      </x:c>
      <x:c r="J157" s="1" t="str">
        <x:v>yes</x:v>
      </x:c>
      <x:c r="K157" s="1" t="n">
        <x:f>2*H157+E157+IF(G157&gt;30,2,0)-IF(B157&gt;24,1,0)</x:f>
        <x:v>6</x:v>
      </x:c>
      <x:c r="L157" s="1" t="str">
        <x:f>IF(K157&gt;=3,"yes","no")</x:f>
        <x:v>yes</x:v>
      </x:c>
      <x:c r="M157" s="1"/>
      <x:c r="N157" s="1"/>
      <x:c r="O157" s="1"/>
    </x:row>
    <x:row r="158">
      <x:c r="A158" s="1" t="str">
        <x:v>S0157</x:v>
      </x:c>
      <x:c r="B158" s="1" t="n">
        <x:v>18</x:v>
      </x:c>
      <x:c r="C158" s="1" t="str">
        <x:v>premium</x:v>
      </x:c>
      <x:c r="D158" s="8" t="n">
        <x:v>15.99</x:v>
      </x:c>
      <x:c r="E158" s="1" t="n">
        <x:v>1</x:v>
      </x:c>
      <x:c r="F158" s="1" t="n">
        <x:v>20</x:v>
      </x:c>
      <x:c r="G158" s="1" t="n">
        <x:v>5</x:v>
      </x:c>
      <x:c r="H158" s="1" t="n">
        <x:v>2</x:v>
      </x:c>
      <x:c r="I158" s="1" t="n">
        <x:v>0</x:v>
      </x:c>
      <x:c r="J158" s="1" t="str">
        <x:v>no</x:v>
      </x:c>
      <x:c r="K158" s="1" t="n">
        <x:f>2*H158+E158+IF(G158&gt;30,2,0)-IF(B158&gt;24,1,0)</x:f>
        <x:v>5</x:v>
      </x:c>
      <x:c r="L158" s="1" t="str">
        <x:f>IF(K158&gt;=3,"yes","no")</x:f>
        <x:v>yes</x:v>
      </x:c>
      <x:c r="M158" s="1"/>
      <x:c r="N158" s="1"/>
      <x:c r="O158" s="1"/>
    </x:row>
    <x:row r="159">
      <x:c r="A159" s="1" t="str">
        <x:v>S0158</x:v>
      </x:c>
      <x:c r="B159" s="1" t="n">
        <x:v>19</x:v>
      </x:c>
      <x:c r="C159" s="1" t="str">
        <x:v>basic</x:v>
      </x:c>
      <x:c r="D159" s="8" t="n">
        <x:v>9.99</x:v>
      </x:c>
      <x:c r="E159" s="1" t="n">
        <x:v>0</x:v>
      </x:c>
      <x:c r="F159" s="1" t="n">
        <x:v>12</x:v>
      </x:c>
      <x:c r="G159" s="1" t="n">
        <x:v>5</x:v>
      </x:c>
      <x:c r="H159" s="1" t="n">
        <x:v>0</x:v>
      </x:c>
      <x:c r="I159" s="1" t="n">
        <x:v>0</x:v>
      </x:c>
      <x:c r="J159" s="1" t="str">
        <x:v>no</x:v>
      </x:c>
      <x:c r="K159" s="1" t="n">
        <x:f>2*H159+E159+IF(G159&gt;30,2,0)-IF(B159&gt;24,1,0)</x:f>
        <x:v>0</x:v>
      </x:c>
      <x:c r="L159" s="1" t="str">
        <x:f>IF(K159&gt;=3,"yes","no")</x:f>
        <x:v>no</x:v>
      </x:c>
      <x:c r="M159" s="1"/>
      <x:c r="N159" s="1"/>
      <x:c r="O159" s="1"/>
    </x:row>
    <x:row r="160">
      <x:c r="A160" s="1" t="str">
        <x:v>S0159</x:v>
      </x:c>
      <x:c r="B160" s="1" t="n">
        <x:v>7</x:v>
      </x:c>
      <x:c r="C160" s="1" t="str">
        <x:v>basic</x:v>
      </x:c>
      <x:c r="D160" s="8" t="n">
        <x:v>9.99</x:v>
      </x:c>
      <x:c r="E160" s="1" t="n">
        <x:v>0</x:v>
      </x:c>
      <x:c r="F160" s="1" t="n">
        <x:v>12</x:v>
      </x:c>
      <x:c r="G160" s="1" t="n">
        <x:v>0</x:v>
      </x:c>
      <x:c r="H160" s="1" t="n">
        <x:v>0</x:v>
      </x:c>
      <x:c r="I160" s="1" t="n">
        <x:v>0</x:v>
      </x:c>
      <x:c r="J160" s="1" t="str">
        <x:v>no</x:v>
      </x:c>
      <x:c r="K160" s="1" t="n">
        <x:f>2*H160+E160+IF(G160&gt;30,2,0)-IF(B160&gt;24,1,0)</x:f>
        <x:v>0</x:v>
      </x:c>
      <x:c r="L160" s="1" t="str">
        <x:f>IF(K160&gt;=3,"yes","no")</x:f>
        <x:v>no</x:v>
      </x:c>
      <x:c r="M160" s="1"/>
      <x:c r="N160" s="1"/>
      <x:c r="O160" s="1"/>
    </x:row>
    <x:row r="161">
      <x:c r="A161" s="1" t="str">
        <x:v>S0160</x:v>
      </x:c>
      <x:c r="B161" s="1" t="n">
        <x:v>25</x:v>
      </x:c>
      <x:c r="C161" s="1" t="str">
        <x:v>premium</x:v>
      </x:c>
      <x:c r="D161" s="8" t="n">
        <x:v>15.99</x:v>
      </x:c>
      <x:c r="E161" s="1" t="n">
        <x:v>2</x:v>
      </x:c>
      <x:c r="F161" s="1" t="n">
        <x:v>2</x:v>
      </x:c>
      <x:c r="G161" s="1" t="n">
        <x:v>18</x:v>
      </x:c>
      <x:c r="H161" s="1" t="n">
        <x:v>0</x:v>
      </x:c>
      <x:c r="I161" s="1" t="n">
        <x:v>0</x:v>
      </x:c>
      <x:c r="J161" s="1" t="str">
        <x:v>yes</x:v>
      </x:c>
      <x:c r="K161" s="1" t="n">
        <x:f>2*H161+E161+IF(G161&gt;30,2,0)-IF(B161&gt;24,1,0)</x:f>
        <x:v>1</x:v>
      </x:c>
      <x:c r="L161" s="1" t="str">
        <x:f>IF(K161&gt;=3,"yes","no")</x:f>
        <x:v>no</x:v>
      </x:c>
      <x:c r="M161" s="1"/>
      <x:c r="N161" s="1"/>
      <x:c r="O161" s="1"/>
    </x:row>
    <x:row r="162">
      <x:c r="A162" s="1" t="str">
        <x:v>S0161</x:v>
      </x:c>
      <x:c r="B162" s="1" t="n">
        <x:v>1</x:v>
      </x:c>
      <x:c r="C162" s="1" t="str">
        <x:v>basic</x:v>
      </x:c>
      <x:c r="D162" s="8" t="n">
        <x:v>9.99</x:v>
      </x:c>
      <x:c r="E162" s="1" t="n">
        <x:v>4</x:v>
      </x:c>
      <x:c r="F162" s="1" t="n">
        <x:v>0</x:v>
      </x:c>
      <x:c r="G162" s="1" t="n">
        <x:v>48</x:v>
      </x:c>
      <x:c r="H162" s="1" t="n">
        <x:v>0</x:v>
      </x:c>
      <x:c r="I162" s="1" t="n">
        <x:v>0</x:v>
      </x:c>
      <x:c r="J162" s="1" t="str">
        <x:v>yes</x:v>
      </x:c>
      <x:c r="K162" s="1" t="n">
        <x:f>2*H162+E162+IF(G162&gt;30,2,0)-IF(B162&gt;24,1,0)</x:f>
        <x:v>6</x:v>
      </x:c>
      <x:c r="L162" s="1" t="str">
        <x:f>IF(K162&gt;=3,"yes","no")</x:f>
        <x:v>yes</x:v>
      </x:c>
      <x:c r="M162" s="1"/>
      <x:c r="N162" s="1"/>
      <x:c r="O162" s="1"/>
    </x:row>
    <x:row r="163">
      <x:c r="A163" s="1" t="str">
        <x:v>S0162</x:v>
      </x:c>
      <x:c r="B163" s="1" t="n">
        <x:v>12</x:v>
      </x:c>
      <x:c r="C163" s="1" t="str">
        <x:v>premium</x:v>
      </x:c>
      <x:c r="D163" s="8" t="n">
        <x:v>15.99</x:v>
      </x:c>
      <x:c r="E163" s="1" t="n">
        <x:v>1</x:v>
      </x:c>
      <x:c r="F163" s="1" t="n">
        <x:v>0</x:v>
      </x:c>
      <x:c r="G163" s="1" t="n">
        <x:v>47</x:v>
      </x:c>
      <x:c r="H163" s="1" t="n">
        <x:v>0</x:v>
      </x:c>
      <x:c r="I163" s="1" t="n">
        <x:v>0</x:v>
      </x:c>
      <x:c r="J163" s="1" t="str">
        <x:v>yes</x:v>
      </x:c>
      <x:c r="K163" s="1" t="n">
        <x:f>2*H163+E163+IF(G163&gt;30,2,0)-IF(B163&gt;24,1,0)</x:f>
        <x:v>3</x:v>
      </x:c>
      <x:c r="L163" s="1" t="str">
        <x:f>IF(K163&gt;=3,"yes","no")</x:f>
        <x:v>yes</x:v>
      </x:c>
      <x:c r="M163" s="1"/>
      <x:c r="N163" s="1"/>
      <x:c r="O163" s="1"/>
    </x:row>
    <x:row r="164">
      <x:c r="A164" s="1" t="str">
        <x:v>S0163</x:v>
      </x:c>
      <x:c r="B164" s="1" t="n">
        <x:v>40</x:v>
      </x:c>
      <x:c r="C164" s="1" t="str">
        <x:v>basic</x:v>
      </x:c>
      <x:c r="D164" s="8" t="n">
        <x:v>9.99</x:v>
      </x:c>
      <x:c r="E164" s="1" t="n">
        <x:v>1</x:v>
      </x:c>
      <x:c r="F164" s="1" t="n">
        <x:v>0</x:v>
      </x:c>
      <x:c r="G164" s="1" t="n">
        <x:v>34</x:v>
      </x:c>
      <x:c r="H164" s="1" t="n">
        <x:v>0</x:v>
      </x:c>
      <x:c r="I164" s="1" t="n">
        <x:v>0</x:v>
      </x:c>
      <x:c r="J164" s="1" t="str">
        <x:v>no</x:v>
      </x:c>
      <x:c r="K164" s="1" t="n">
        <x:f>2*H164+E164+IF(G164&gt;30,2,0)-IF(B164&gt;24,1,0)</x:f>
        <x:v>2</x:v>
      </x:c>
      <x:c r="L164" s="1" t="str">
        <x:f>IF(K164&gt;=3,"yes","no")</x:f>
        <x:v>no</x:v>
      </x:c>
      <x:c r="M164" s="1"/>
      <x:c r="N164" s="1"/>
      <x:c r="O164" s="1"/>
    </x:row>
    <x:row r="165">
      <x:c r="A165" s="1" t="str">
        <x:v>S0164</x:v>
      </x:c>
      <x:c r="B165" s="1" t="n">
        <x:v>47</x:v>
      </x:c>
      <x:c r="C165" s="1" t="str">
        <x:v>premium</x:v>
      </x:c>
      <x:c r="D165" s="8" t="n">
        <x:v>15.99</x:v>
      </x:c>
      <x:c r="E165" s="1" t="n">
        <x:v>0</x:v>
      </x:c>
      <x:c r="F165" s="1" t="n">
        <x:v>0</x:v>
      </x:c>
      <x:c r="G165" s="1" t="n">
        <x:v>48</x:v>
      </x:c>
      <x:c r="H165" s="1" t="n">
        <x:v>0</x:v>
      </x:c>
      <x:c r="I165" s="1" t="n">
        <x:v>1</x:v>
      </x:c>
      <x:c r="J165" s="1" t="str">
        <x:v>no</x:v>
      </x:c>
      <x:c r="K165" s="1" t="n">
        <x:f>2*H165+E165+IF(G165&gt;30,2,0)-IF(B165&gt;24,1,0)</x:f>
        <x:v>1</x:v>
      </x:c>
      <x:c r="L165" s="1" t="str">
        <x:f>IF(K165&gt;=3,"yes","no")</x:f>
        <x:v>no</x:v>
      </x:c>
      <x:c r="M165" s="1"/>
      <x:c r="N165" s="1"/>
      <x:c r="O165" s="1"/>
    </x:row>
    <x:row r="166">
      <x:c r="A166" s="1" t="str">
        <x:v>S0165</x:v>
      </x:c>
      <x:c r="B166" s="1" t="n">
        <x:v>6</x:v>
      </x:c>
      <x:c r="C166" s="1" t="str">
        <x:v>basic</x:v>
      </x:c>
      <x:c r="D166" s="8" t="n">
        <x:v>9.99</x:v>
      </x:c>
      <x:c r="E166" s="1" t="n">
        <x:v>0</x:v>
      </x:c>
      <x:c r="F166" s="1" t="n">
        <x:v>0</x:v>
      </x:c>
      <x:c r="G166" s="1" t="n">
        <x:v>36</x:v>
      </x:c>
      <x:c r="H166" s="1" t="n">
        <x:v>0</x:v>
      </x:c>
      <x:c r="I166" s="1" t="n">
        <x:v>0</x:v>
      </x:c>
      <x:c r="J166" s="1" t="str">
        <x:v>no</x:v>
      </x:c>
      <x:c r="K166" s="1" t="n">
        <x:f>2*H166+E166+IF(G166&gt;30,2,0)-IF(B166&gt;24,1,0)</x:f>
        <x:v>2</x:v>
      </x:c>
      <x:c r="L166" s="1" t="str">
        <x:f>IF(K166&gt;=3,"yes","no")</x:f>
        <x:v>no</x:v>
      </x:c>
      <x:c r="M166" s="1"/>
      <x:c r="N166" s="1"/>
      <x:c r="O166" s="1"/>
    </x:row>
    <x:row r="167">
      <x:c r="A167" s="1" t="str">
        <x:v>S0166</x:v>
      </x:c>
      <x:c r="B167" s="1" t="n">
        <x:v>41</x:v>
      </x:c>
      <x:c r="C167" s="1" t="str">
        <x:v>premium</x:v>
      </x:c>
      <x:c r="D167" s="8" t="n">
        <x:v>15.99</x:v>
      </x:c>
      <x:c r="E167" s="1" t="n">
        <x:v>2</x:v>
      </x:c>
      <x:c r="F167" s="1" t="n">
        <x:v>32</x:v>
      </x:c>
      <x:c r="G167" s="1" t="n">
        <x:v>0</x:v>
      </x:c>
      <x:c r="H167" s="1" t="n">
        <x:v>0</x:v>
      </x:c>
      <x:c r="I167" s="1" t="n">
        <x:v>0</x:v>
      </x:c>
      <x:c r="J167" s="1" t="str">
        <x:v>no</x:v>
      </x:c>
      <x:c r="K167" s="1" t="n">
        <x:f>2*H167+E167+IF(G167&gt;30,2,0)-IF(B167&gt;24,1,0)</x:f>
        <x:v>1</x:v>
      </x:c>
      <x:c r="L167" s="1" t="str">
        <x:f>IF(K167&gt;=3,"yes","no")</x:f>
        <x:v>no</x:v>
      </x:c>
      <x:c r="M167" s="1"/>
      <x:c r="N167" s="1"/>
      <x:c r="O167" s="1"/>
    </x:row>
    <x:row r="168">
      <x:c r="A168" s="1" t="str">
        <x:v>S0167</x:v>
      </x:c>
      <x:c r="B168" s="1" t="n">
        <x:v>39</x:v>
      </x:c>
      <x:c r="C168" s="1" t="str">
        <x:v>basic</x:v>
      </x:c>
      <x:c r="D168" s="8" t="n">
        <x:v>9.99</x:v>
      </x:c>
      <x:c r="E168" s="1" t="n">
        <x:v>1</x:v>
      </x:c>
      <x:c r="F168" s="1" t="n">
        <x:v>0</x:v>
      </x:c>
      <x:c r="G168" s="1" t="n">
        <x:v>45</x:v>
      </x:c>
      <x:c r="H168" s="1" t="n">
        <x:v>0</x:v>
      </x:c>
      <x:c r="I168" s="1" t="n">
        <x:v>0</x:v>
      </x:c>
      <x:c r="J168" s="1" t="str">
        <x:v>yes</x:v>
      </x:c>
      <x:c r="K168" s="1" t="n">
        <x:f>2*H168+E168+IF(G168&gt;30,2,0)-IF(B168&gt;24,1,0)</x:f>
        <x:v>2</x:v>
      </x:c>
      <x:c r="L168" s="1" t="str">
        <x:f>IF(K168&gt;=3,"yes","no")</x:f>
        <x:v>no</x:v>
      </x:c>
      <x:c r="M168" s="1"/>
      <x:c r="N168" s="1"/>
      <x:c r="O168" s="1"/>
    </x:row>
    <x:row r="169">
      <x:c r="A169" s="1" t="str">
        <x:v>S0168</x:v>
      </x:c>
      <x:c r="B169" s="1" t="n">
        <x:v>18</x:v>
      </x:c>
      <x:c r="C169" s="1" t="str">
        <x:v>premium</x:v>
      </x:c>
      <x:c r="D169" s="8" t="n">
        <x:v>15.99</x:v>
      </x:c>
      <x:c r="E169" s="1" t="n">
        <x:v>0</x:v>
      </x:c>
      <x:c r="F169" s="1" t="n">
        <x:v>11</x:v>
      </x:c>
      <x:c r="G169" s="1" t="n">
        <x:v>30</x:v>
      </x:c>
      <x:c r="H169" s="1" t="n">
        <x:v>0</x:v>
      </x:c>
      <x:c r="I169" s="1" t="n">
        <x:v>0</x:v>
      </x:c>
      <x:c r="J169" s="1" t="str">
        <x:v>no</x:v>
      </x:c>
      <x:c r="K169" s="1" t="n">
        <x:f>2*H169+E169+IF(G169&gt;30,2,0)-IF(B169&gt;24,1,0)</x:f>
        <x:v>0</x:v>
      </x:c>
      <x:c r="L169" s="1" t="str">
        <x:f>IF(K169&gt;=3,"yes","no")</x:f>
        <x:v>no</x:v>
      </x:c>
      <x:c r="M169" s="1"/>
      <x:c r="N169" s="1"/>
      <x:c r="O169" s="1"/>
    </x:row>
    <x:row r="170">
      <x:c r="A170" s="1" t="str">
        <x:v>S0169</x:v>
      </x:c>
      <x:c r="B170" s="1" t="n">
        <x:v>12</x:v>
      </x:c>
      <x:c r="C170" s="1" t="str">
        <x:v>basic</x:v>
      </x:c>
      <x:c r="D170" s="8" t="n">
        <x:v>9.99</x:v>
      </x:c>
      <x:c r="E170" s="1" t="n">
        <x:v>1</x:v>
      </x:c>
      <x:c r="F170" s="1" t="n">
        <x:v>18</x:v>
      </x:c>
      <x:c r="G170" s="1" t="n">
        <x:v>6</x:v>
      </x:c>
      <x:c r="H170" s="1" t="n">
        <x:v>0</x:v>
      </x:c>
      <x:c r="I170" s="1" t="n">
        <x:v>1</x:v>
      </x:c>
      <x:c r="J170" s="1" t="str">
        <x:v>no</x:v>
      </x:c>
      <x:c r="K170" s="1" t="n">
        <x:f>2*H170+E170+IF(G170&gt;30,2,0)-IF(B170&gt;24,1,0)</x:f>
        <x:v>1</x:v>
      </x:c>
      <x:c r="L170" s="1" t="str">
        <x:f>IF(K170&gt;=3,"yes","no")</x:f>
        <x:v>no</x:v>
      </x:c>
      <x:c r="M170" s="1"/>
      <x:c r="N170" s="1"/>
      <x:c r="O170" s="1"/>
    </x:row>
    <x:row r="171">
      <x:c r="A171" s="1" t="str">
        <x:v>S0170</x:v>
      </x:c>
      <x:c r="B171" s="1" t="n">
        <x:v>9</x:v>
      </x:c>
      <x:c r="C171" s="1" t="str">
        <x:v>basic</x:v>
      </x:c>
      <x:c r="D171" s="8" t="n">
        <x:v>9.99</x:v>
      </x:c>
      <x:c r="E171" s="1" t="n">
        <x:v>1</x:v>
      </x:c>
      <x:c r="F171" s="1" t="n">
        <x:v>24</x:v>
      </x:c>
      <x:c r="G171" s="1" t="n">
        <x:v>1</x:v>
      </x:c>
      <x:c r="H171" s="1" t="n">
        <x:v>0</x:v>
      </x:c>
      <x:c r="I171" s="1" t="n">
        <x:v>1</x:v>
      </x:c>
      <x:c r="J171" s="1" t="str">
        <x:v>no</x:v>
      </x:c>
      <x:c r="K171" s="1" t="n">
        <x:f>2*H171+E171+IF(G171&gt;30,2,0)-IF(B171&gt;24,1,0)</x:f>
        <x:v>1</x:v>
      </x:c>
      <x:c r="L171" s="1" t="str">
        <x:f>IF(K171&gt;=3,"yes","no")</x:f>
        <x:v>no</x:v>
      </x:c>
      <x:c r="M171" s="1"/>
      <x:c r="N171" s="1"/>
      <x:c r="O171" s="1"/>
    </x:row>
    <x:row r="172">
      <x:c r="A172" s="1" t="str">
        <x:v>S0171</x:v>
      </x:c>
      <x:c r="B172" s="1" t="n">
        <x:v>22</x:v>
      </x:c>
      <x:c r="C172" s="1" t="str">
        <x:v>basic</x:v>
      </x:c>
      <x:c r="D172" s="8" t="n">
        <x:v>9.99</x:v>
      </x:c>
      <x:c r="E172" s="1" t="n">
        <x:v>0</x:v>
      </x:c>
      <x:c r="F172" s="1" t="n">
        <x:v>5</x:v>
      </x:c>
      <x:c r="G172" s="1" t="n">
        <x:v>3</x:v>
      </x:c>
      <x:c r="H172" s="1" t="n">
        <x:v>0</x:v>
      </x:c>
      <x:c r="I172" s="1" t="n">
        <x:v>1</x:v>
      </x:c>
      <x:c r="J172" s="1" t="str">
        <x:v>no</x:v>
      </x:c>
      <x:c r="K172" s="1" t="n">
        <x:f>2*H172+E172+IF(G172&gt;30,2,0)-IF(B172&gt;24,1,0)</x:f>
        <x:v>0</x:v>
      </x:c>
      <x:c r="L172" s="1" t="str">
        <x:f>IF(K172&gt;=3,"yes","no")</x:f>
        <x:v>no</x:v>
      </x:c>
      <x:c r="M172" s="1"/>
      <x:c r="N172" s="1"/>
      <x:c r="O172" s="1"/>
    </x:row>
    <x:row r="173">
      <x:c r="A173" s="1" t="str">
        <x:v>S0172</x:v>
      </x:c>
      <x:c r="B173" s="1" t="n">
        <x:v>15</x:v>
      </x:c>
      <x:c r="C173" s="1" t="str">
        <x:v>premium</x:v>
      </x:c>
      <x:c r="D173" s="8" t="n">
        <x:v>15.99</x:v>
      </x:c>
      <x:c r="E173" s="1" t="n">
        <x:v>2</x:v>
      </x:c>
      <x:c r="F173" s="1" t="n">
        <x:v>14</x:v>
      </x:c>
      <x:c r="G173" s="1" t="n">
        <x:v>15</x:v>
      </x:c>
      <x:c r="H173" s="1" t="n">
        <x:v>0</x:v>
      </x:c>
      <x:c r="I173" s="1" t="n">
        <x:v>0</x:v>
      </x:c>
      <x:c r="J173" s="1" t="str">
        <x:v>yes</x:v>
      </x:c>
      <x:c r="K173" s="1" t="n">
        <x:f>2*H173+E173+IF(G173&gt;30,2,0)-IF(B173&gt;24,1,0)</x:f>
        <x:v>2</x:v>
      </x:c>
      <x:c r="L173" s="1" t="str">
        <x:f>IF(K173&gt;=3,"yes","no")</x:f>
        <x:v>no</x:v>
      </x:c>
      <x:c r="M173" s="1"/>
      <x:c r="N173" s="1"/>
      <x:c r="O173" s="1"/>
    </x:row>
    <x:row r="174">
      <x:c r="A174" s="1" t="str">
        <x:v>S0173</x:v>
      </x:c>
      <x:c r="B174" s="1" t="n">
        <x:v>14</x:v>
      </x:c>
      <x:c r="C174" s="1" t="str">
        <x:v>basic</x:v>
      </x:c>
      <x:c r="D174" s="8" t="n">
        <x:v>9.99</x:v>
      </x:c>
      <x:c r="E174" s="1" t="n">
        <x:v>0</x:v>
      </x:c>
      <x:c r="F174" s="1" t="n">
        <x:v>11</x:v>
      </x:c>
      <x:c r="G174" s="1" t="n">
        <x:v>3</x:v>
      </x:c>
      <x:c r="H174" s="1" t="n">
        <x:v>1</x:v>
      </x:c>
      <x:c r="I174" s="1" t="n">
        <x:v>1</x:v>
      </x:c>
      <x:c r="J174" s="1" t="str">
        <x:v>yes</x:v>
      </x:c>
      <x:c r="K174" s="1" t="n">
        <x:f>2*H174+E174+IF(G174&gt;30,2,0)-IF(B174&gt;24,1,0)</x:f>
        <x:v>2</x:v>
      </x:c>
      <x:c r="L174" s="1" t="str">
        <x:f>IF(K174&gt;=3,"yes","no")</x:f>
        <x:v>no</x:v>
      </x:c>
      <x:c r="M174" s="1"/>
      <x:c r="N174" s="1"/>
      <x:c r="O174" s="1"/>
    </x:row>
    <x:row r="175">
      <x:c r="A175" s="1" t="str">
        <x:v>S0174</x:v>
      </x:c>
      <x:c r="B175" s="1" t="n">
        <x:v>15</x:v>
      </x:c>
      <x:c r="C175" s="1" t="str">
        <x:v>premium</x:v>
      </x:c>
      <x:c r="D175" s="8" t="n">
        <x:v>15.99</x:v>
      </x:c>
      <x:c r="E175" s="1" t="n">
        <x:v>1</x:v>
      </x:c>
      <x:c r="F175" s="1" t="n">
        <x:v>15</x:v>
      </x:c>
      <x:c r="G175" s="1" t="n">
        <x:v>5</x:v>
      </x:c>
      <x:c r="H175" s="1" t="n">
        <x:v>0</x:v>
      </x:c>
      <x:c r="I175" s="1" t="n">
        <x:v>0</x:v>
      </x:c>
      <x:c r="J175" s="1" t="str">
        <x:v>no</x:v>
      </x:c>
      <x:c r="K175" s="1" t="n">
        <x:f>2*H175+E175+IF(G175&gt;30,2,0)-IF(B175&gt;24,1,0)</x:f>
        <x:v>1</x:v>
      </x:c>
      <x:c r="L175" s="1" t="str">
        <x:f>IF(K175&gt;=3,"yes","no")</x:f>
        <x:v>no</x:v>
      </x:c>
      <x:c r="M175" s="1"/>
      <x:c r="N175" s="1"/>
      <x:c r="O175" s="1"/>
    </x:row>
    <x:row r="176">
      <x:c r="A176" s="1" t="str">
        <x:v>S0175</x:v>
      </x:c>
      <x:c r="B176" s="1" t="n">
        <x:v>8</x:v>
      </x:c>
      <x:c r="C176" s="1" t="str">
        <x:v>basic</x:v>
      </x:c>
      <x:c r="D176" s="8" t="n">
        <x:v>9.99</x:v>
      </x:c>
      <x:c r="E176" s="1" t="n">
        <x:v>1</x:v>
      </x:c>
      <x:c r="F176" s="1" t="n">
        <x:v>12</x:v>
      </x:c>
      <x:c r="G176" s="1" t="n">
        <x:v>13</x:v>
      </x:c>
      <x:c r="H176" s="1" t="n">
        <x:v>0</x:v>
      </x:c>
      <x:c r="I176" s="1" t="n">
        <x:v>0</x:v>
      </x:c>
      <x:c r="J176" s="1" t="str">
        <x:v>no</x:v>
      </x:c>
      <x:c r="K176" s="1" t="n">
        <x:f>2*H176+E176+IF(G176&gt;30,2,0)-IF(B176&gt;24,1,0)</x:f>
        <x:v>1</x:v>
      </x:c>
      <x:c r="L176" s="1" t="str">
        <x:f>IF(K176&gt;=3,"yes","no")</x:f>
        <x:v>no</x:v>
      </x:c>
      <x:c r="M176" s="1"/>
      <x:c r="N176" s="1"/>
      <x:c r="O176" s="1"/>
    </x:row>
    <x:row r="177">
      <x:c r="A177" s="1" t="str">
        <x:v>S0176</x:v>
      </x:c>
      <x:c r="B177" s="1" t="n">
        <x:v>2</x:v>
      </x:c>
      <x:c r="C177" s="1" t="str">
        <x:v>premium</x:v>
      </x:c>
      <x:c r="D177" s="8" t="n">
        <x:v>15.99</x:v>
      </x:c>
      <x:c r="E177" s="1" t="n">
        <x:v>1</x:v>
      </x:c>
      <x:c r="F177" s="1" t="n">
        <x:v>6</x:v>
      </x:c>
      <x:c r="G177" s="1" t="n">
        <x:v>4</x:v>
      </x:c>
      <x:c r="H177" s="1" t="n">
        <x:v>0</x:v>
      </x:c>
      <x:c r="I177" s="1" t="n">
        <x:v>0</x:v>
      </x:c>
      <x:c r="J177" s="1" t="str">
        <x:v>no</x:v>
      </x:c>
      <x:c r="K177" s="1" t="n">
        <x:f>2*H177+E177+IF(G177&gt;30,2,0)-IF(B177&gt;24,1,0)</x:f>
        <x:v>1</x:v>
      </x:c>
      <x:c r="L177" s="1" t="str">
        <x:f>IF(K177&gt;=3,"yes","no")</x:f>
        <x:v>no</x:v>
      </x:c>
      <x:c r="M177" s="1"/>
      <x:c r="N177" s="1"/>
      <x:c r="O177" s="1"/>
    </x:row>
    <x:row r="178">
      <x:c r="A178" s="1" t="str">
        <x:v>S0177</x:v>
      </x:c>
      <x:c r="B178" s="1" t="n">
        <x:v>34</x:v>
      </x:c>
      <x:c r="C178" s="1" t="str">
        <x:v>premium</x:v>
      </x:c>
      <x:c r="D178" s="8" t="n">
        <x:v>15.99</x:v>
      </x:c>
      <x:c r="E178" s="1" t="n">
        <x:v>0</x:v>
      </x:c>
      <x:c r="F178" s="1" t="n">
        <x:v>0</x:v>
      </x:c>
      <x:c r="G178" s="1" t="n">
        <x:v>47</x:v>
      </x:c>
      <x:c r="H178" s="1" t="n">
        <x:v>0</x:v>
      </x:c>
      <x:c r="I178" s="1" t="n">
        <x:v>0</x:v>
      </x:c>
      <x:c r="J178" s="1" t="str">
        <x:v>yes</x:v>
      </x:c>
      <x:c r="K178" s="1" t="n">
        <x:f>2*H178+E178+IF(G178&gt;30,2,0)-IF(B178&gt;24,1,0)</x:f>
        <x:v>1</x:v>
      </x:c>
      <x:c r="L178" s="1" t="str">
        <x:f>IF(K178&gt;=3,"yes","no")</x:f>
        <x:v>no</x:v>
      </x:c>
      <x:c r="M178" s="1"/>
      <x:c r="N178" s="1"/>
      <x:c r="O178" s="1"/>
    </x:row>
    <x:row r="179">
      <x:c r="A179" s="1" t="str">
        <x:v>S0178</x:v>
      </x:c>
      <x:c r="B179" s="1" t="n">
        <x:v>40</x:v>
      </x:c>
      <x:c r="C179" s="1" t="str">
        <x:v>basic</x:v>
      </x:c>
      <x:c r="D179" s="8" t="n">
        <x:v>9.99</x:v>
      </x:c>
      <x:c r="E179" s="1" t="n">
        <x:v>3</x:v>
      </x:c>
      <x:c r="F179" s="1" t="n">
        <x:v>25</x:v>
      </x:c>
      <x:c r="G179" s="1" t="n">
        <x:v>0</x:v>
      </x:c>
      <x:c r="H179" s="1" t="n">
        <x:v>0</x:v>
      </x:c>
      <x:c r="I179" s="1" t="n">
        <x:v>0</x:v>
      </x:c>
      <x:c r="J179" s="1" t="str">
        <x:v>no</x:v>
      </x:c>
      <x:c r="K179" s="1" t="n">
        <x:f>2*H179+E179+IF(G179&gt;30,2,0)-IF(B179&gt;24,1,0)</x:f>
        <x:v>2</x:v>
      </x:c>
      <x:c r="L179" s="1" t="str">
        <x:f>IF(K179&gt;=3,"yes","no")</x:f>
        <x:v>no</x:v>
      </x:c>
      <x:c r="M179" s="1"/>
      <x:c r="N179" s="1"/>
      <x:c r="O179" s="1"/>
    </x:row>
    <x:row r="180">
      <x:c r="A180" s="1" t="str">
        <x:v>S0179</x:v>
      </x:c>
      <x:c r="B180" s="1" t="n">
        <x:v>47</x:v>
      </x:c>
      <x:c r="C180" s="1" t="str">
        <x:v>premium</x:v>
      </x:c>
      <x:c r="D180" s="8" t="n">
        <x:v>15.99</x:v>
      </x:c>
      <x:c r="E180" s="1" t="n">
        <x:v>3</x:v>
      </x:c>
      <x:c r="F180" s="1" t="n">
        <x:v>22</x:v>
      </x:c>
      <x:c r="G180" s="1" t="n">
        <x:v>7</x:v>
      </x:c>
      <x:c r="H180" s="1" t="n">
        <x:v>0</x:v>
      </x:c>
      <x:c r="I180" s="1" t="n">
        <x:v>0</x:v>
      </x:c>
      <x:c r="J180" s="1" t="str">
        <x:v>no</x:v>
      </x:c>
      <x:c r="K180" s="1" t="n">
        <x:f>2*H180+E180+IF(G180&gt;30,2,0)-IF(B180&gt;24,1,0)</x:f>
        <x:v>2</x:v>
      </x:c>
      <x:c r="L180" s="1" t="str">
        <x:f>IF(K180&gt;=3,"yes","no")</x:f>
        <x:v>no</x:v>
      </x:c>
      <x:c r="M180" s="1"/>
      <x:c r="N180" s="1"/>
      <x:c r="O180" s="1"/>
    </x:row>
    <x:row r="181">
      <x:c r="A181" s="1" t="str">
        <x:v>S0180</x:v>
      </x:c>
      <x:c r="B181" s="1" t="n">
        <x:v>36</x:v>
      </x:c>
      <x:c r="C181" s="1" t="str">
        <x:v>basic</x:v>
      </x:c>
      <x:c r="D181" s="8" t="n">
        <x:v>9.99</x:v>
      </x:c>
      <x:c r="E181" s="1" t="n">
        <x:v>0</x:v>
      </x:c>
      <x:c r="F181" s="1" t="n">
        <x:v>16</x:v>
      </x:c>
      <x:c r="G181" s="1" t="n">
        <x:v>22</x:v>
      </x:c>
      <x:c r="H181" s="1" t="n">
        <x:v>0</x:v>
      </x:c>
      <x:c r="I181" s="1" t="n">
        <x:v>1</x:v>
      </x:c>
      <x:c r="J181" s="1" t="str">
        <x:v>no</x:v>
      </x:c>
      <x:c r="K181" s="1" t="n">
        <x:f>2*H181+E181+IF(G181&gt;30,2,0)-IF(B181&gt;24,1,0)</x:f>
        <x:v>-1</x:v>
      </x:c>
      <x:c r="L181" s="1" t="str">
        <x:f>IF(K181&gt;=3,"yes","no")</x:f>
        <x:v>no</x:v>
      </x:c>
      <x:c r="M181" s="1"/>
      <x:c r="N181" s="1"/>
      <x:c r="O181" s="1"/>
    </x:row>
    <x:row r="182">
      <x:c r="A182" s="1" t="str">
        <x:v>S0181</x:v>
      </x:c>
      <x:c r="B182" s="1" t="n">
        <x:v>33</x:v>
      </x:c>
      <x:c r="C182" s="1" t="str">
        <x:v>basic</x:v>
      </x:c>
      <x:c r="D182" s="8" t="n">
        <x:v>9.99</x:v>
      </x:c>
      <x:c r="E182" s="1" t="n">
        <x:v>0</x:v>
      </x:c>
      <x:c r="F182" s="1" t="n">
        <x:v>23</x:v>
      </x:c>
      <x:c r="G182" s="1" t="n">
        <x:v>2</x:v>
      </x:c>
      <x:c r="H182" s="1" t="n">
        <x:v>1</x:v>
      </x:c>
      <x:c r="I182" s="1" t="n">
        <x:v>0</x:v>
      </x:c>
      <x:c r="J182" s="1" t="str">
        <x:v>no</x:v>
      </x:c>
      <x:c r="K182" s="1" t="n">
        <x:f>2*H182+E182+IF(G182&gt;30,2,0)-IF(B182&gt;24,1,0)</x:f>
        <x:v>1</x:v>
      </x:c>
      <x:c r="L182" s="1" t="str">
        <x:f>IF(K182&gt;=3,"yes","no")</x:f>
        <x:v>no</x:v>
      </x:c>
      <x:c r="M182" s="1"/>
      <x:c r="N182" s="1"/>
      <x:c r="O182" s="1"/>
    </x:row>
    <x:row r="183">
      <x:c r="A183" s="1" t="str">
        <x:v>S0182</x:v>
      </x:c>
      <x:c r="B183" s="1" t="n">
        <x:v>48</x:v>
      </x:c>
      <x:c r="C183" s="1" t="str">
        <x:v>basic</x:v>
      </x:c>
      <x:c r="D183" s="8" t="n">
        <x:v>9.99</x:v>
      </x:c>
      <x:c r="E183" s="1" t="n">
        <x:v>4</x:v>
      </x:c>
      <x:c r="F183" s="1" t="n">
        <x:v>13</x:v>
      </x:c>
      <x:c r="G183" s="1" t="n">
        <x:v>30</x:v>
      </x:c>
      <x:c r="H183" s="1" t="n">
        <x:v>0</x:v>
      </x:c>
      <x:c r="I183" s="1" t="n">
        <x:v>1</x:v>
      </x:c>
      <x:c r="J183" s="1" t="str">
        <x:v>no</x:v>
      </x:c>
      <x:c r="K183" s="1" t="n">
        <x:f>2*H183+E183+IF(G183&gt;30,2,0)-IF(B183&gt;24,1,0)</x:f>
        <x:v>3</x:v>
      </x:c>
      <x:c r="L183" s="1" t="str">
        <x:f>IF(K183&gt;=3,"yes","no")</x:f>
        <x:v>yes</x:v>
      </x:c>
      <x:c r="M183" s="1"/>
      <x:c r="N183" s="1"/>
      <x:c r="O183" s="1"/>
    </x:row>
    <x:row r="184">
      <x:c r="A184" s="1" t="str">
        <x:v>S0183</x:v>
      </x:c>
      <x:c r="B184" s="1" t="n">
        <x:v>11</x:v>
      </x:c>
      <x:c r="C184" s="1" t="str">
        <x:v>basic</x:v>
      </x:c>
      <x:c r="D184" s="8" t="n">
        <x:v>9.99</x:v>
      </x:c>
      <x:c r="E184" s="1" t="n">
        <x:v>2</x:v>
      </x:c>
      <x:c r="F184" s="1" t="n">
        <x:v>26</x:v>
      </x:c>
      <x:c r="G184" s="1" t="n">
        <x:v>3</x:v>
      </x:c>
      <x:c r="H184" s="1" t="n">
        <x:v>0</x:v>
      </x:c>
      <x:c r="I184" s="1" t="n">
        <x:v>0</x:v>
      </x:c>
      <x:c r="J184" s="1" t="str">
        <x:v>no</x:v>
      </x:c>
      <x:c r="K184" s="1" t="n">
        <x:f>2*H184+E184+IF(G184&gt;30,2,0)-IF(B184&gt;24,1,0)</x:f>
        <x:v>2</x:v>
      </x:c>
      <x:c r="L184" s="1" t="str">
        <x:f>IF(K184&gt;=3,"yes","no")</x:f>
        <x:v>no</x:v>
      </x:c>
      <x:c r="M184" s="1"/>
      <x:c r="N184" s="1"/>
      <x:c r="O184" s="1"/>
    </x:row>
    <x:row r="185">
      <x:c r="A185" s="1" t="str">
        <x:v>S0184</x:v>
      </x:c>
      <x:c r="B185" s="1" t="n">
        <x:v>20</x:v>
      </x:c>
      <x:c r="C185" s="1" t="str">
        <x:v>basic</x:v>
      </x:c>
      <x:c r="D185" s="8" t="n">
        <x:v>9.99</x:v>
      </x:c>
      <x:c r="E185" s="1" t="n">
        <x:v>0</x:v>
      </x:c>
      <x:c r="F185" s="1" t="n">
        <x:v>18</x:v>
      </x:c>
      <x:c r="G185" s="1" t="n">
        <x:v>6</x:v>
      </x:c>
      <x:c r="H185" s="1" t="n">
        <x:v>0</x:v>
      </x:c>
      <x:c r="I185" s="1" t="n">
        <x:v>1</x:v>
      </x:c>
      <x:c r="J185" s="1" t="str">
        <x:v>no</x:v>
      </x:c>
      <x:c r="K185" s="1" t="n">
        <x:f>2*H185+E185+IF(G185&gt;30,2,0)-IF(B185&gt;24,1,0)</x:f>
        <x:v>0</x:v>
      </x:c>
      <x:c r="L185" s="1" t="str">
        <x:f>IF(K185&gt;=3,"yes","no")</x:f>
        <x:v>no</x:v>
      </x:c>
      <x:c r="M185" s="1"/>
      <x:c r="N185" s="1"/>
      <x:c r="O185" s="1"/>
    </x:row>
    <x:row r="186">
      <x:c r="A186" s="1" t="str">
        <x:v>S0185</x:v>
      </x:c>
      <x:c r="B186" s="1" t="n">
        <x:v>12</x:v>
      </x:c>
      <x:c r="C186" s="1" t="str">
        <x:v>premium</x:v>
      </x:c>
      <x:c r="D186" s="8" t="n">
        <x:v>15.99</x:v>
      </x:c>
      <x:c r="E186" s="1" t="n">
        <x:v>1</x:v>
      </x:c>
      <x:c r="F186" s="1" t="n">
        <x:v>31</x:v>
      </x:c>
      <x:c r="G186" s="1" t="n">
        <x:v>2</x:v>
      </x:c>
      <x:c r="H186" s="1" t="n">
        <x:v>0</x:v>
      </x:c>
      <x:c r="I186" s="1" t="n">
        <x:v>0</x:v>
      </x:c>
      <x:c r="J186" s="1" t="str">
        <x:v>no</x:v>
      </x:c>
      <x:c r="K186" s="1" t="n">
        <x:f>2*H186+E186+IF(G186&gt;30,2,0)-IF(B186&gt;24,1,0)</x:f>
        <x:v>1</x:v>
      </x:c>
      <x:c r="L186" s="1" t="str">
        <x:f>IF(K186&gt;=3,"yes","no")</x:f>
        <x:v>no</x:v>
      </x:c>
      <x:c r="M186" s="1"/>
      <x:c r="N186" s="1"/>
      <x:c r="O186" s="1"/>
    </x:row>
    <x:row r="187">
      <x:c r="A187" s="1" t="str">
        <x:v>S0186</x:v>
      </x:c>
      <x:c r="B187" s="1" t="n">
        <x:v>5</x:v>
      </x:c>
      <x:c r="C187" s="1" t="str">
        <x:v>basic</x:v>
      </x:c>
      <x:c r="D187" s="8" t="n">
        <x:v>9.99</x:v>
      </x:c>
      <x:c r="E187" s="1" t="n">
        <x:v>3</x:v>
      </x:c>
      <x:c r="F187" s="1" t="n">
        <x:v>24</x:v>
      </x:c>
      <x:c r="G187" s="1" t="n">
        <x:v>3</x:v>
      </x:c>
      <x:c r="H187" s="1" t="n">
        <x:v>0</x:v>
      </x:c>
      <x:c r="I187" s="1" t="n">
        <x:v>0</x:v>
      </x:c>
      <x:c r="J187" s="1" t="str">
        <x:v>yes</x:v>
      </x:c>
      <x:c r="K187" s="1" t="n">
        <x:f>2*H187+E187+IF(G187&gt;30,2,0)-IF(B187&gt;24,1,0)</x:f>
        <x:v>3</x:v>
      </x:c>
      <x:c r="L187" s="1" t="str">
        <x:f>IF(K187&gt;=3,"yes","no")</x:f>
        <x:v>yes</x:v>
      </x:c>
      <x:c r="M187" s="1"/>
      <x:c r="N187" s="1"/>
      <x:c r="O187" s="1"/>
    </x:row>
    <x:row r="188">
      <x:c r="A188" s="1" t="str">
        <x:v>S0187</x:v>
      </x:c>
      <x:c r="B188" s="1" t="n">
        <x:v>33</x:v>
      </x:c>
      <x:c r="C188" s="1" t="str">
        <x:v>basic</x:v>
      </x:c>
      <x:c r="D188" s="8" t="n">
        <x:v>9.99</x:v>
      </x:c>
      <x:c r="E188" s="1" t="n">
        <x:v>0</x:v>
      </x:c>
      <x:c r="F188" s="1" t="n">
        <x:v>23</x:v>
      </x:c>
      <x:c r="G188" s="1" t="n">
        <x:v>4</x:v>
      </x:c>
      <x:c r="H188" s="1" t="n">
        <x:v>0</x:v>
      </x:c>
      <x:c r="I188" s="1" t="n">
        <x:v>1</x:v>
      </x:c>
      <x:c r="J188" s="1" t="str">
        <x:v>no</x:v>
      </x:c>
      <x:c r="K188" s="1" t="n">
        <x:f>2*H188+E188+IF(G188&gt;30,2,0)-IF(B188&gt;24,1,0)</x:f>
        <x:v>-1</x:v>
      </x:c>
      <x:c r="L188" s="1" t="str">
        <x:f>IF(K188&gt;=3,"yes","no")</x:f>
        <x:v>no</x:v>
      </x:c>
      <x:c r="M188" s="1"/>
      <x:c r="N188" s="1"/>
      <x:c r="O188" s="1"/>
    </x:row>
    <x:row r="189">
      <x:c r="A189" s="1" t="str">
        <x:v>S0188</x:v>
      </x:c>
      <x:c r="B189" s="1" t="n">
        <x:v>14</x:v>
      </x:c>
      <x:c r="C189" s="1" t="str">
        <x:v>premium</x:v>
      </x:c>
      <x:c r="D189" s="8" t="n">
        <x:v>15.99</x:v>
      </x:c>
      <x:c r="E189" s="1" t="n">
        <x:v>0</x:v>
      </x:c>
      <x:c r="F189" s="1" t="n">
        <x:v>22</x:v>
      </x:c>
      <x:c r="G189" s="1" t="n">
        <x:v>6</x:v>
      </x:c>
      <x:c r="H189" s="1" t="n">
        <x:v>0</x:v>
      </x:c>
      <x:c r="I189" s="1" t="n">
        <x:v>0</x:v>
      </x:c>
      <x:c r="J189" s="1" t="str">
        <x:v>no</x:v>
      </x:c>
      <x:c r="K189" s="1" t="n">
        <x:f>2*H189+E189+IF(G189&gt;30,2,0)-IF(B189&gt;24,1,0)</x:f>
        <x:v>0</x:v>
      </x:c>
      <x:c r="L189" s="1" t="str">
        <x:f>IF(K189&gt;=3,"yes","no")</x:f>
        <x:v>no</x:v>
      </x:c>
      <x:c r="M189" s="1"/>
      <x:c r="N189" s="1"/>
      <x:c r="O189" s="1"/>
    </x:row>
    <x:row r="190">
      <x:c r="A190" s="1" t="str">
        <x:v>S0189</x:v>
      </x:c>
      <x:c r="B190" s="1" t="n">
        <x:v>16</x:v>
      </x:c>
      <x:c r="C190" s="1" t="str">
        <x:v>premium</x:v>
      </x:c>
      <x:c r="D190" s="8" t="n">
        <x:v>15.99</x:v>
      </x:c>
      <x:c r="E190" s="1" t="n">
        <x:v>0</x:v>
      </x:c>
      <x:c r="F190" s="1" t="n">
        <x:v>7</x:v>
      </x:c>
      <x:c r="G190" s="1" t="n">
        <x:v>7</x:v>
      </x:c>
      <x:c r="H190" s="1" t="n">
        <x:v>0</x:v>
      </x:c>
      <x:c r="I190" s="1" t="n">
        <x:v>0</x:v>
      </x:c>
      <x:c r="J190" s="1" t="str">
        <x:v>no</x:v>
      </x:c>
      <x:c r="K190" s="1" t="n">
        <x:f>2*H190+E190+IF(G190&gt;30,2,0)-IF(B190&gt;24,1,0)</x:f>
        <x:v>0</x:v>
      </x:c>
      <x:c r="L190" s="1" t="str">
        <x:f>IF(K190&gt;=3,"yes","no")</x:f>
        <x:v>no</x:v>
      </x:c>
      <x:c r="M190" s="1"/>
      <x:c r="N190" s="1"/>
      <x:c r="O190" s="1"/>
    </x:row>
    <x:row r="191">
      <x:c r="A191" s="1" t="str">
        <x:v>S0190</x:v>
      </x:c>
      <x:c r="B191" s="1" t="n">
        <x:v>30</x:v>
      </x:c>
      <x:c r="C191" s="1" t="str">
        <x:v>premium</x:v>
      </x:c>
      <x:c r="D191" s="8" t="n">
        <x:v>15.99</x:v>
      </x:c>
      <x:c r="E191" s="1" t="n">
        <x:v>0</x:v>
      </x:c>
      <x:c r="F191" s="1" t="n">
        <x:v>3</x:v>
      </x:c>
      <x:c r="G191" s="1" t="n">
        <x:v>2</x:v>
      </x:c>
      <x:c r="H191" s="1" t="n">
        <x:v>0</x:v>
      </x:c>
      <x:c r="I191" s="1" t="n">
        <x:v>0</x:v>
      </x:c>
      <x:c r="J191" s="1" t="str">
        <x:v>no</x:v>
      </x:c>
      <x:c r="K191" s="1" t="n">
        <x:f>2*H191+E191+IF(G191&gt;30,2,0)-IF(B191&gt;24,1,0)</x:f>
        <x:v>-1</x:v>
      </x:c>
      <x:c r="L191" s="1" t="str">
        <x:f>IF(K191&gt;=3,"yes","no")</x:f>
        <x:v>no</x:v>
      </x:c>
      <x:c r="M191" s="1"/>
      <x:c r="N191" s="1"/>
      <x:c r="O191" s="1"/>
    </x:row>
    <x:row r="192">
      <x:c r="A192" s="1" t="str">
        <x:v>S0191</x:v>
      </x:c>
      <x:c r="B192" s="1" t="n">
        <x:v>31</x:v>
      </x:c>
      <x:c r="C192" s="1" t="str">
        <x:v>basic</x:v>
      </x:c>
      <x:c r="D192" s="8" t="n">
        <x:v>9.99</x:v>
      </x:c>
      <x:c r="E192" s="1" t="n">
        <x:v>0</x:v>
      </x:c>
      <x:c r="F192" s="1" t="n">
        <x:v>11</x:v>
      </x:c>
      <x:c r="G192" s="1" t="n">
        <x:v>20</x:v>
      </x:c>
      <x:c r="H192" s="1" t="n">
        <x:v>0</x:v>
      </x:c>
      <x:c r="I192" s="1" t="n">
        <x:v>0</x:v>
      </x:c>
      <x:c r="J192" s="1" t="str">
        <x:v>no</x:v>
      </x:c>
      <x:c r="K192" s="1" t="n">
        <x:f>2*H192+E192+IF(G192&gt;30,2,0)-IF(B192&gt;24,1,0)</x:f>
        <x:v>-1</x:v>
      </x:c>
      <x:c r="L192" s="1" t="str">
        <x:f>IF(K192&gt;=3,"yes","no")</x:f>
        <x:v>no</x:v>
      </x:c>
      <x:c r="M192" s="1"/>
      <x:c r="N192" s="1"/>
      <x:c r="O192" s="1"/>
    </x:row>
    <x:row r="193">
      <x:c r="A193" s="1" t="str">
        <x:v>S0192</x:v>
      </x:c>
      <x:c r="B193" s="1" t="n">
        <x:v>30</x:v>
      </x:c>
      <x:c r="C193" s="1" t="str">
        <x:v>premium</x:v>
      </x:c>
      <x:c r="D193" s="8" t="n">
        <x:v>15.99</x:v>
      </x:c>
      <x:c r="E193" s="1" t="n">
        <x:v>3</x:v>
      </x:c>
      <x:c r="F193" s="1" t="n">
        <x:v>14</x:v>
      </x:c>
      <x:c r="G193" s="1" t="n">
        <x:v>8</x:v>
      </x:c>
      <x:c r="H193" s="1" t="n">
        <x:v>0</x:v>
      </x:c>
      <x:c r="I193" s="1" t="n">
        <x:v>0</x:v>
      </x:c>
      <x:c r="J193" s="1" t="str">
        <x:v>yes</x:v>
      </x:c>
      <x:c r="K193" s="1" t="n">
        <x:f>2*H193+E193+IF(G193&gt;30,2,0)-IF(B193&gt;24,1,0)</x:f>
        <x:v>2</x:v>
      </x:c>
      <x:c r="L193" s="1" t="str">
        <x:f>IF(K193&gt;=3,"yes","no")</x:f>
        <x:v>no</x:v>
      </x:c>
      <x:c r="M193" s="1"/>
      <x:c r="N193" s="1"/>
      <x:c r="O193" s="1"/>
    </x:row>
    <x:row r="194">
      <x:c r="A194" s="1" t="str">
        <x:v>S0193</x:v>
      </x:c>
      <x:c r="B194" s="1" t="n">
        <x:v>24</x:v>
      </x:c>
      <x:c r="C194" s="1" t="str">
        <x:v>basic</x:v>
      </x:c>
      <x:c r="D194" s="8" t="n">
        <x:v>9.99</x:v>
      </x:c>
      <x:c r="E194" s="1" t="n">
        <x:v>1</x:v>
      </x:c>
      <x:c r="F194" s="1" t="n">
        <x:v>33</x:v>
      </x:c>
      <x:c r="G194" s="1" t="n">
        <x:v>5</x:v>
      </x:c>
      <x:c r="H194" s="1" t="n">
        <x:v>0</x:v>
      </x:c>
      <x:c r="I194" s="1" t="n">
        <x:v>0</x:v>
      </x:c>
      <x:c r="J194" s="1" t="str">
        <x:v>no</x:v>
      </x:c>
      <x:c r="K194" s="1" t="n">
        <x:f>2*H194+E194+IF(G194&gt;30,2,0)-IF(B194&gt;24,1,0)</x:f>
        <x:v>1</x:v>
      </x:c>
      <x:c r="L194" s="1" t="str">
        <x:f>IF(K194&gt;=3,"yes","no")</x:f>
        <x:v>no</x:v>
      </x:c>
      <x:c r="M194" s="1"/>
      <x:c r="N194" s="1"/>
      <x:c r="O194" s="1"/>
    </x:row>
    <x:row r="195">
      <x:c r="A195" s="1" t="str">
        <x:v>S0194</x:v>
      </x:c>
      <x:c r="B195" s="1" t="n">
        <x:v>14</x:v>
      </x:c>
      <x:c r="C195" s="1" t="str">
        <x:v>basic</x:v>
      </x:c>
      <x:c r="D195" s="8" t="n">
        <x:v>9.99</x:v>
      </x:c>
      <x:c r="E195" s="1" t="n">
        <x:v>1</x:v>
      </x:c>
      <x:c r="F195" s="1" t="n">
        <x:v>26</x:v>
      </x:c>
      <x:c r="G195" s="1" t="n">
        <x:v>0</x:v>
      </x:c>
      <x:c r="H195" s="1" t="n">
        <x:v>0</x:v>
      </x:c>
      <x:c r="I195" s="1" t="n">
        <x:v>0</x:v>
      </x:c>
      <x:c r="J195" s="1" t="str">
        <x:v>no</x:v>
      </x:c>
      <x:c r="K195" s="1" t="n">
        <x:f>2*H195+E195+IF(G195&gt;30,2,0)-IF(B195&gt;24,1,0)</x:f>
        <x:v>1</x:v>
      </x:c>
      <x:c r="L195" s="1" t="str">
        <x:f>IF(K195&gt;=3,"yes","no")</x:f>
        <x:v>no</x:v>
      </x:c>
      <x:c r="M195" s="1"/>
      <x:c r="N195" s="1"/>
      <x:c r="O195" s="1"/>
    </x:row>
    <x:row r="196">
      <x:c r="A196" s="1" t="str">
        <x:v>S0195</x:v>
      </x:c>
      <x:c r="B196" s="1" t="n">
        <x:v>48</x:v>
      </x:c>
      <x:c r="C196" s="1" t="str">
        <x:v>basic</x:v>
      </x:c>
      <x:c r="D196" s="8" t="n">
        <x:v>9.99</x:v>
      </x:c>
      <x:c r="E196" s="1" t="n">
        <x:v>0</x:v>
      </x:c>
      <x:c r="F196" s="1" t="n">
        <x:v>22</x:v>
      </x:c>
      <x:c r="G196" s="1" t="n">
        <x:v>0</x:v>
      </x:c>
      <x:c r="H196" s="1" t="n">
        <x:v>1</x:v>
      </x:c>
      <x:c r="I196" s="1" t="n">
        <x:v>0</x:v>
      </x:c>
      <x:c r="J196" s="1" t="str">
        <x:v>no</x:v>
      </x:c>
      <x:c r="K196" s="1" t="n">
        <x:f>2*H196+E196+IF(G196&gt;30,2,0)-IF(B196&gt;24,1,0)</x:f>
        <x:v>1</x:v>
      </x:c>
      <x:c r="L196" s="1" t="str">
        <x:f>IF(K196&gt;=3,"yes","no")</x:f>
        <x:v>no</x:v>
      </x:c>
      <x:c r="M196" s="1"/>
      <x:c r="N196" s="1"/>
      <x:c r="O196" s="1"/>
    </x:row>
    <x:row r="197">
      <x:c r="A197" s="1" t="str">
        <x:v>S0196</x:v>
      </x:c>
      <x:c r="B197" s="1" t="n">
        <x:v>34</x:v>
      </x:c>
      <x:c r="C197" s="1" t="str">
        <x:v>basic</x:v>
      </x:c>
      <x:c r="D197" s="8" t="n">
        <x:v>9.99</x:v>
      </x:c>
      <x:c r="E197" s="1" t="n">
        <x:v>0</x:v>
      </x:c>
      <x:c r="F197" s="1" t="n">
        <x:v>10</x:v>
      </x:c>
      <x:c r="G197" s="1" t="n">
        <x:v>30</x:v>
      </x:c>
      <x:c r="H197" s="1" t="n">
        <x:v>0</x:v>
      </x:c>
      <x:c r="I197" s="1" t="n">
        <x:v>0</x:v>
      </x:c>
      <x:c r="J197" s="1" t="str">
        <x:v>no</x:v>
      </x:c>
      <x:c r="K197" s="1" t="n">
        <x:f>2*H197+E197+IF(G197&gt;30,2,0)-IF(B197&gt;24,1,0)</x:f>
        <x:v>-1</x:v>
      </x:c>
      <x:c r="L197" s="1" t="str">
        <x:f>IF(K197&gt;=3,"yes","no")</x:f>
        <x:v>no</x:v>
      </x:c>
      <x:c r="M197" s="1"/>
      <x:c r="N197" s="1"/>
      <x:c r="O197" s="1"/>
    </x:row>
    <x:row r="198">
      <x:c r="A198" s="1" t="str">
        <x:v>S0197</x:v>
      </x:c>
      <x:c r="B198" s="1" t="n">
        <x:v>28</x:v>
      </x:c>
      <x:c r="C198" s="1" t="str">
        <x:v>basic</x:v>
      </x:c>
      <x:c r="D198" s="8" t="n">
        <x:v>9.99</x:v>
      </x:c>
      <x:c r="E198" s="1" t="n">
        <x:v>0</x:v>
      </x:c>
      <x:c r="F198" s="1" t="n">
        <x:v>16</x:v>
      </x:c>
      <x:c r="G198" s="1" t="n">
        <x:v>7</x:v>
      </x:c>
      <x:c r="H198" s="1" t="n">
        <x:v>0</x:v>
      </x:c>
      <x:c r="I198" s="1" t="n">
        <x:v>1</x:v>
      </x:c>
      <x:c r="J198" s="1" t="str">
        <x:v>no</x:v>
      </x:c>
      <x:c r="K198" s="1" t="n">
        <x:f>2*H198+E198+IF(G198&gt;30,2,0)-IF(B198&gt;24,1,0)</x:f>
        <x:v>-1</x:v>
      </x:c>
      <x:c r="L198" s="1" t="str">
        <x:f>IF(K198&gt;=3,"yes","no")</x:f>
        <x:v>no</x:v>
      </x:c>
      <x:c r="M198" s="1"/>
      <x:c r="N198" s="1"/>
      <x:c r="O198" s="1"/>
    </x:row>
    <x:row r="199">
      <x:c r="A199" s="1" t="str">
        <x:v>S0198</x:v>
      </x:c>
      <x:c r="B199" s="1" t="n">
        <x:v>6</x:v>
      </x:c>
      <x:c r="C199" s="1" t="str">
        <x:v>basic</x:v>
      </x:c>
      <x:c r="D199" s="8" t="n">
        <x:v>9.99</x:v>
      </x:c>
      <x:c r="E199" s="1" t="n">
        <x:v>0</x:v>
      </x:c>
      <x:c r="F199" s="1" t="n">
        <x:v>0</x:v>
      </x:c>
      <x:c r="G199" s="1" t="n">
        <x:v>53</x:v>
      </x:c>
      <x:c r="H199" s="1" t="n">
        <x:v>0</x:v>
      </x:c>
      <x:c r="I199" s="1" t="n">
        <x:v>1</x:v>
      </x:c>
      <x:c r="J199" s="1" t="str">
        <x:v>yes</x:v>
      </x:c>
      <x:c r="K199" s="1" t="n">
        <x:f>2*H199+E199+IF(G199&gt;30,2,0)-IF(B199&gt;24,1,0)</x:f>
        <x:v>2</x:v>
      </x:c>
      <x:c r="L199" s="1" t="str">
        <x:f>IF(K199&gt;=3,"yes","no")</x:f>
        <x:v>no</x:v>
      </x:c>
      <x:c r="M199" s="1"/>
      <x:c r="N199" s="1"/>
      <x:c r="O199" s="1"/>
    </x:row>
    <x:row r="200">
      <x:c r="A200" s="1" t="str">
        <x:v>S0199</x:v>
      </x:c>
      <x:c r="B200" s="1" t="n">
        <x:v>28</x:v>
      </x:c>
      <x:c r="C200" s="1" t="str">
        <x:v>basic</x:v>
      </x:c>
      <x:c r="D200" s="8" t="n">
        <x:v>9.99</x:v>
      </x:c>
      <x:c r="E200" s="1" t="n">
        <x:v>0</x:v>
      </x:c>
      <x:c r="F200" s="1" t="n">
        <x:v>26</x:v>
      </x:c>
      <x:c r="G200" s="1" t="n">
        <x:v>25</x:v>
      </x:c>
      <x:c r="H200" s="1" t="n">
        <x:v>0</x:v>
      </x:c>
      <x:c r="I200" s="1" t="n">
        <x:v>0</x:v>
      </x:c>
      <x:c r="J200" s="1" t="str">
        <x:v>no</x:v>
      </x:c>
      <x:c r="K200" s="1" t="n">
        <x:f>2*H200+E200+IF(G200&gt;30,2,0)-IF(B200&gt;24,1,0)</x:f>
        <x:v>-1</x:v>
      </x:c>
      <x:c r="L200" s="1" t="str">
        <x:f>IF(K200&gt;=3,"yes","no")</x:f>
        <x:v>no</x:v>
      </x:c>
      <x:c r="M200" s="1"/>
      <x:c r="N200" s="1"/>
      <x:c r="O200" s="1"/>
    </x:row>
    <x:row r="201">
      <x:c r="A201" s="1" t="str">
        <x:v>S0200</x:v>
      </x:c>
      <x:c r="B201" s="1" t="n">
        <x:v>31</x:v>
      </x:c>
      <x:c r="C201" s="1" t="str">
        <x:v>premium</x:v>
      </x:c>
      <x:c r="D201" s="8" t="n">
        <x:v>15.99</x:v>
      </x:c>
      <x:c r="E201" s="1" t="n">
        <x:v>0</x:v>
      </x:c>
      <x:c r="F201" s="1" t="n">
        <x:v>0</x:v>
      </x:c>
      <x:c r="G201" s="1" t="n">
        <x:v>53</x:v>
      </x:c>
      <x:c r="H201" s="1" t="n">
        <x:v>0</x:v>
      </x:c>
      <x:c r="I201" s="1" t="n">
        <x:v>0</x:v>
      </x:c>
      <x:c r="J201" s="1" t="str">
        <x:v>yes</x:v>
      </x:c>
      <x:c r="K201" s="1" t="n">
        <x:f>2*H201+E201+IF(G201&gt;30,2,0)-IF(B201&gt;24,1,0)</x:f>
        <x:v>1</x:v>
      </x:c>
      <x:c r="L201" s="1" t="str">
        <x:f>IF(K201&gt;=3,"yes","no")</x:f>
        <x:v>no</x:v>
      </x:c>
      <x:c r="M201" s="1"/>
      <x:c r="N201" s="1"/>
      <x:c r="O201" s="1"/>
    </x:row>
    <x:row r="202">
      <x:c r="A202" s="1" t="str">
        <x:v>S0201</x:v>
      </x:c>
      <x:c r="B202" s="1" t="n">
        <x:v>22</x:v>
      </x:c>
      <x:c r="C202" s="1" t="str">
        <x:v>basic</x:v>
      </x:c>
      <x:c r="D202" s="8" t="n">
        <x:v>9.99</x:v>
      </x:c>
      <x:c r="E202" s="1" t="n">
        <x:v>0</x:v>
      </x:c>
      <x:c r="F202" s="1" t="n">
        <x:v>24</x:v>
      </x:c>
      <x:c r="G202" s="1" t="n">
        <x:v>16</x:v>
      </x:c>
      <x:c r="H202" s="1" t="n">
        <x:v>0</x:v>
      </x:c>
      <x:c r="I202" s="1" t="n">
        <x:v>0</x:v>
      </x:c>
      <x:c r="J202" s="1" t="str">
        <x:v>no</x:v>
      </x:c>
      <x:c r="K202" s="1" t="n">
        <x:f>2*H202+E202+IF(G202&gt;30,2,0)-IF(B202&gt;24,1,0)</x:f>
        <x:v>0</x:v>
      </x:c>
      <x:c r="L202" s="1" t="str">
        <x:f>IF(K202&gt;=3,"yes","no")</x:f>
        <x:v>no</x:v>
      </x:c>
      <x:c r="M202" s="1"/>
      <x:c r="N202" s="1"/>
      <x:c r="O202" s="1"/>
    </x:row>
    <x:row r="203">
      <x:c r="A203" s="1" t="str">
        <x:v>S0202</x:v>
      </x:c>
      <x:c r="B203" s="1" t="n">
        <x:v>29</x:v>
      </x:c>
      <x:c r="C203" s="1" t="str">
        <x:v>basic</x:v>
      </x:c>
      <x:c r="D203" s="8" t="n">
        <x:v>9.99</x:v>
      </x:c>
      <x:c r="E203" s="1" t="n">
        <x:v>0</x:v>
      </x:c>
      <x:c r="F203" s="1" t="n">
        <x:v>25</x:v>
      </x:c>
      <x:c r="G203" s="1" t="n">
        <x:v>1</x:v>
      </x:c>
      <x:c r="H203" s="1" t="n">
        <x:v>1</x:v>
      </x:c>
      <x:c r="I203" s="1" t="n">
        <x:v>0</x:v>
      </x:c>
      <x:c r="J203" s="1" t="str">
        <x:v>no</x:v>
      </x:c>
      <x:c r="K203" s="1" t="n">
        <x:f>2*H203+E203+IF(G203&gt;30,2,0)-IF(B203&gt;24,1,0)</x:f>
        <x:v>1</x:v>
      </x:c>
      <x:c r="L203" s="1" t="str">
        <x:f>IF(K203&gt;=3,"yes","no")</x:f>
        <x:v>no</x:v>
      </x:c>
      <x:c r="M203" s="1"/>
      <x:c r="N203" s="1"/>
      <x:c r="O203" s="1"/>
    </x:row>
    <x:row r="204">
      <x:c r="A204" s="1" t="str">
        <x:v>S0203</x:v>
      </x:c>
      <x:c r="B204" s="1" t="n">
        <x:v>13</x:v>
      </x:c>
      <x:c r="C204" s="1" t="str">
        <x:v>basic</x:v>
      </x:c>
      <x:c r="D204" s="8" t="n">
        <x:v>9.99</x:v>
      </x:c>
      <x:c r="E204" s="1" t="n">
        <x:v>0</x:v>
      </x:c>
      <x:c r="F204" s="1" t="n">
        <x:v>4</x:v>
      </x:c>
      <x:c r="G204" s="1" t="n">
        <x:v>22</x:v>
      </x:c>
      <x:c r="H204" s="1" t="n">
        <x:v>0</x:v>
      </x:c>
      <x:c r="I204" s="1" t="n">
        <x:v>0</x:v>
      </x:c>
      <x:c r="J204" s="1" t="str">
        <x:v>no</x:v>
      </x:c>
      <x:c r="K204" s="1" t="n">
        <x:f>2*H204+E204+IF(G204&gt;30,2,0)-IF(B204&gt;24,1,0)</x:f>
        <x:v>0</x:v>
      </x:c>
      <x:c r="L204" s="1" t="str">
        <x:f>IF(K204&gt;=3,"yes","no")</x:f>
        <x:v>no</x:v>
      </x:c>
      <x:c r="M204" s="1"/>
      <x:c r="N204" s="1"/>
      <x:c r="O204" s="1"/>
    </x:row>
    <x:row r="205">
      <x:c r="A205" s="1" t="str">
        <x:v>S0204</x:v>
      </x:c>
      <x:c r="B205" s="1" t="n">
        <x:v>17</x:v>
      </x:c>
      <x:c r="C205" s="1" t="str">
        <x:v>basic</x:v>
      </x:c>
      <x:c r="D205" s="8" t="n">
        <x:v>9.99</x:v>
      </x:c>
      <x:c r="E205" s="1" t="n">
        <x:v>0</x:v>
      </x:c>
      <x:c r="F205" s="1" t="n">
        <x:v>0</x:v>
      </x:c>
      <x:c r="G205" s="1" t="n">
        <x:v>54</x:v>
      </x:c>
      <x:c r="H205" s="1" t="n">
        <x:v>0</x:v>
      </x:c>
      <x:c r="I205" s="1" t="n">
        <x:v>0</x:v>
      </x:c>
      <x:c r="J205" s="1" t="str">
        <x:v>yes</x:v>
      </x:c>
      <x:c r="K205" s="1" t="n">
        <x:f>2*H205+E205+IF(G205&gt;30,2,0)-IF(B205&gt;24,1,0)</x:f>
        <x:v>2</x:v>
      </x:c>
      <x:c r="L205" s="1" t="str">
        <x:f>IF(K205&gt;=3,"yes","no")</x:f>
        <x:v>no</x:v>
      </x:c>
      <x:c r="M205" s="1"/>
      <x:c r="N205" s="1"/>
      <x:c r="O205" s="1"/>
    </x:row>
    <x:row r="206">
      <x:c r="A206" s="1" t="str">
        <x:v>S0205</x:v>
      </x:c>
      <x:c r="B206" s="1" t="n">
        <x:v>7</x:v>
      </x:c>
      <x:c r="C206" s="1" t="str">
        <x:v>basic</x:v>
      </x:c>
      <x:c r="D206" s="8" t="n">
        <x:v>9.99</x:v>
      </x:c>
      <x:c r="E206" s="1" t="n">
        <x:v>0</x:v>
      </x:c>
      <x:c r="F206" s="1" t="n">
        <x:v>10</x:v>
      </x:c>
      <x:c r="G206" s="1" t="n">
        <x:v>16</x:v>
      </x:c>
      <x:c r="H206" s="1" t="n">
        <x:v>0</x:v>
      </x:c>
      <x:c r="I206" s="1" t="n">
        <x:v>0</x:v>
      </x:c>
      <x:c r="J206" s="1" t="str">
        <x:v>yes</x:v>
      </x:c>
      <x:c r="K206" s="1" t="n">
        <x:f>2*H206+E206+IF(G206&gt;30,2,0)-IF(B206&gt;24,1,0)</x:f>
        <x:v>0</x:v>
      </x:c>
      <x:c r="L206" s="1" t="str">
        <x:f>IF(K206&gt;=3,"yes","no")</x:f>
        <x:v>no</x:v>
      </x:c>
      <x:c r="M206" s="1"/>
      <x:c r="N206" s="1"/>
      <x:c r="O206" s="1"/>
    </x:row>
    <x:row r="207">
      <x:c r="A207" s="1" t="str">
        <x:v>S0206</x:v>
      </x:c>
      <x:c r="B207" s="1" t="n">
        <x:v>8</x:v>
      </x:c>
      <x:c r="C207" s="1" t="str">
        <x:v>basic</x:v>
      </x:c>
      <x:c r="D207" s="8" t="n">
        <x:v>9.99</x:v>
      </x:c>
      <x:c r="E207" s="1" t="n">
        <x:v>0</x:v>
      </x:c>
      <x:c r="F207" s="1" t="n">
        <x:v>15</x:v>
      </x:c>
      <x:c r="G207" s="1" t="n">
        <x:v>8</x:v>
      </x:c>
      <x:c r="H207" s="1" t="n">
        <x:v>0</x:v>
      </x:c>
      <x:c r="I207" s="1" t="n">
        <x:v>0</x:v>
      </x:c>
      <x:c r="J207" s="1" t="str">
        <x:v>no</x:v>
      </x:c>
      <x:c r="K207" s="1" t="n">
        <x:f>2*H207+E207+IF(G207&gt;30,2,0)-IF(B207&gt;24,1,0)</x:f>
        <x:v>0</x:v>
      </x:c>
      <x:c r="L207" s="1" t="str">
        <x:f>IF(K207&gt;=3,"yes","no")</x:f>
        <x:v>no</x:v>
      </x:c>
      <x:c r="M207" s="1"/>
      <x:c r="N207" s="1"/>
      <x:c r="O207" s="1"/>
    </x:row>
    <x:row r="208">
      <x:c r="A208" s="1" t="str">
        <x:v>S0207</x:v>
      </x:c>
      <x:c r="B208" s="1" t="n">
        <x:v>24</x:v>
      </x:c>
      <x:c r="C208" s="1" t="str">
        <x:v>basic</x:v>
      </x:c>
      <x:c r="D208" s="8" t="n">
        <x:v>9.99</x:v>
      </x:c>
      <x:c r="E208" s="1" t="n">
        <x:v>2</x:v>
      </x:c>
      <x:c r="F208" s="1" t="n">
        <x:v>30</x:v>
      </x:c>
      <x:c r="G208" s="1" t="n">
        <x:v>4</x:v>
      </x:c>
      <x:c r="H208" s="1" t="n">
        <x:v>0</x:v>
      </x:c>
      <x:c r="I208" s="1" t="n">
        <x:v>1</x:v>
      </x:c>
      <x:c r="J208" s="1" t="str">
        <x:v>no</x:v>
      </x:c>
      <x:c r="K208" s="1" t="n">
        <x:f>2*H208+E208+IF(G208&gt;30,2,0)-IF(B208&gt;24,1,0)</x:f>
        <x:v>2</x:v>
      </x:c>
      <x:c r="L208" s="1" t="str">
        <x:f>IF(K208&gt;=3,"yes","no")</x:f>
        <x:v>no</x:v>
      </x:c>
      <x:c r="M208" s="1"/>
      <x:c r="N208" s="1"/>
      <x:c r="O208" s="1"/>
    </x:row>
    <x:row r="209">
      <x:c r="A209" s="1" t="str">
        <x:v>S0208</x:v>
      </x:c>
      <x:c r="B209" s="1" t="n">
        <x:v>1</x:v>
      </x:c>
      <x:c r="C209" s="1" t="str">
        <x:v>basic</x:v>
      </x:c>
      <x:c r="D209" s="8" t="n">
        <x:v>9.99</x:v>
      </x:c>
      <x:c r="E209" s="1" t="n">
        <x:v>1</x:v>
      </x:c>
      <x:c r="F209" s="1" t="n">
        <x:v>19</x:v>
      </x:c>
      <x:c r="G209" s="1" t="n">
        <x:v>11</x:v>
      </x:c>
      <x:c r="H209" s="1" t="n">
        <x:v>0</x:v>
      </x:c>
      <x:c r="I209" s="1" t="n">
        <x:v>0</x:v>
      </x:c>
      <x:c r="J209" s="1" t="str">
        <x:v>yes</x:v>
      </x:c>
      <x:c r="K209" s="1" t="n">
        <x:f>2*H209+E209+IF(G209&gt;30,2,0)-IF(B209&gt;24,1,0)</x:f>
        <x:v>1</x:v>
      </x:c>
      <x:c r="L209" s="1" t="str">
        <x:f>IF(K209&gt;=3,"yes","no")</x:f>
        <x:v>no</x:v>
      </x:c>
      <x:c r="M209" s="1"/>
      <x:c r="N209" s="1"/>
      <x:c r="O209" s="1"/>
    </x:row>
    <x:row r="210">
      <x:c r="A210" s="1" t="str">
        <x:v>S0209</x:v>
      </x:c>
      <x:c r="B210" s="1" t="n">
        <x:v>37</x:v>
      </x:c>
      <x:c r="C210" s="1" t="str">
        <x:v>basic</x:v>
      </x:c>
      <x:c r="D210" s="8" t="n">
        <x:v>9.99</x:v>
      </x:c>
      <x:c r="E210" s="1" t="n">
        <x:v>0</x:v>
      </x:c>
      <x:c r="F210" s="1" t="n">
        <x:v>17</x:v>
      </x:c>
      <x:c r="G210" s="1" t="n">
        <x:v>25</x:v>
      </x:c>
      <x:c r="H210" s="1" t="n">
        <x:v>0</x:v>
      </x:c>
      <x:c r="I210" s="1" t="n">
        <x:v>0</x:v>
      </x:c>
      <x:c r="J210" s="1" t="str">
        <x:v>no</x:v>
      </x:c>
      <x:c r="K210" s="1" t="n">
        <x:f>2*H210+E210+IF(G210&gt;30,2,0)-IF(B210&gt;24,1,0)</x:f>
        <x:v>-1</x:v>
      </x:c>
      <x:c r="L210" s="1" t="str">
        <x:f>IF(K210&gt;=3,"yes","no")</x:f>
        <x:v>no</x:v>
      </x:c>
      <x:c r="M210" s="1"/>
      <x:c r="N210" s="1"/>
      <x:c r="O210" s="1"/>
    </x:row>
    <x:row r="211">
      <x:c r="A211" s="1" t="str">
        <x:v>S0210</x:v>
      </x:c>
      <x:c r="B211" s="1" t="n">
        <x:v>33</x:v>
      </x:c>
      <x:c r="C211" s="1" t="str">
        <x:v>basic</x:v>
      </x:c>
      <x:c r="D211" s="8" t="n">
        <x:v>9.99</x:v>
      </x:c>
      <x:c r="E211" s="1" t="n">
        <x:v>3</x:v>
      </x:c>
      <x:c r="F211" s="1" t="n">
        <x:v>36</x:v>
      </x:c>
      <x:c r="G211" s="1" t="n">
        <x:v>10</x:v>
      </x:c>
      <x:c r="H211" s="1" t="n">
        <x:v>0</x:v>
      </x:c>
      <x:c r="I211" s="1" t="n">
        <x:v>0</x:v>
      </x:c>
      <x:c r="J211" s="1" t="str">
        <x:v>no</x:v>
      </x:c>
      <x:c r="K211" s="1" t="n">
        <x:f>2*H211+E211+IF(G211&gt;30,2,0)-IF(B211&gt;24,1,0)</x:f>
        <x:v>2</x:v>
      </x:c>
      <x:c r="L211" s="1" t="str">
        <x:f>IF(K211&gt;=3,"yes","no")</x:f>
        <x:v>no</x:v>
      </x:c>
      <x:c r="M211" s="1"/>
      <x:c r="N211" s="1"/>
      <x:c r="O211" s="1"/>
    </x:row>
    <x:row r="212">
      <x:c r="A212" s="1" t="str">
        <x:v>S0211</x:v>
      </x:c>
      <x:c r="B212" s="1" t="n">
        <x:v>33</x:v>
      </x:c>
      <x:c r="C212" s="1" t="str">
        <x:v>basic</x:v>
      </x:c>
      <x:c r="D212" s="8" t="n">
        <x:v>9.99</x:v>
      </x:c>
      <x:c r="E212" s="1" t="n">
        <x:v>1</x:v>
      </x:c>
      <x:c r="F212" s="1" t="n">
        <x:v>0</x:v>
      </x:c>
      <x:c r="G212" s="1" t="n">
        <x:v>45</x:v>
      </x:c>
      <x:c r="H212" s="1" t="n">
        <x:v>0</x:v>
      </x:c>
      <x:c r="I212" s="1" t="n">
        <x:v>0</x:v>
      </x:c>
      <x:c r="J212" s="1" t="str">
        <x:v>yes</x:v>
      </x:c>
      <x:c r="K212" s="1" t="n">
        <x:f>2*H212+E212+IF(G212&gt;30,2,0)-IF(B212&gt;24,1,0)</x:f>
        <x:v>2</x:v>
      </x:c>
      <x:c r="L212" s="1" t="str">
        <x:f>IF(K212&gt;=3,"yes","no")</x:f>
        <x:v>no</x:v>
      </x:c>
      <x:c r="M212" s="1"/>
      <x:c r="N212" s="1"/>
      <x:c r="O212" s="1"/>
    </x:row>
    <x:row r="213">
      <x:c r="A213" s="1" t="str">
        <x:v>S0212</x:v>
      </x:c>
      <x:c r="B213" s="1" t="n">
        <x:v>8</x:v>
      </x:c>
      <x:c r="C213" s="1" t="str">
        <x:v>basic</x:v>
      </x:c>
      <x:c r="D213" s="8" t="n">
        <x:v>9.99</x:v>
      </x:c>
      <x:c r="E213" s="1" t="n">
        <x:v>0</x:v>
      </x:c>
      <x:c r="F213" s="1" t="n">
        <x:v>9</x:v>
      </x:c>
      <x:c r="G213" s="1" t="n">
        <x:v>5</x:v>
      </x:c>
      <x:c r="H213" s="1" t="n">
        <x:v>0</x:v>
      </x:c>
      <x:c r="I213" s="1" t="n">
        <x:v>1</x:v>
      </x:c>
      <x:c r="J213" s="1" t="str">
        <x:v>yes</x:v>
      </x:c>
      <x:c r="K213" s="1" t="n">
        <x:f>2*H213+E213+IF(G213&gt;30,2,0)-IF(B213&gt;24,1,0)</x:f>
        <x:v>0</x:v>
      </x:c>
      <x:c r="L213" s="1" t="str">
        <x:f>IF(K213&gt;=3,"yes","no")</x:f>
        <x:v>no</x:v>
      </x:c>
      <x:c r="M213" s="1"/>
      <x:c r="N213" s="1"/>
      <x:c r="O213" s="1"/>
    </x:row>
    <x:row r="214">
      <x:c r="A214" s="1" t="str">
        <x:v>S0213</x:v>
      </x:c>
      <x:c r="B214" s="1" t="n">
        <x:v>8</x:v>
      </x:c>
      <x:c r="C214" s="1" t="str">
        <x:v>basic</x:v>
      </x:c>
      <x:c r="D214" s="8" t="n">
        <x:v>9.99</x:v>
      </x:c>
      <x:c r="E214" s="1" t="n">
        <x:v>2</x:v>
      </x:c>
      <x:c r="F214" s="1" t="n">
        <x:v>0</x:v>
      </x:c>
      <x:c r="G214" s="1" t="n">
        <x:v>53</x:v>
      </x:c>
      <x:c r="H214" s="1" t="n">
        <x:v>0</x:v>
      </x:c>
      <x:c r="I214" s="1" t="n">
        <x:v>0</x:v>
      </x:c>
      <x:c r="J214" s="1" t="str">
        <x:v>yes</x:v>
      </x:c>
      <x:c r="K214" s="1" t="n">
        <x:f>2*H214+E214+IF(G214&gt;30,2,0)-IF(B214&gt;24,1,0)</x:f>
        <x:v>4</x:v>
      </x:c>
      <x:c r="L214" s="1" t="str">
        <x:f>IF(K214&gt;=3,"yes","no")</x:f>
        <x:v>yes</x:v>
      </x:c>
      <x:c r="M214" s="1"/>
      <x:c r="N214" s="1"/>
      <x:c r="O214" s="1"/>
    </x:row>
    <x:row r="215">
      <x:c r="A215" s="1" t="str">
        <x:v>S0214</x:v>
      </x:c>
      <x:c r="B215" s="1" t="n">
        <x:v>3</x:v>
      </x:c>
      <x:c r="C215" s="1" t="str">
        <x:v>premium</x:v>
      </x:c>
      <x:c r="D215" s="8" t="n">
        <x:v>15.99</x:v>
      </x:c>
      <x:c r="E215" s="1" t="n">
        <x:v>0</x:v>
      </x:c>
      <x:c r="F215" s="1" t="n">
        <x:v>22</x:v>
      </x:c>
      <x:c r="G215" s="1" t="n">
        <x:v>4</x:v>
      </x:c>
      <x:c r="H215" s="1" t="n">
        <x:v>0</x:v>
      </x:c>
      <x:c r="I215" s="1" t="n">
        <x:v>0</x:v>
      </x:c>
      <x:c r="J215" s="1" t="str">
        <x:v>no</x:v>
      </x:c>
      <x:c r="K215" s="1" t="n">
        <x:f>2*H215+E215+IF(G215&gt;30,2,0)-IF(B215&gt;24,1,0)</x:f>
        <x:v>0</x:v>
      </x:c>
      <x:c r="L215" s="1" t="str">
        <x:f>IF(K215&gt;=3,"yes","no")</x:f>
        <x:v>no</x:v>
      </x:c>
      <x:c r="M215" s="1"/>
      <x:c r="N215" s="1"/>
      <x:c r="O215" s="1"/>
    </x:row>
    <x:row r="216">
      <x:c r="A216" s="1" t="str">
        <x:v>S0215</x:v>
      </x:c>
      <x:c r="B216" s="1" t="n">
        <x:v>26</x:v>
      </x:c>
      <x:c r="C216" s="1" t="str">
        <x:v>premium</x:v>
      </x:c>
      <x:c r="D216" s="8" t="n">
        <x:v>15.99</x:v>
      </x:c>
      <x:c r="E216" s="1" t="n">
        <x:v>2</x:v>
      </x:c>
      <x:c r="F216" s="1" t="n">
        <x:v>26</x:v>
      </x:c>
      <x:c r="G216" s="1" t="n">
        <x:v>0</x:v>
      </x:c>
      <x:c r="H216" s="1" t="n">
        <x:v>0</x:v>
      </x:c>
      <x:c r="I216" s="1" t="n">
        <x:v>0</x:v>
      </x:c>
      <x:c r="J216" s="1" t="str">
        <x:v>no</x:v>
      </x:c>
      <x:c r="K216" s="1" t="n">
        <x:f>2*H216+E216+IF(G216&gt;30,2,0)-IF(B216&gt;24,1,0)</x:f>
        <x:v>1</x:v>
      </x:c>
      <x:c r="L216" s="1" t="str">
        <x:f>IF(K216&gt;=3,"yes","no")</x:f>
        <x:v>no</x:v>
      </x:c>
      <x:c r="M216" s="1"/>
      <x:c r="N216" s="1"/>
      <x:c r="O216" s="1"/>
    </x:row>
    <x:row r="217">
      <x:c r="A217" s="1" t="str">
        <x:v>S0216</x:v>
      </x:c>
      <x:c r="B217" s="1" t="n">
        <x:v>6</x:v>
      </x:c>
      <x:c r="C217" s="1" t="str">
        <x:v>premium</x:v>
      </x:c>
      <x:c r="D217" s="8" t="n">
        <x:v>15.99</x:v>
      </x:c>
      <x:c r="E217" s="1" t="n">
        <x:v>2</x:v>
      </x:c>
      <x:c r="F217" s="1" t="n">
        <x:v>22</x:v>
      </x:c>
      <x:c r="G217" s="1" t="n">
        <x:v>0</x:v>
      </x:c>
      <x:c r="H217" s="1" t="n">
        <x:v>0</x:v>
      </x:c>
      <x:c r="I217" s="1" t="n">
        <x:v>1</x:v>
      </x:c>
      <x:c r="J217" s="1" t="str">
        <x:v>yes</x:v>
      </x:c>
      <x:c r="K217" s="1" t="n">
        <x:f>2*H217+E217+IF(G217&gt;30,2,0)-IF(B217&gt;24,1,0)</x:f>
        <x:v>2</x:v>
      </x:c>
      <x:c r="L217" s="1" t="str">
        <x:f>IF(K217&gt;=3,"yes","no")</x:f>
        <x:v>no</x:v>
      </x:c>
      <x:c r="M217" s="1"/>
      <x:c r="N217" s="1"/>
      <x:c r="O217" s="1"/>
    </x:row>
    <x:row r="218">
      <x:c r="A218" s="1" t="str">
        <x:v>S0217</x:v>
      </x:c>
      <x:c r="B218" s="1" t="n">
        <x:v>5</x:v>
      </x:c>
      <x:c r="C218" s="1" t="str">
        <x:v>basic</x:v>
      </x:c>
      <x:c r="D218" s="8" t="n">
        <x:v>9.99</x:v>
      </x:c>
      <x:c r="E218" s="1" t="n">
        <x:v>0</x:v>
      </x:c>
      <x:c r="F218" s="1" t="n">
        <x:v>26</x:v>
      </x:c>
      <x:c r="G218" s="1" t="n">
        <x:v>4</x:v>
      </x:c>
      <x:c r="H218" s="1" t="n">
        <x:v>0</x:v>
      </x:c>
      <x:c r="I218" s="1" t="n">
        <x:v>0</x:v>
      </x:c>
      <x:c r="J218" s="1" t="str">
        <x:v>no</x:v>
      </x:c>
      <x:c r="K218" s="1" t="n">
        <x:f>2*H218+E218+IF(G218&gt;30,2,0)-IF(B218&gt;24,1,0)</x:f>
        <x:v>0</x:v>
      </x:c>
      <x:c r="L218" s="1" t="str">
        <x:f>IF(K218&gt;=3,"yes","no")</x:f>
        <x:v>no</x:v>
      </x:c>
      <x:c r="M218" s="1"/>
      <x:c r="N218" s="1"/>
      <x:c r="O218" s="1"/>
    </x:row>
    <x:row r="219">
      <x:c r="A219" s="1" t="str">
        <x:v>S0218</x:v>
      </x:c>
      <x:c r="B219" s="1" t="n">
        <x:v>3</x:v>
      </x:c>
      <x:c r="C219" s="1" t="str">
        <x:v>basic</x:v>
      </x:c>
      <x:c r="D219" s="8" t="n">
        <x:v>9.99</x:v>
      </x:c>
      <x:c r="E219" s="1" t="n">
        <x:v>3</x:v>
      </x:c>
      <x:c r="F219" s="1" t="n">
        <x:v>0</x:v>
      </x:c>
      <x:c r="G219" s="1" t="n">
        <x:v>55</x:v>
      </x:c>
      <x:c r="H219" s="1" t="n">
        <x:v>2</x:v>
      </x:c>
      <x:c r="I219" s="1" t="n">
        <x:v>0</x:v>
      </x:c>
      <x:c r="J219" s="1" t="str">
        <x:v>yes</x:v>
      </x:c>
      <x:c r="K219" s="1" t="n">
        <x:f>2*H219+E219+IF(G219&gt;30,2,0)-IF(B219&gt;24,1,0)</x:f>
        <x:v>9</x:v>
      </x:c>
      <x:c r="L219" s="1" t="str">
        <x:f>IF(K219&gt;=3,"yes","no")</x:f>
        <x:v>yes</x:v>
      </x:c>
      <x:c r="M219" s="1"/>
      <x:c r="N219" s="1"/>
      <x:c r="O219" s="1"/>
    </x:row>
    <x:row r="220">
      <x:c r="A220" s="1" t="str">
        <x:v>S0219</x:v>
      </x:c>
      <x:c r="B220" s="1" t="n">
        <x:v>43</x:v>
      </x:c>
      <x:c r="C220" s="1" t="str">
        <x:v>premium</x:v>
      </x:c>
      <x:c r="D220" s="8" t="n">
        <x:v>15.99</x:v>
      </x:c>
      <x:c r="E220" s="1" t="n">
        <x:v>0</x:v>
      </x:c>
      <x:c r="F220" s="1" t="n">
        <x:v>14</x:v>
      </x:c>
      <x:c r="G220" s="1" t="n">
        <x:v>7</x:v>
      </x:c>
      <x:c r="H220" s="1" t="n">
        <x:v>0</x:v>
      </x:c>
      <x:c r="I220" s="1" t="n">
        <x:v>0</x:v>
      </x:c>
      <x:c r="J220" s="1" t="str">
        <x:v>no</x:v>
      </x:c>
      <x:c r="K220" s="1" t="n">
        <x:f>2*H220+E220+IF(G220&gt;30,2,0)-IF(B220&gt;24,1,0)</x:f>
        <x:v>-1</x:v>
      </x:c>
      <x:c r="L220" s="1" t="str">
        <x:f>IF(K220&gt;=3,"yes","no")</x:f>
        <x:v>no</x:v>
      </x:c>
      <x:c r="M220" s="1"/>
      <x:c r="N220" s="1"/>
      <x:c r="O220" s="1"/>
    </x:row>
    <x:row r="221">
      <x:c r="A221" s="1" t="str">
        <x:v>S0220</x:v>
      </x:c>
      <x:c r="B221" s="1" t="n">
        <x:v>30</x:v>
      </x:c>
      <x:c r="C221" s="1" t="str">
        <x:v>basic</x:v>
      </x:c>
      <x:c r="D221" s="8" t="n">
        <x:v>9.99</x:v>
      </x:c>
      <x:c r="E221" s="1" t="n">
        <x:v>1</x:v>
      </x:c>
      <x:c r="F221" s="1" t="n">
        <x:v>26</x:v>
      </x:c>
      <x:c r="G221" s="1" t="n">
        <x:v>7</x:v>
      </x:c>
      <x:c r="H221" s="1" t="n">
        <x:v>0</x:v>
      </x:c>
      <x:c r="I221" s="1" t="n">
        <x:v>0</x:v>
      </x:c>
      <x:c r="J221" s="1" t="str">
        <x:v>no</x:v>
      </x:c>
      <x:c r="K221" s="1" t="n">
        <x:f>2*H221+E221+IF(G221&gt;30,2,0)-IF(B221&gt;24,1,0)</x:f>
        <x:v>0</x:v>
      </x:c>
      <x:c r="L221" s="1" t="str">
        <x:f>IF(K221&gt;=3,"yes","no")</x:f>
        <x:v>no</x:v>
      </x:c>
      <x:c r="M221" s="1"/>
      <x:c r="N221" s="1"/>
      <x:c r="O221" s="1"/>
    </x:row>
    <x:row r="222">
      <x:c r="A222" s="1" t="str">
        <x:v>S0221</x:v>
      </x:c>
      <x:c r="B222" s="1" t="n">
        <x:v>34</x:v>
      </x:c>
      <x:c r="C222" s="1" t="str">
        <x:v>premium</x:v>
      </x:c>
      <x:c r="D222" s="8" t="n">
        <x:v>15.99</x:v>
      </x:c>
      <x:c r="E222" s="1" t="n">
        <x:v>1</x:v>
      </x:c>
      <x:c r="F222" s="1" t="n">
        <x:v>0</x:v>
      </x:c>
      <x:c r="G222" s="1" t="n">
        <x:v>41</x:v>
      </x:c>
      <x:c r="H222" s="1" t="n">
        <x:v>0</x:v>
      </x:c>
      <x:c r="I222" s="1" t="n">
        <x:v>1</x:v>
      </x:c>
      <x:c r="J222" s="1" t="str">
        <x:v>no</x:v>
      </x:c>
      <x:c r="K222" s="1" t="n">
        <x:f>2*H222+E222+IF(G222&gt;30,2,0)-IF(B222&gt;24,1,0)</x:f>
        <x:v>2</x:v>
      </x:c>
      <x:c r="L222" s="1" t="str">
        <x:f>IF(K222&gt;=3,"yes","no")</x:f>
        <x:v>no</x:v>
      </x:c>
      <x:c r="M222" s="1"/>
      <x:c r="N222" s="1"/>
      <x:c r="O222" s="1"/>
    </x:row>
    <x:row r="223">
      <x:c r="A223" s="1" t="str">
        <x:v>S0222</x:v>
      </x:c>
      <x:c r="B223" s="1" t="n">
        <x:v>33</x:v>
      </x:c>
      <x:c r="C223" s="1" t="str">
        <x:v>basic</x:v>
      </x:c>
      <x:c r="D223" s="8" t="n">
        <x:v>9.99</x:v>
      </x:c>
      <x:c r="E223" s="1" t="n">
        <x:v>2</x:v>
      </x:c>
      <x:c r="F223" s="1" t="n">
        <x:v>30</x:v>
      </x:c>
      <x:c r="G223" s="1" t="n">
        <x:v>10</x:v>
      </x:c>
      <x:c r="H223" s="1" t="n">
        <x:v>0</x:v>
      </x:c>
      <x:c r="I223" s="1" t="n">
        <x:v>0</x:v>
      </x:c>
      <x:c r="J223" s="1" t="str">
        <x:v>no</x:v>
      </x:c>
      <x:c r="K223" s="1" t="n">
        <x:f>2*H223+E223+IF(G223&gt;30,2,0)-IF(B223&gt;24,1,0)</x:f>
        <x:v>1</x:v>
      </x:c>
      <x:c r="L223" s="1" t="str">
        <x:f>IF(K223&gt;=3,"yes","no")</x:f>
        <x:v>no</x:v>
      </x:c>
      <x:c r="M223" s="1"/>
      <x:c r="N223" s="1"/>
      <x:c r="O223" s="1"/>
    </x:row>
    <x:row r="224">
      <x:c r="A224" s="1" t="str">
        <x:v>S0223</x:v>
      </x:c>
      <x:c r="B224" s="1" t="n">
        <x:v>24</x:v>
      </x:c>
      <x:c r="C224" s="1" t="str">
        <x:v>basic</x:v>
      </x:c>
      <x:c r="D224" s="8" t="n">
        <x:v>9.99</x:v>
      </x:c>
      <x:c r="E224" s="1" t="n">
        <x:v>0</x:v>
      </x:c>
      <x:c r="F224" s="1" t="n">
        <x:v>22</x:v>
      </x:c>
      <x:c r="G224" s="1" t="n">
        <x:v>25</x:v>
      </x:c>
      <x:c r="H224" s="1" t="n">
        <x:v>0</x:v>
      </x:c>
      <x:c r="I224" s="1" t="n">
        <x:v>0</x:v>
      </x:c>
      <x:c r="J224" s="1" t="str">
        <x:v>no</x:v>
      </x:c>
      <x:c r="K224" s="1" t="n">
        <x:f>2*H224+E224+IF(G224&gt;30,2,0)-IF(B224&gt;24,1,0)</x:f>
        <x:v>0</x:v>
      </x:c>
      <x:c r="L224" s="1" t="str">
        <x:f>IF(K224&gt;=3,"yes","no")</x:f>
        <x:v>no</x:v>
      </x:c>
      <x:c r="M224" s="1"/>
      <x:c r="N224" s="1"/>
      <x:c r="O224" s="1"/>
    </x:row>
    <x:row r="225">
      <x:c r="A225" s="1" t="str">
        <x:v>S0224</x:v>
      </x:c>
      <x:c r="B225" s="1" t="n">
        <x:v>32</x:v>
      </x:c>
      <x:c r="C225" s="1" t="str">
        <x:v>premium</x:v>
      </x:c>
      <x:c r="D225" s="8" t="n">
        <x:v>15.99</x:v>
      </x:c>
      <x:c r="E225" s="1" t="n">
        <x:v>0</x:v>
      </x:c>
      <x:c r="F225" s="1" t="n">
        <x:v>23</x:v>
      </x:c>
      <x:c r="G225" s="1" t="n">
        <x:v>9</x:v>
      </x:c>
      <x:c r="H225" s="1" t="n">
        <x:v>0</x:v>
      </x:c>
      <x:c r="I225" s="1" t="n">
        <x:v>0</x:v>
      </x:c>
      <x:c r="J225" s="1" t="str">
        <x:v>no</x:v>
      </x:c>
      <x:c r="K225" s="1" t="n">
        <x:f>2*H225+E225+IF(G225&gt;30,2,0)-IF(B225&gt;24,1,0)</x:f>
        <x:v>-1</x:v>
      </x:c>
      <x:c r="L225" s="1" t="str">
        <x:f>IF(K225&gt;=3,"yes","no")</x:f>
        <x:v>no</x:v>
      </x:c>
      <x:c r="M225" s="1"/>
      <x:c r="N225" s="1"/>
      <x:c r="O225" s="1"/>
    </x:row>
    <x:row r="226">
      <x:c r="A226" s="1" t="str">
        <x:v>S0225</x:v>
      </x:c>
      <x:c r="B226" s="1" t="n">
        <x:v>36</x:v>
      </x:c>
      <x:c r="C226" s="1" t="str">
        <x:v>premium</x:v>
      </x:c>
      <x:c r="D226" s="8" t="n">
        <x:v>15.99</x:v>
      </x:c>
      <x:c r="E226" s="1" t="n">
        <x:v>0</x:v>
      </x:c>
      <x:c r="F226" s="1" t="n">
        <x:v>11</x:v>
      </x:c>
      <x:c r="G226" s="1" t="n">
        <x:v>24</x:v>
      </x:c>
      <x:c r="H226" s="1" t="n">
        <x:v>0</x:v>
      </x:c>
      <x:c r="I226" s="1" t="n">
        <x:v>0</x:v>
      </x:c>
      <x:c r="J226" s="1" t="str">
        <x:v>no</x:v>
      </x:c>
      <x:c r="K226" s="1" t="n">
        <x:f>2*H226+E226+IF(G226&gt;30,2,0)-IF(B226&gt;24,1,0)</x:f>
        <x:v>-1</x:v>
      </x:c>
      <x:c r="L226" s="1" t="str">
        <x:f>IF(K226&gt;=3,"yes","no")</x:f>
        <x:v>no</x:v>
      </x:c>
      <x:c r="M226" s="1"/>
      <x:c r="N226" s="1"/>
      <x:c r="O226" s="1"/>
    </x:row>
    <x:row r="227">
      <x:c r="A227" s="1" t="str">
        <x:v>S0226</x:v>
      </x:c>
      <x:c r="B227" s="1" t="n">
        <x:v>10</x:v>
      </x:c>
      <x:c r="C227" s="1" t="str">
        <x:v>basic</x:v>
      </x:c>
      <x:c r="D227" s="8" t="n">
        <x:v>9.99</x:v>
      </x:c>
      <x:c r="E227" s="1" t="n">
        <x:v>1</x:v>
      </x:c>
      <x:c r="F227" s="1" t="n">
        <x:v>0</x:v>
      </x:c>
      <x:c r="G227" s="1" t="n">
        <x:v>52</x:v>
      </x:c>
      <x:c r="H227" s="1" t="n">
        <x:v>0</x:v>
      </x:c>
      <x:c r="I227" s="1" t="n">
        <x:v>0</x:v>
      </x:c>
      <x:c r="J227" s="1" t="str">
        <x:v>yes</x:v>
      </x:c>
      <x:c r="K227" s="1" t="n">
        <x:f>2*H227+E227+IF(G227&gt;30,2,0)-IF(B227&gt;24,1,0)</x:f>
        <x:v>3</x:v>
      </x:c>
      <x:c r="L227" s="1" t="str">
        <x:f>IF(K227&gt;=3,"yes","no")</x:f>
        <x:v>yes</x:v>
      </x:c>
      <x:c r="M227" s="1"/>
      <x:c r="N227" s="1"/>
      <x:c r="O227" s="1"/>
    </x:row>
    <x:row r="228">
      <x:c r="A228" s="1" t="str">
        <x:v>S0227</x:v>
      </x:c>
      <x:c r="B228" s="1" t="n">
        <x:v>13</x:v>
      </x:c>
      <x:c r="C228" s="1" t="str">
        <x:v>basic</x:v>
      </x:c>
      <x:c r="D228" s="8" t="n">
        <x:v>9.99</x:v>
      </x:c>
      <x:c r="E228" s="1" t="n">
        <x:v>2</x:v>
      </x:c>
      <x:c r="F228" s="1" t="n">
        <x:v>21</x:v>
      </x:c>
      <x:c r="G228" s="1" t="n">
        <x:v>2</x:v>
      </x:c>
      <x:c r="H228" s="1" t="n">
        <x:v>1</x:v>
      </x:c>
      <x:c r="I228" s="1" t="n">
        <x:v>0</x:v>
      </x:c>
      <x:c r="J228" s="1" t="str">
        <x:v>yes</x:v>
      </x:c>
      <x:c r="K228" s="1" t="n">
        <x:f>2*H228+E228+IF(G228&gt;30,2,0)-IF(B228&gt;24,1,0)</x:f>
        <x:v>4</x:v>
      </x:c>
      <x:c r="L228" s="1" t="str">
        <x:f>IF(K228&gt;=3,"yes","no")</x:f>
        <x:v>yes</x:v>
      </x:c>
      <x:c r="M228" s="1"/>
      <x:c r="N228" s="1"/>
      <x:c r="O228" s="1"/>
    </x:row>
    <x:row r="229">
      <x:c r="A229" s="1" t="str">
        <x:v>S0228</x:v>
      </x:c>
      <x:c r="B229" s="1" t="n">
        <x:v>47</x:v>
      </x:c>
      <x:c r="C229" s="1" t="str">
        <x:v>basic</x:v>
      </x:c>
      <x:c r="D229" s="8" t="n">
        <x:v>9.99</x:v>
      </x:c>
      <x:c r="E229" s="1" t="n">
        <x:v>3</x:v>
      </x:c>
      <x:c r="F229" s="1" t="n">
        <x:v>22</x:v>
      </x:c>
      <x:c r="G229" s="1" t="n">
        <x:v>7</x:v>
      </x:c>
      <x:c r="H229" s="1" t="n">
        <x:v>2</x:v>
      </x:c>
      <x:c r="I229" s="1" t="n">
        <x:v>0</x:v>
      </x:c>
      <x:c r="J229" s="1" t="str">
        <x:v>no</x:v>
      </x:c>
      <x:c r="K229" s="1" t="n">
        <x:f>2*H229+E229+IF(G229&gt;30,2,0)-IF(B229&gt;24,1,0)</x:f>
        <x:v>6</x:v>
      </x:c>
      <x:c r="L229" s="1" t="str">
        <x:f>IF(K229&gt;=3,"yes","no")</x:f>
        <x:v>yes</x:v>
      </x:c>
      <x:c r="M229" s="1"/>
      <x:c r="N229" s="1"/>
      <x:c r="O229" s="1"/>
    </x:row>
    <x:row r="230">
      <x:c r="A230" s="1" t="str">
        <x:v>S0229</x:v>
      </x:c>
      <x:c r="B230" s="1" t="n">
        <x:v>6</x:v>
      </x:c>
      <x:c r="C230" s="1" t="str">
        <x:v>basic</x:v>
      </x:c>
      <x:c r="D230" s="8" t="n">
        <x:v>9.99</x:v>
      </x:c>
      <x:c r="E230" s="1" t="n">
        <x:v>3</x:v>
      </x:c>
      <x:c r="F230" s="1" t="n">
        <x:v>28</x:v>
      </x:c>
      <x:c r="G230" s="1" t="n">
        <x:v>6</x:v>
      </x:c>
      <x:c r="H230" s="1" t="n">
        <x:v>0</x:v>
      </x:c>
      <x:c r="I230" s="1" t="n">
        <x:v>0</x:v>
      </x:c>
      <x:c r="J230" s="1" t="str">
        <x:v>no</x:v>
      </x:c>
      <x:c r="K230" s="1" t="n">
        <x:f>2*H230+E230+IF(G230&gt;30,2,0)-IF(B230&gt;24,1,0)</x:f>
        <x:v>3</x:v>
      </x:c>
      <x:c r="L230" s="1" t="str">
        <x:f>IF(K230&gt;=3,"yes","no")</x:f>
        <x:v>yes</x:v>
      </x:c>
      <x:c r="M230" s="1"/>
      <x:c r="N230" s="1"/>
      <x:c r="O230" s="1"/>
    </x:row>
    <x:row r="231">
      <x:c r="A231" s="1" t="str">
        <x:v>S0230</x:v>
      </x:c>
      <x:c r="B231" s="1" t="n">
        <x:v>4</x:v>
      </x:c>
      <x:c r="C231" s="1" t="str">
        <x:v>premium</x:v>
      </x:c>
      <x:c r="D231" s="8" t="n">
        <x:v>15.99</x:v>
      </x:c>
      <x:c r="E231" s="1" t="n">
        <x:v>1</x:v>
      </x:c>
      <x:c r="F231" s="1" t="n">
        <x:v>15</x:v>
      </x:c>
      <x:c r="G231" s="1" t="n">
        <x:v>12</x:v>
      </x:c>
      <x:c r="H231" s="1" t="n">
        <x:v>0</x:v>
      </x:c>
      <x:c r="I231" s="1" t="n">
        <x:v>0</x:v>
      </x:c>
      <x:c r="J231" s="1" t="str">
        <x:v>no</x:v>
      </x:c>
      <x:c r="K231" s="1" t="n">
        <x:f>2*H231+E231+IF(G231&gt;30,2,0)-IF(B231&gt;24,1,0)</x:f>
        <x:v>1</x:v>
      </x:c>
      <x:c r="L231" s="1" t="str">
        <x:f>IF(K231&gt;=3,"yes","no")</x:f>
        <x:v>no</x:v>
      </x:c>
      <x:c r="M231" s="1"/>
      <x:c r="N231" s="1"/>
      <x:c r="O231" s="1"/>
    </x:row>
    <x:row r="232">
      <x:c r="A232" s="1" t="str">
        <x:v>S0231</x:v>
      </x:c>
      <x:c r="B232" s="1" t="n">
        <x:v>37</x:v>
      </x:c>
      <x:c r="C232" s="1" t="str">
        <x:v>basic</x:v>
      </x:c>
      <x:c r="D232" s="8" t="n">
        <x:v>9.99</x:v>
      </x:c>
      <x:c r="E232" s="1" t="n">
        <x:v>1</x:v>
      </x:c>
      <x:c r="F232" s="1" t="n">
        <x:v>13</x:v>
      </x:c>
      <x:c r="G232" s="1" t="n">
        <x:v>21</x:v>
      </x:c>
      <x:c r="H232" s="1" t="n">
        <x:v>0</x:v>
      </x:c>
      <x:c r="I232" s="1" t="n">
        <x:v>1</x:v>
      </x:c>
      <x:c r="J232" s="1" t="str">
        <x:v>no</x:v>
      </x:c>
      <x:c r="K232" s="1" t="n">
        <x:f>2*H232+E232+IF(G232&gt;30,2,0)-IF(B232&gt;24,1,0)</x:f>
        <x:v>0</x:v>
      </x:c>
      <x:c r="L232" s="1" t="str">
        <x:f>IF(K232&gt;=3,"yes","no")</x:f>
        <x:v>no</x:v>
      </x:c>
      <x:c r="M232" s="1"/>
      <x:c r="N232" s="1"/>
      <x:c r="O232" s="1"/>
    </x:row>
    <x:row r="233">
      <x:c r="A233" s="1" t="str">
        <x:v>S0232</x:v>
      </x:c>
      <x:c r="B233" s="1" t="n">
        <x:v>8</x:v>
      </x:c>
      <x:c r="C233" s="1" t="str">
        <x:v>basic</x:v>
      </x:c>
      <x:c r="D233" s="8" t="n">
        <x:v>9.99</x:v>
      </x:c>
      <x:c r="E233" s="1" t="n">
        <x:v>0</x:v>
      </x:c>
      <x:c r="F233" s="1" t="n">
        <x:v>23</x:v>
      </x:c>
      <x:c r="G233" s="1" t="n">
        <x:v>3</x:v>
      </x:c>
      <x:c r="H233" s="1" t="n">
        <x:v>0</x:v>
      </x:c>
      <x:c r="I233" s="1" t="n">
        <x:v>1</x:v>
      </x:c>
      <x:c r="J233" s="1" t="str">
        <x:v>no</x:v>
      </x:c>
      <x:c r="K233" s="1" t="n">
        <x:f>2*H233+E233+IF(G233&gt;30,2,0)-IF(B233&gt;24,1,0)</x:f>
        <x:v>0</x:v>
      </x:c>
      <x:c r="L233" s="1" t="str">
        <x:f>IF(K233&gt;=3,"yes","no")</x:f>
        <x:v>no</x:v>
      </x:c>
      <x:c r="M233" s="1"/>
      <x:c r="N233" s="1"/>
      <x:c r="O233" s="1"/>
    </x:row>
    <x:row r="234">
      <x:c r="A234" s="1" t="str">
        <x:v>S0233</x:v>
      </x:c>
      <x:c r="B234" s="1" t="n">
        <x:v>39</x:v>
      </x:c>
      <x:c r="C234" s="1" t="str">
        <x:v>basic</x:v>
      </x:c>
      <x:c r="D234" s="8" t="n">
        <x:v>9.99</x:v>
      </x:c>
      <x:c r="E234" s="1" t="n">
        <x:v>3</x:v>
      </x:c>
      <x:c r="F234" s="1" t="n">
        <x:v>14</x:v>
      </x:c>
      <x:c r="G234" s="1" t="n">
        <x:v>7</x:v>
      </x:c>
      <x:c r="H234" s="1" t="n">
        <x:v>0</x:v>
      </x:c>
      <x:c r="I234" s="1" t="n">
        <x:v>0</x:v>
      </x:c>
      <x:c r="J234" s="1" t="str">
        <x:v>no</x:v>
      </x:c>
      <x:c r="K234" s="1" t="n">
        <x:f>2*H234+E234+IF(G234&gt;30,2,0)-IF(B234&gt;24,1,0)</x:f>
        <x:v>2</x:v>
      </x:c>
      <x:c r="L234" s="1" t="str">
        <x:f>IF(K234&gt;=3,"yes","no")</x:f>
        <x:v>no</x:v>
      </x:c>
      <x:c r="M234" s="1"/>
      <x:c r="N234" s="1"/>
      <x:c r="O234" s="1"/>
    </x:row>
    <x:row r="235">
      <x:c r="A235" s="1" t="str">
        <x:v>S0234</x:v>
      </x:c>
      <x:c r="B235" s="1" t="n">
        <x:v>35</x:v>
      </x:c>
      <x:c r="C235" s="1" t="str">
        <x:v>premium</x:v>
      </x:c>
      <x:c r="D235" s="8" t="n">
        <x:v>15.99</x:v>
      </x:c>
      <x:c r="E235" s="1" t="n">
        <x:v>0</x:v>
      </x:c>
      <x:c r="F235" s="1" t="n">
        <x:v>18</x:v>
      </x:c>
      <x:c r="G235" s="1" t="n">
        <x:v>19</x:v>
      </x:c>
      <x:c r="H235" s="1" t="n">
        <x:v>0</x:v>
      </x:c>
      <x:c r="I235" s="1" t="n">
        <x:v>0</x:v>
      </x:c>
      <x:c r="J235" s="1" t="str">
        <x:v>no</x:v>
      </x:c>
      <x:c r="K235" s="1" t="n">
        <x:f>2*H235+E235+IF(G235&gt;30,2,0)-IF(B235&gt;24,1,0)</x:f>
        <x:v>-1</x:v>
      </x:c>
      <x:c r="L235" s="1" t="str">
        <x:f>IF(K235&gt;=3,"yes","no")</x:f>
        <x:v>no</x:v>
      </x:c>
      <x:c r="M235" s="1"/>
      <x:c r="N235" s="1"/>
      <x:c r="O235" s="1"/>
    </x:row>
    <x:row r="236">
      <x:c r="A236" s="1" t="str">
        <x:v>S0235</x:v>
      </x:c>
      <x:c r="B236" s="1" t="n">
        <x:v>32</x:v>
      </x:c>
      <x:c r="C236" s="1" t="str">
        <x:v>basic</x:v>
      </x:c>
      <x:c r="D236" s="8" t="n">
        <x:v>9.99</x:v>
      </x:c>
      <x:c r="E236" s="1" t="n">
        <x:v>0</x:v>
      </x:c>
      <x:c r="F236" s="1" t="n">
        <x:v>23</x:v>
      </x:c>
      <x:c r="G236" s="1" t="n">
        <x:v>2</x:v>
      </x:c>
      <x:c r="H236" s="1" t="n">
        <x:v>0</x:v>
      </x:c>
      <x:c r="I236" s="1" t="n">
        <x:v>1</x:v>
      </x:c>
      <x:c r="J236" s="1" t="str">
        <x:v>no</x:v>
      </x:c>
      <x:c r="K236" s="1" t="n">
        <x:f>2*H236+E236+IF(G236&gt;30,2,0)-IF(B236&gt;24,1,0)</x:f>
        <x:v>-1</x:v>
      </x:c>
      <x:c r="L236" s="1" t="str">
        <x:f>IF(K236&gt;=3,"yes","no")</x:f>
        <x:v>no</x:v>
      </x:c>
      <x:c r="M236" s="1"/>
      <x:c r="N236" s="1"/>
      <x:c r="O236" s="1"/>
    </x:row>
    <x:row r="237">
      <x:c r="A237" s="1" t="str">
        <x:v>S0236</x:v>
      </x:c>
      <x:c r="B237" s="1" t="n">
        <x:v>33</x:v>
      </x:c>
      <x:c r="C237" s="1" t="str">
        <x:v>premium</x:v>
      </x:c>
      <x:c r="D237" s="8" t="n">
        <x:v>15.99</x:v>
      </x:c>
      <x:c r="E237" s="1" t="n">
        <x:v>0</x:v>
      </x:c>
      <x:c r="F237" s="1" t="n">
        <x:v>0</x:v>
      </x:c>
      <x:c r="G237" s="1" t="n">
        <x:v>47</x:v>
      </x:c>
      <x:c r="H237" s="1" t="n">
        <x:v>0</x:v>
      </x:c>
      <x:c r="I237" s="1" t="n">
        <x:v>0</x:v>
      </x:c>
      <x:c r="J237" s="1" t="str">
        <x:v>yes</x:v>
      </x:c>
      <x:c r="K237" s="1" t="n">
        <x:f>2*H237+E237+IF(G237&gt;30,2,0)-IF(B237&gt;24,1,0)</x:f>
        <x:v>1</x:v>
      </x:c>
      <x:c r="L237" s="1" t="str">
        <x:f>IF(K237&gt;=3,"yes","no")</x:f>
        <x:v>no</x:v>
      </x:c>
      <x:c r="M237" s="1"/>
      <x:c r="N237" s="1"/>
      <x:c r="O237" s="1"/>
    </x:row>
    <x:row r="238">
      <x:c r="A238" s="1" t="str">
        <x:v>S0237</x:v>
      </x:c>
      <x:c r="B238" s="1" t="n">
        <x:v>5</x:v>
      </x:c>
      <x:c r="C238" s="1" t="str">
        <x:v>basic</x:v>
      </x:c>
      <x:c r="D238" s="8" t="n">
        <x:v>9.99</x:v>
      </x:c>
      <x:c r="E238" s="1" t="n">
        <x:v>1</x:v>
      </x:c>
      <x:c r="F238" s="1" t="n">
        <x:v>0</x:v>
      </x:c>
      <x:c r="G238" s="1" t="n">
        <x:v>47</x:v>
      </x:c>
      <x:c r="H238" s="1" t="n">
        <x:v>0</x:v>
      </x:c>
      <x:c r="I238" s="1" t="n">
        <x:v>0</x:v>
      </x:c>
      <x:c r="J238" s="1" t="str">
        <x:v>yes</x:v>
      </x:c>
      <x:c r="K238" s="1" t="n">
        <x:f>2*H238+E238+IF(G238&gt;30,2,0)-IF(B238&gt;24,1,0)</x:f>
        <x:v>3</x:v>
      </x:c>
      <x:c r="L238" s="1" t="str">
        <x:f>IF(K238&gt;=3,"yes","no")</x:f>
        <x:v>yes</x:v>
      </x:c>
      <x:c r="M238" s="1"/>
      <x:c r="N238" s="1"/>
      <x:c r="O238" s="1"/>
    </x:row>
    <x:row r="239">
      <x:c r="A239" s="1" t="str">
        <x:v>S0238</x:v>
      </x:c>
      <x:c r="B239" s="1" t="n">
        <x:v>24</x:v>
      </x:c>
      <x:c r="C239" s="1" t="str">
        <x:v>premium</x:v>
      </x:c>
      <x:c r="D239" s="8" t="n">
        <x:v>15.99</x:v>
      </x:c>
      <x:c r="E239" s="1" t="n">
        <x:v>0</x:v>
      </x:c>
      <x:c r="F239" s="1" t="n">
        <x:v>1</x:v>
      </x:c>
      <x:c r="G239" s="1" t="n">
        <x:v>30</x:v>
      </x:c>
      <x:c r="H239" s="1" t="n">
        <x:v>0</x:v>
      </x:c>
      <x:c r="I239" s="1" t="n">
        <x:v>0</x:v>
      </x:c>
      <x:c r="J239" s="1" t="str">
        <x:v>no</x:v>
      </x:c>
      <x:c r="K239" s="1" t="n">
        <x:f>2*H239+E239+IF(G239&gt;30,2,0)-IF(B239&gt;24,1,0)</x:f>
        <x:v>0</x:v>
      </x:c>
      <x:c r="L239" s="1" t="str">
        <x:f>IF(K239&gt;=3,"yes","no")</x:f>
        <x:v>no</x:v>
      </x:c>
      <x:c r="M239" s="1"/>
      <x:c r="N239" s="1"/>
      <x:c r="O239" s="1"/>
    </x:row>
    <x:row r="240">
      <x:c r="A240" s="1" t="str">
        <x:v>S0239</x:v>
      </x:c>
      <x:c r="B240" s="1" t="n">
        <x:v>4</x:v>
      </x:c>
      <x:c r="C240" s="1" t="str">
        <x:v>premium</x:v>
      </x:c>
      <x:c r="D240" s="8" t="n">
        <x:v>15.99</x:v>
      </x:c>
      <x:c r="E240" s="1" t="n">
        <x:v>1</x:v>
      </x:c>
      <x:c r="F240" s="1" t="n">
        <x:v>23</x:v>
      </x:c>
      <x:c r="G240" s="1" t="n">
        <x:v>19</x:v>
      </x:c>
      <x:c r="H240" s="1" t="n">
        <x:v>0</x:v>
      </x:c>
      <x:c r="I240" s="1" t="n">
        <x:v>1</x:v>
      </x:c>
      <x:c r="J240" s="1" t="str">
        <x:v>no</x:v>
      </x:c>
      <x:c r="K240" s="1" t="n">
        <x:f>2*H240+E240+IF(G240&gt;30,2,0)-IF(B240&gt;24,1,0)</x:f>
        <x:v>1</x:v>
      </x:c>
      <x:c r="L240" s="1" t="str">
        <x:f>IF(K240&gt;=3,"yes","no")</x:f>
        <x:v>no</x:v>
      </x:c>
      <x:c r="M240" s="1"/>
      <x:c r="N240" s="1"/>
      <x:c r="O240" s="1"/>
    </x:row>
    <x:row r="241">
      <x:c r="A241" s="1" t="str">
        <x:v>S0240</x:v>
      </x:c>
      <x:c r="B241" s="1" t="n">
        <x:v>3</x:v>
      </x:c>
      <x:c r="C241" s="1" t="str">
        <x:v>basic</x:v>
      </x:c>
      <x:c r="D241" s="8" t="n">
        <x:v>9.99</x:v>
      </x:c>
      <x:c r="E241" s="1" t="n">
        <x:v>3</x:v>
      </x:c>
      <x:c r="F241" s="1" t="n">
        <x:v>23</x:v>
      </x:c>
      <x:c r="G241" s="1" t="n">
        <x:v>2</x:v>
      </x:c>
      <x:c r="H241" s="1" t="n">
        <x:v>0</x:v>
      </x:c>
      <x:c r="I241" s="1" t="n">
        <x:v>0</x:v>
      </x:c>
      <x:c r="J241" s="1" t="str">
        <x:v>yes</x:v>
      </x:c>
      <x:c r="K241" s="1" t="n">
        <x:f>2*H241+E241+IF(G241&gt;30,2,0)-IF(B241&gt;24,1,0)</x:f>
        <x:v>3</x:v>
      </x:c>
      <x:c r="L241" s="1" t="str">
        <x:f>IF(K241&gt;=3,"yes","no")</x:f>
        <x:v>yes</x:v>
      </x:c>
      <x:c r="M241" s="1"/>
      <x:c r="N241" s="1"/>
      <x:c r="O241" s="1"/>
    </x:row>
    <x:row r="242">
      <x:c r="A242" s="1" t="str">
        <x:v>S0241</x:v>
      </x:c>
      <x:c r="B242" s="1" t="n">
        <x:v>45</x:v>
      </x:c>
      <x:c r="C242" s="1" t="str">
        <x:v>premium</x:v>
      </x:c>
      <x:c r="D242" s="8" t="n">
        <x:v>15.99</x:v>
      </x:c>
      <x:c r="E242" s="1" t="n">
        <x:v>1</x:v>
      </x:c>
      <x:c r="F242" s="1" t="n">
        <x:v>11</x:v>
      </x:c>
      <x:c r="G242" s="1" t="n">
        <x:v>13</x:v>
      </x:c>
      <x:c r="H242" s="1" t="n">
        <x:v>0</x:v>
      </x:c>
      <x:c r="I242" s="1" t="n">
        <x:v>0</x:v>
      </x:c>
      <x:c r="J242" s="1" t="str">
        <x:v>no</x:v>
      </x:c>
      <x:c r="K242" s="1" t="n">
        <x:f>2*H242+E242+IF(G242&gt;30,2,0)-IF(B242&gt;24,1,0)</x:f>
        <x:v>0</x:v>
      </x:c>
      <x:c r="L242" s="1" t="str">
        <x:f>IF(K242&gt;=3,"yes","no")</x:f>
        <x:v>no</x:v>
      </x:c>
      <x:c r="M242" s="1"/>
      <x:c r="N242" s="1"/>
      <x:c r="O242" s="1"/>
    </x:row>
    <x:row r="243">
      <x:c r="A243" s="1" t="str">
        <x:v>S0242</x:v>
      </x:c>
      <x:c r="B243" s="1" t="n">
        <x:v>36</x:v>
      </x:c>
      <x:c r="C243" s="1" t="str">
        <x:v>basic</x:v>
      </x:c>
      <x:c r="D243" s="8" t="n">
        <x:v>9.99</x:v>
      </x:c>
      <x:c r="E243" s="1" t="n">
        <x:v>0</x:v>
      </x:c>
      <x:c r="F243" s="1" t="n">
        <x:v>4</x:v>
      </x:c>
      <x:c r="G243" s="1" t="n">
        <x:v>26</x:v>
      </x:c>
      <x:c r="H243" s="1" t="n">
        <x:v>0</x:v>
      </x:c>
      <x:c r="I243" s="1" t="n">
        <x:v>0</x:v>
      </x:c>
      <x:c r="J243" s="1" t="str">
        <x:v>no</x:v>
      </x:c>
      <x:c r="K243" s="1" t="n">
        <x:f>2*H243+E243+IF(G243&gt;30,2,0)-IF(B243&gt;24,1,0)</x:f>
        <x:v>-1</x:v>
      </x:c>
      <x:c r="L243" s="1" t="str">
        <x:f>IF(K243&gt;=3,"yes","no")</x:f>
        <x:v>no</x:v>
      </x:c>
      <x:c r="M243" s="1"/>
      <x:c r="N243" s="1"/>
      <x:c r="O243" s="1"/>
    </x:row>
    <x:row r="244">
      <x:c r="A244" s="1" t="str">
        <x:v>S0243</x:v>
      </x:c>
      <x:c r="B244" s="1" t="n">
        <x:v>35</x:v>
      </x:c>
      <x:c r="C244" s="1" t="str">
        <x:v>basic</x:v>
      </x:c>
      <x:c r="D244" s="8" t="n">
        <x:v>9.99</x:v>
      </x:c>
      <x:c r="E244" s="1" t="n">
        <x:v>1</x:v>
      </x:c>
      <x:c r="F244" s="1" t="n">
        <x:v>14</x:v>
      </x:c>
      <x:c r="G244" s="1" t="n">
        <x:v>3</x:v>
      </x:c>
      <x:c r="H244" s="1" t="n">
        <x:v>0</x:v>
      </x:c>
      <x:c r="I244" s="1" t="n">
        <x:v>0</x:v>
      </x:c>
      <x:c r="J244" s="1" t="str">
        <x:v>no</x:v>
      </x:c>
      <x:c r="K244" s="1" t="n">
        <x:f>2*H244+E244+IF(G244&gt;30,2,0)-IF(B244&gt;24,1,0)</x:f>
        <x:v>0</x:v>
      </x:c>
      <x:c r="L244" s="1" t="str">
        <x:f>IF(K244&gt;=3,"yes","no")</x:f>
        <x:v>no</x:v>
      </x:c>
      <x:c r="M244" s="1"/>
      <x:c r="N244" s="1"/>
      <x:c r="O244" s="1"/>
    </x:row>
    <x:row r="245">
      <x:c r="A245" s="1" t="str">
        <x:v>S0244</x:v>
      </x:c>
      <x:c r="B245" s="1" t="n">
        <x:v>2</x:v>
      </x:c>
      <x:c r="C245" s="1" t="str">
        <x:v>premium</x:v>
      </x:c>
      <x:c r="D245" s="8" t="n">
        <x:v>15.99</x:v>
      </x:c>
      <x:c r="E245" s="1" t="n">
        <x:v>2</x:v>
      </x:c>
      <x:c r="F245" s="1" t="n">
        <x:v>16</x:v>
      </x:c>
      <x:c r="G245" s="1" t="n">
        <x:v>12</x:v>
      </x:c>
      <x:c r="H245" s="1" t="n">
        <x:v>0</x:v>
      </x:c>
      <x:c r="I245" s="1" t="n">
        <x:v>1</x:v>
      </x:c>
      <x:c r="J245" s="1" t="str">
        <x:v>no</x:v>
      </x:c>
      <x:c r="K245" s="1" t="n">
        <x:f>2*H245+E245+IF(G245&gt;30,2,0)-IF(B245&gt;24,1,0)</x:f>
        <x:v>2</x:v>
      </x:c>
      <x:c r="L245" s="1" t="str">
        <x:f>IF(K245&gt;=3,"yes","no")</x:f>
        <x:v>no</x:v>
      </x:c>
      <x:c r="M245" s="1"/>
      <x:c r="N245" s="1"/>
      <x:c r="O245" s="1"/>
    </x:row>
    <x:row r="246">
      <x:c r="A246" s="1" t="str">
        <x:v>S0245</x:v>
      </x:c>
      <x:c r="B246" s="1" t="n">
        <x:v>4</x:v>
      </x:c>
      <x:c r="C246" s="1" t="str">
        <x:v>basic</x:v>
      </x:c>
      <x:c r="D246" s="8" t="n">
        <x:v>9.99</x:v>
      </x:c>
      <x:c r="E246" s="1" t="n">
        <x:v>3</x:v>
      </x:c>
      <x:c r="F246" s="1" t="n">
        <x:v>19</x:v>
      </x:c>
      <x:c r="G246" s="1" t="n">
        <x:v>7</x:v>
      </x:c>
      <x:c r="H246" s="1" t="n">
        <x:v>0</x:v>
      </x:c>
      <x:c r="I246" s="1" t="n">
        <x:v>0</x:v>
      </x:c>
      <x:c r="J246" s="1" t="str">
        <x:v>no</x:v>
      </x:c>
      <x:c r="K246" s="1" t="n">
        <x:f>2*H246+E246+IF(G246&gt;30,2,0)-IF(B246&gt;24,1,0)</x:f>
        <x:v>3</x:v>
      </x:c>
      <x:c r="L246" s="1" t="str">
        <x:f>IF(K246&gt;=3,"yes","no")</x:f>
        <x:v>yes</x:v>
      </x:c>
      <x:c r="M246" s="1"/>
      <x:c r="N246" s="1"/>
      <x:c r="O246" s="1"/>
    </x:row>
    <x:row r="247">
      <x:c r="A247" s="1" t="str">
        <x:v>S0246</x:v>
      </x:c>
      <x:c r="B247" s="1" t="n">
        <x:v>25</x:v>
      </x:c>
      <x:c r="C247" s="1" t="str">
        <x:v>basic</x:v>
      </x:c>
      <x:c r="D247" s="8" t="n">
        <x:v>9.99</x:v>
      </x:c>
      <x:c r="E247" s="1" t="n">
        <x:v>0</x:v>
      </x:c>
      <x:c r="F247" s="1" t="n">
        <x:v>17</x:v>
      </x:c>
      <x:c r="G247" s="1" t="n">
        <x:v>10</x:v>
      </x:c>
      <x:c r="H247" s="1" t="n">
        <x:v>2</x:v>
      </x:c>
      <x:c r="I247" s="1" t="n">
        <x:v>1</x:v>
      </x:c>
      <x:c r="J247" s="1" t="str">
        <x:v>no</x:v>
      </x:c>
      <x:c r="K247" s="1" t="n">
        <x:f>2*H247+E247+IF(G247&gt;30,2,0)-IF(B247&gt;24,1,0)</x:f>
        <x:v>3</x:v>
      </x:c>
      <x:c r="L247" s="1" t="str">
        <x:f>IF(K247&gt;=3,"yes","no")</x:f>
        <x:v>yes</x:v>
      </x:c>
      <x:c r="M247" s="1"/>
      <x:c r="N247" s="1"/>
      <x:c r="O247" s="1"/>
    </x:row>
    <x:row r="248">
      <x:c r="A248" s="1" t="str">
        <x:v>S0247</x:v>
      </x:c>
      <x:c r="B248" s="1" t="n">
        <x:v>27</x:v>
      </x:c>
      <x:c r="C248" s="1" t="str">
        <x:v>basic</x:v>
      </x:c>
      <x:c r="D248" s="8" t="n">
        <x:v>9.99</x:v>
      </x:c>
      <x:c r="E248" s="1" t="n">
        <x:v>2</x:v>
      </x:c>
      <x:c r="F248" s="1" t="n">
        <x:v>25</x:v>
      </x:c>
      <x:c r="G248" s="1" t="n">
        <x:v>6</x:v>
      </x:c>
      <x:c r="H248" s="1" t="n">
        <x:v>0</x:v>
      </x:c>
      <x:c r="I248" s="1" t="n">
        <x:v>1</x:v>
      </x:c>
      <x:c r="J248" s="1" t="str">
        <x:v>no</x:v>
      </x:c>
      <x:c r="K248" s="1" t="n">
        <x:f>2*H248+E248+IF(G248&gt;30,2,0)-IF(B248&gt;24,1,0)</x:f>
        <x:v>1</x:v>
      </x:c>
      <x:c r="L248" s="1" t="str">
        <x:f>IF(K248&gt;=3,"yes","no")</x:f>
        <x:v>no</x:v>
      </x:c>
      <x:c r="M248" s="1"/>
      <x:c r="N248" s="1"/>
      <x:c r="O248" s="1"/>
    </x:row>
    <x:row r="249">
      <x:c r="A249" s="1" t="str">
        <x:v>S0248</x:v>
      </x:c>
      <x:c r="B249" s="1" t="n">
        <x:v>10</x:v>
      </x:c>
      <x:c r="C249" s="1" t="str">
        <x:v>basic</x:v>
      </x:c>
      <x:c r="D249" s="8" t="n">
        <x:v>9.99</x:v>
      </x:c>
      <x:c r="E249" s="1" t="n">
        <x:v>1</x:v>
      </x:c>
      <x:c r="F249" s="1" t="n">
        <x:v>11</x:v>
      </x:c>
      <x:c r="G249" s="1" t="n">
        <x:v>6</x:v>
      </x:c>
      <x:c r="H249" s="1" t="n">
        <x:v>1</x:v>
      </x:c>
      <x:c r="I249" s="1" t="n">
        <x:v>0</x:v>
      </x:c>
      <x:c r="J249" s="1" t="str">
        <x:v>no</x:v>
      </x:c>
      <x:c r="K249" s="1" t="n">
        <x:f>2*H249+E249+IF(G249&gt;30,2,0)-IF(B249&gt;24,1,0)</x:f>
        <x:v>3</x:v>
      </x:c>
      <x:c r="L249" s="1" t="str">
        <x:f>IF(K249&gt;=3,"yes","no")</x:f>
        <x:v>yes</x:v>
      </x:c>
      <x:c r="M249" s="1"/>
      <x:c r="N249" s="1"/>
      <x:c r="O249" s="1"/>
    </x:row>
    <x:row r="250">
      <x:c r="A250" s="1" t="str">
        <x:v>S0249</x:v>
      </x:c>
      <x:c r="B250" s="1" t="n">
        <x:v>20</x:v>
      </x:c>
      <x:c r="C250" s="1" t="str">
        <x:v>basic</x:v>
      </x:c>
      <x:c r="D250" s="8" t="n">
        <x:v>9.99</x:v>
      </x:c>
      <x:c r="E250" s="1" t="n">
        <x:v>4</x:v>
      </x:c>
      <x:c r="F250" s="1" t="n">
        <x:v>28</x:v>
      </x:c>
      <x:c r="G250" s="1" t="n">
        <x:v>0</x:v>
      </x:c>
      <x:c r="H250" s="1" t="n">
        <x:v>0</x:v>
      </x:c>
      <x:c r="I250" s="1" t="n">
        <x:v>0</x:v>
      </x:c>
      <x:c r="J250" s="1" t="str">
        <x:v>no</x:v>
      </x:c>
      <x:c r="K250" s="1" t="n">
        <x:f>2*H250+E250+IF(G250&gt;30,2,0)-IF(B250&gt;24,1,0)</x:f>
        <x:v>4</x:v>
      </x:c>
      <x:c r="L250" s="1" t="str">
        <x:f>IF(K250&gt;=3,"yes","no")</x:f>
        <x:v>yes</x:v>
      </x:c>
      <x:c r="M250" s="1"/>
      <x:c r="N250" s="1"/>
      <x:c r="O250" s="1"/>
    </x:row>
    <x:row r="251">
      <x:c r="A251" s="1" t="str">
        <x:v>S0250</x:v>
      </x:c>
      <x:c r="B251" s="1" t="n">
        <x:v>21</x:v>
      </x:c>
      <x:c r="C251" s="1" t="str">
        <x:v>basic</x:v>
      </x:c>
      <x:c r="D251" s="8" t="n">
        <x:v>9.99</x:v>
      </x:c>
      <x:c r="E251" s="1" t="n">
        <x:v>0</x:v>
      </x:c>
      <x:c r="F251" s="1" t="n">
        <x:v>27</x:v>
      </x:c>
      <x:c r="G251" s="1" t="n">
        <x:v>14</x:v>
      </x:c>
      <x:c r="H251" s="1" t="n">
        <x:v>0</x:v>
      </x:c>
      <x:c r="I251" s="1" t="n">
        <x:v>0</x:v>
      </x:c>
      <x:c r="J251" s="1" t="str">
        <x:v>no</x:v>
      </x:c>
      <x:c r="K251" s="1" t="n">
        <x:f>2*H251+E251+IF(G251&gt;30,2,0)-IF(B251&gt;24,1,0)</x:f>
        <x:v>0</x:v>
      </x:c>
      <x:c r="L251" s="1" t="str">
        <x:f>IF(K251&gt;=3,"yes","no")</x:f>
        <x:v>no</x:v>
      </x:c>
      <x:c r="M251" s="1"/>
      <x:c r="N251" s="1"/>
      <x:c r="O251" s="1"/>
    </x:row>
    <x:row r="252">
      <x:c r="A252" s="1" t="str">
        <x:v>S0251</x:v>
      </x:c>
      <x:c r="B252" s="1" t="n">
        <x:v>28</x:v>
      </x:c>
      <x:c r="C252" s="1" t="str">
        <x:v>premium</x:v>
      </x:c>
      <x:c r="D252" s="8" t="n">
        <x:v>15.99</x:v>
      </x:c>
      <x:c r="E252" s="1" t="n">
        <x:v>2</x:v>
      </x:c>
      <x:c r="F252" s="1" t="n">
        <x:v>7</x:v>
      </x:c>
      <x:c r="G252" s="1" t="n">
        <x:v>15</x:v>
      </x:c>
      <x:c r="H252" s="1" t="n">
        <x:v>1</x:v>
      </x:c>
      <x:c r="I252" s="1" t="n">
        <x:v>0</x:v>
      </x:c>
      <x:c r="J252" s="1" t="str">
        <x:v>no</x:v>
      </x:c>
      <x:c r="K252" s="1" t="n">
        <x:f>2*H252+E252+IF(G252&gt;30,2,0)-IF(B252&gt;24,1,0)</x:f>
        <x:v>3</x:v>
      </x:c>
      <x:c r="L252" s="1" t="str">
        <x:f>IF(K252&gt;=3,"yes","no")</x:f>
        <x:v>yes</x:v>
      </x:c>
      <x:c r="M252" s="1"/>
      <x:c r="N252" s="1"/>
      <x:c r="O252" s="1"/>
    </x:row>
    <x:row r="253">
      <x:c r="A253" s="1" t="str">
        <x:v>S0252</x:v>
      </x:c>
      <x:c r="B253" s="1" t="n">
        <x:v>6</x:v>
      </x:c>
      <x:c r="C253" s="1" t="str">
        <x:v>basic</x:v>
      </x:c>
      <x:c r="D253" s="8" t="n">
        <x:v>9.99</x:v>
      </x:c>
      <x:c r="E253" s="1" t="n">
        <x:v>0</x:v>
      </x:c>
      <x:c r="F253" s="1" t="n">
        <x:v>10</x:v>
      </x:c>
      <x:c r="G253" s="1" t="n">
        <x:v>6</x:v>
      </x:c>
      <x:c r="H253" s="1" t="n">
        <x:v>0</x:v>
      </x:c>
      <x:c r="I253" s="1" t="n">
        <x:v>0</x:v>
      </x:c>
      <x:c r="J253" s="1" t="str">
        <x:v>no</x:v>
      </x:c>
      <x:c r="K253" s="1" t="n">
        <x:f>2*H253+E253+IF(G253&gt;30,2,0)-IF(B253&gt;24,1,0)</x:f>
        <x:v>0</x:v>
      </x:c>
      <x:c r="L253" s="1" t="str">
        <x:f>IF(K253&gt;=3,"yes","no")</x:f>
        <x:v>no</x:v>
      </x:c>
      <x:c r="M253" s="1"/>
      <x:c r="N253" s="1"/>
      <x:c r="O253" s="1"/>
    </x:row>
    <x:row r="254">
      <x:c r="A254" s="1" t="str">
        <x:v>S0253</x:v>
      </x:c>
      <x:c r="B254" s="1" t="n">
        <x:v>17</x:v>
      </x:c>
      <x:c r="C254" s="1" t="str">
        <x:v>basic</x:v>
      </x:c>
      <x:c r="D254" s="8" t="n">
        <x:v>9.99</x:v>
      </x:c>
      <x:c r="E254" s="1" t="n">
        <x:v>0</x:v>
      </x:c>
      <x:c r="F254" s="1" t="n">
        <x:v>12</x:v>
      </x:c>
      <x:c r="G254" s="1" t="n">
        <x:v>9</x:v>
      </x:c>
      <x:c r="H254" s="1" t="n">
        <x:v>0</x:v>
      </x:c>
      <x:c r="I254" s="1" t="n">
        <x:v>1</x:v>
      </x:c>
      <x:c r="J254" s="1" t="str">
        <x:v>no</x:v>
      </x:c>
      <x:c r="K254" s="1" t="n">
        <x:f>2*H254+E254+IF(G254&gt;30,2,0)-IF(B254&gt;24,1,0)</x:f>
        <x:v>0</x:v>
      </x:c>
      <x:c r="L254" s="1" t="str">
        <x:f>IF(K254&gt;=3,"yes","no")</x:f>
        <x:v>no</x:v>
      </x:c>
      <x:c r="M254" s="1"/>
      <x:c r="N254" s="1"/>
      <x:c r="O254" s="1"/>
    </x:row>
    <x:row r="255">
      <x:c r="A255" s="1" t="str">
        <x:v>S0254</x:v>
      </x:c>
      <x:c r="B255" s="1" t="n">
        <x:v>47</x:v>
      </x:c>
      <x:c r="C255" s="1" t="str">
        <x:v>basic</x:v>
      </x:c>
      <x:c r="D255" s="8" t="n">
        <x:v>9.99</x:v>
      </x:c>
      <x:c r="E255" s="1" t="n">
        <x:v>2</x:v>
      </x:c>
      <x:c r="F255" s="1" t="n">
        <x:v>22</x:v>
      </x:c>
      <x:c r="G255" s="1" t="n">
        <x:v>0</x:v>
      </x:c>
      <x:c r="H255" s="1" t="n">
        <x:v>0</x:v>
      </x:c>
      <x:c r="I255" s="1" t="n">
        <x:v>0</x:v>
      </x:c>
      <x:c r="J255" s="1" t="str">
        <x:v>no</x:v>
      </x:c>
      <x:c r="K255" s="1" t="n">
        <x:f>2*H255+E255+IF(G255&gt;30,2,0)-IF(B255&gt;24,1,0)</x:f>
        <x:v>1</x:v>
      </x:c>
      <x:c r="L255" s="1" t="str">
        <x:f>IF(K255&gt;=3,"yes","no")</x:f>
        <x:v>no</x:v>
      </x:c>
      <x:c r="M255" s="1"/>
      <x:c r="N255" s="1"/>
      <x:c r="O255" s="1"/>
    </x:row>
    <x:row r="256">
      <x:c r="A256" s="1" t="str">
        <x:v>S0255</x:v>
      </x:c>
      <x:c r="B256" s="1" t="n">
        <x:v>18</x:v>
      </x:c>
      <x:c r="C256" s="1" t="str">
        <x:v>premium</x:v>
      </x:c>
      <x:c r="D256" s="8" t="n">
        <x:v>15.99</x:v>
      </x:c>
      <x:c r="E256" s="1" t="n">
        <x:v>0</x:v>
      </x:c>
      <x:c r="F256" s="1" t="n">
        <x:v>24</x:v>
      </x:c>
      <x:c r="G256" s="1" t="n">
        <x:v>7</x:v>
      </x:c>
      <x:c r="H256" s="1" t="n">
        <x:v>0</x:v>
      </x:c>
      <x:c r="I256" s="1" t="n">
        <x:v>0</x:v>
      </x:c>
      <x:c r="J256" s="1" t="str">
        <x:v>no</x:v>
      </x:c>
      <x:c r="K256" s="1" t="n">
        <x:f>2*H256+E256+IF(G256&gt;30,2,0)-IF(B256&gt;24,1,0)</x:f>
        <x:v>0</x:v>
      </x:c>
      <x:c r="L256" s="1" t="str">
        <x:f>IF(K256&gt;=3,"yes","no")</x:f>
        <x:v>no</x:v>
      </x:c>
      <x:c r="M256" s="1"/>
      <x:c r="N256" s="1"/>
      <x:c r="O256" s="1"/>
    </x:row>
    <x:row r="257">
      <x:c r="A257" s="1" t="str">
        <x:v>S0256</x:v>
      </x:c>
      <x:c r="B257" s="1" t="n">
        <x:v>33</x:v>
      </x:c>
      <x:c r="C257" s="1" t="str">
        <x:v>basic</x:v>
      </x:c>
      <x:c r="D257" s="8" t="n">
        <x:v>9.99</x:v>
      </x:c>
      <x:c r="E257" s="1" t="n">
        <x:v>0</x:v>
      </x:c>
      <x:c r="F257" s="1" t="n">
        <x:v>0</x:v>
      </x:c>
      <x:c r="G257" s="1" t="n">
        <x:v>48</x:v>
      </x:c>
      <x:c r="H257" s="1" t="n">
        <x:v>0</x:v>
      </x:c>
      <x:c r="I257" s="1" t="n">
        <x:v>0</x:v>
      </x:c>
      <x:c r="J257" s="1" t="str">
        <x:v>yes</x:v>
      </x:c>
      <x:c r="K257" s="1" t="n">
        <x:f>2*H257+E257+IF(G257&gt;30,2,0)-IF(B257&gt;24,1,0)</x:f>
        <x:v>1</x:v>
      </x:c>
      <x:c r="L257" s="1" t="str">
        <x:f>IF(K257&gt;=3,"yes","no")</x:f>
        <x:v>no</x:v>
      </x:c>
      <x:c r="M257" s="1"/>
      <x:c r="N257" s="1"/>
      <x:c r="O257" s="1"/>
    </x:row>
    <x:row r="258">
      <x:c r="A258" s="1" t="str">
        <x:v>S0257</x:v>
      </x:c>
      <x:c r="B258" s="1" t="n">
        <x:v>11</x:v>
      </x:c>
      <x:c r="C258" s="1" t="str">
        <x:v>basic</x:v>
      </x:c>
      <x:c r="D258" s="8" t="n">
        <x:v>9.99</x:v>
      </x:c>
      <x:c r="E258" s="1" t="n">
        <x:v>1</x:v>
      </x:c>
      <x:c r="F258" s="1" t="n">
        <x:v>0</x:v>
      </x:c>
      <x:c r="G258" s="1" t="n">
        <x:v>37</x:v>
      </x:c>
      <x:c r="H258" s="1" t="n">
        <x:v>0</x:v>
      </x:c>
      <x:c r="I258" s="1" t="n">
        <x:v>1</x:v>
      </x:c>
      <x:c r="J258" s="1" t="str">
        <x:v>yes</x:v>
      </x:c>
      <x:c r="K258" s="1" t="n">
        <x:f>2*H258+E258+IF(G258&gt;30,2,0)-IF(B258&gt;24,1,0)</x:f>
        <x:v>3</x:v>
      </x:c>
      <x:c r="L258" s="1" t="str">
        <x:f>IF(K258&gt;=3,"yes","no")</x:f>
        <x:v>yes</x:v>
      </x:c>
      <x:c r="M258" s="1"/>
      <x:c r="N258" s="1"/>
      <x:c r="O258" s="1"/>
    </x:row>
    <x:row r="259">
      <x:c r="A259" s="1" t="str">
        <x:v>S0258</x:v>
      </x:c>
      <x:c r="B259" s="1" t="n">
        <x:v>41</x:v>
      </x:c>
      <x:c r="C259" s="1" t="str">
        <x:v>basic</x:v>
      </x:c>
      <x:c r="D259" s="8" t="n">
        <x:v>9.99</x:v>
      </x:c>
      <x:c r="E259" s="1" t="n">
        <x:v>2</x:v>
      </x:c>
      <x:c r="F259" s="1" t="n">
        <x:v>34</x:v>
      </x:c>
      <x:c r="G259" s="1" t="n">
        <x:v>1</x:v>
      </x:c>
      <x:c r="H259" s="1" t="n">
        <x:v>0</x:v>
      </x:c>
      <x:c r="I259" s="1" t="n">
        <x:v>0</x:v>
      </x:c>
      <x:c r="J259" s="1" t="str">
        <x:v>no</x:v>
      </x:c>
      <x:c r="K259" s="1" t="n">
        <x:f>2*H259+E259+IF(G259&gt;30,2,0)-IF(B259&gt;24,1,0)</x:f>
        <x:v>1</x:v>
      </x:c>
      <x:c r="L259" s="1" t="str">
        <x:f>IF(K259&gt;=3,"yes","no")</x:f>
        <x:v>no</x:v>
      </x:c>
      <x:c r="M259" s="1"/>
      <x:c r="N259" s="1"/>
      <x:c r="O259" s="1"/>
    </x:row>
    <x:row r="260">
      <x:c r="A260" s="1" t="str">
        <x:v>S0259</x:v>
      </x:c>
      <x:c r="B260" s="1" t="n">
        <x:v>23</x:v>
      </x:c>
      <x:c r="C260" s="1" t="str">
        <x:v>premium</x:v>
      </x:c>
      <x:c r="D260" s="8" t="n">
        <x:v>15.99</x:v>
      </x:c>
      <x:c r="E260" s="1" t="n">
        <x:v>0</x:v>
      </x:c>
      <x:c r="F260" s="1" t="n">
        <x:v>4</x:v>
      </x:c>
      <x:c r="G260" s="1" t="n">
        <x:v>20</x:v>
      </x:c>
      <x:c r="H260" s="1" t="n">
        <x:v>0</x:v>
      </x:c>
      <x:c r="I260" s="1" t="n">
        <x:v>0</x:v>
      </x:c>
      <x:c r="J260" s="1" t="str">
        <x:v>yes</x:v>
      </x:c>
      <x:c r="K260" s="1" t="n">
        <x:f>2*H260+E260+IF(G260&gt;30,2,0)-IF(B260&gt;24,1,0)</x:f>
        <x:v>0</x:v>
      </x:c>
      <x:c r="L260" s="1" t="str">
        <x:f>IF(K260&gt;=3,"yes","no")</x:f>
        <x:v>no</x:v>
      </x:c>
      <x:c r="M260" s="1"/>
      <x:c r="N260" s="1"/>
      <x:c r="O260" s="1"/>
    </x:row>
    <x:row r="261">
      <x:c r="A261" s="1" t="str">
        <x:v>S0260</x:v>
      </x:c>
      <x:c r="B261" s="1" t="n">
        <x:v>38</x:v>
      </x:c>
      <x:c r="C261" s="1" t="str">
        <x:v>premium</x:v>
      </x:c>
      <x:c r="D261" s="8" t="n">
        <x:v>15.99</x:v>
      </x:c>
      <x:c r="E261" s="1" t="n">
        <x:v>0</x:v>
      </x:c>
      <x:c r="F261" s="1" t="n">
        <x:v>31</x:v>
      </x:c>
      <x:c r="G261" s="1" t="n">
        <x:v>0</x:v>
      </x:c>
      <x:c r="H261" s="1" t="n">
        <x:v>0</x:v>
      </x:c>
      <x:c r="I261" s="1" t="n">
        <x:v>0</x:v>
      </x:c>
      <x:c r="J261" s="1" t="str">
        <x:v>no</x:v>
      </x:c>
      <x:c r="K261" s="1" t="n">
        <x:f>2*H261+E261+IF(G261&gt;30,2,0)-IF(B261&gt;24,1,0)</x:f>
        <x:v>-1</x:v>
      </x:c>
      <x:c r="L261" s="1" t="str">
        <x:f>IF(K261&gt;=3,"yes","no")</x:f>
        <x:v>no</x:v>
      </x:c>
      <x:c r="M261" s="1"/>
      <x:c r="N261" s="1"/>
      <x:c r="O261" s="1"/>
    </x:row>
    <x:row r="262">
      <x:c r="A262" s="1" t="str">
        <x:v>S0261</x:v>
      </x:c>
      <x:c r="B262" s="1" t="n">
        <x:v>16</x:v>
      </x:c>
      <x:c r="C262" s="1" t="str">
        <x:v>basic</x:v>
      </x:c>
      <x:c r="D262" s="8" t="n">
        <x:v>9.99</x:v>
      </x:c>
      <x:c r="E262" s="1" t="n">
        <x:v>1</x:v>
      </x:c>
      <x:c r="F262" s="1" t="n">
        <x:v>18</x:v>
      </x:c>
      <x:c r="G262" s="1" t="n">
        <x:v>3</x:v>
      </x:c>
      <x:c r="H262" s="1" t="n">
        <x:v>1</x:v>
      </x:c>
      <x:c r="I262" s="1" t="n">
        <x:v>0</x:v>
      </x:c>
      <x:c r="J262" s="1" t="str">
        <x:v>yes</x:v>
      </x:c>
      <x:c r="K262" s="1" t="n">
        <x:f>2*H262+E262+IF(G262&gt;30,2,0)-IF(B262&gt;24,1,0)</x:f>
        <x:v>3</x:v>
      </x:c>
      <x:c r="L262" s="1" t="str">
        <x:f>IF(K262&gt;=3,"yes","no")</x:f>
        <x:v>yes</x:v>
      </x:c>
      <x:c r="M262" s="1"/>
      <x:c r="N262" s="1"/>
      <x:c r="O262" s="1"/>
    </x:row>
    <x:row r="263">
      <x:c r="A263" s="1" t="str">
        <x:v>S0262</x:v>
      </x:c>
      <x:c r="B263" s="1" t="n">
        <x:v>23</x:v>
      </x:c>
      <x:c r="C263" s="1" t="str">
        <x:v>basic</x:v>
      </x:c>
      <x:c r="D263" s="8" t="n">
        <x:v>9.99</x:v>
      </x:c>
      <x:c r="E263" s="1" t="n">
        <x:v>1</x:v>
      </x:c>
      <x:c r="F263" s="1" t="n">
        <x:v>33</x:v>
      </x:c>
      <x:c r="G263" s="1" t="n">
        <x:v>0</x:v>
      </x:c>
      <x:c r="H263" s="1" t="n">
        <x:v>0</x:v>
      </x:c>
      <x:c r="I263" s="1" t="n">
        <x:v>1</x:v>
      </x:c>
      <x:c r="J263" s="1" t="str">
        <x:v>no</x:v>
      </x:c>
      <x:c r="K263" s="1" t="n">
        <x:f>2*H263+E263+IF(G263&gt;30,2,0)-IF(B263&gt;24,1,0)</x:f>
        <x:v>1</x:v>
      </x:c>
      <x:c r="L263" s="1" t="str">
        <x:f>IF(K263&gt;=3,"yes","no")</x:f>
        <x:v>no</x:v>
      </x:c>
      <x:c r="M263" s="1"/>
      <x:c r="N263" s="1"/>
      <x:c r="O263" s="1"/>
    </x:row>
    <x:row r="264">
      <x:c r="A264" s="1" t="str">
        <x:v>S0263</x:v>
      </x:c>
      <x:c r="B264" s="1" t="n">
        <x:v>29</x:v>
      </x:c>
      <x:c r="C264" s="1" t="str">
        <x:v>premium</x:v>
      </x:c>
      <x:c r="D264" s="8" t="n">
        <x:v>15.99</x:v>
      </x:c>
      <x:c r="E264" s="1" t="n">
        <x:v>0</x:v>
      </x:c>
      <x:c r="F264" s="1" t="n">
        <x:v>0</x:v>
      </x:c>
      <x:c r="G264" s="1" t="n">
        <x:v>35</x:v>
      </x:c>
      <x:c r="H264" s="1" t="n">
        <x:v>0</x:v>
      </x:c>
      <x:c r="I264" s="1" t="n">
        <x:v>0</x:v>
      </x:c>
      <x:c r="J264" s="1" t="str">
        <x:v>yes</x:v>
      </x:c>
      <x:c r="K264" s="1" t="n">
        <x:f>2*H264+E264+IF(G264&gt;30,2,0)-IF(B264&gt;24,1,0)</x:f>
        <x:v>1</x:v>
      </x:c>
      <x:c r="L264" s="1" t="str">
        <x:f>IF(K264&gt;=3,"yes","no")</x:f>
        <x:v>no</x:v>
      </x:c>
      <x:c r="M264" s="1"/>
      <x:c r="N264" s="1"/>
      <x:c r="O264" s="1"/>
    </x:row>
    <x:row r="265">
      <x:c r="A265" s="1" t="str">
        <x:v>S0264</x:v>
      </x:c>
      <x:c r="B265" s="1" t="n">
        <x:v>13</x:v>
      </x:c>
      <x:c r="C265" s="1" t="str">
        <x:v>basic</x:v>
      </x:c>
      <x:c r="D265" s="8" t="n">
        <x:v>9.99</x:v>
      </x:c>
      <x:c r="E265" s="1" t="n">
        <x:v>0</x:v>
      </x:c>
      <x:c r="F265" s="1" t="n">
        <x:v>17</x:v>
      </x:c>
      <x:c r="G265" s="1" t="n">
        <x:v>15</x:v>
      </x:c>
      <x:c r="H265" s="1" t="n">
        <x:v>0</x:v>
      </x:c>
      <x:c r="I265" s="1" t="n">
        <x:v>1</x:v>
      </x:c>
      <x:c r="J265" s="1" t="str">
        <x:v>no</x:v>
      </x:c>
      <x:c r="K265" s="1" t="n">
        <x:f>2*H265+E265+IF(G265&gt;30,2,0)-IF(B265&gt;24,1,0)</x:f>
        <x:v>0</x:v>
      </x:c>
      <x:c r="L265" s="1" t="str">
        <x:f>IF(K265&gt;=3,"yes","no")</x:f>
        <x:v>no</x:v>
      </x:c>
      <x:c r="M265" s="1"/>
      <x:c r="N265" s="1"/>
      <x:c r="O265" s="1"/>
    </x:row>
    <x:row r="266">
      <x:c r="A266" s="1" t="str">
        <x:v>S0265</x:v>
      </x:c>
      <x:c r="B266" s="1" t="n">
        <x:v>3</x:v>
      </x:c>
      <x:c r="C266" s="1" t="str">
        <x:v>premium</x:v>
      </x:c>
      <x:c r="D266" s="8" t="n">
        <x:v>15.99</x:v>
      </x:c>
      <x:c r="E266" s="1" t="n">
        <x:v>1</x:v>
      </x:c>
      <x:c r="F266" s="1" t="n">
        <x:v>24</x:v>
      </x:c>
      <x:c r="G266" s="1" t="n">
        <x:v>17</x:v>
      </x:c>
      <x:c r="H266" s="1" t="n">
        <x:v>0</x:v>
      </x:c>
      <x:c r="I266" s="1" t="n">
        <x:v>0</x:v>
      </x:c>
      <x:c r="J266" s="1" t="str">
        <x:v>no</x:v>
      </x:c>
      <x:c r="K266" s="1" t="n">
        <x:f>2*H266+E266+IF(G266&gt;30,2,0)-IF(B266&gt;24,1,0)</x:f>
        <x:v>1</x:v>
      </x:c>
      <x:c r="L266" s="1" t="str">
        <x:f>IF(K266&gt;=3,"yes","no")</x:f>
        <x:v>no</x:v>
      </x:c>
      <x:c r="M266" s="1"/>
      <x:c r="N266" s="1"/>
      <x:c r="O266" s="1"/>
    </x:row>
    <x:row r="267">
      <x:c r="A267" s="1" t="str">
        <x:v>S0266</x:v>
      </x:c>
      <x:c r="B267" s="1" t="n">
        <x:v>29</x:v>
      </x:c>
      <x:c r="C267" s="1" t="str">
        <x:v>basic</x:v>
      </x:c>
      <x:c r="D267" s="8" t="n">
        <x:v>9.99</x:v>
      </x:c>
      <x:c r="E267" s="1" t="n">
        <x:v>4</x:v>
      </x:c>
      <x:c r="F267" s="1" t="n">
        <x:v>16</x:v>
      </x:c>
      <x:c r="G267" s="1" t="n">
        <x:v>6</x:v>
      </x:c>
      <x:c r="H267" s="1" t="n">
        <x:v>0</x:v>
      </x:c>
      <x:c r="I267" s="1" t="n">
        <x:v>0</x:v>
      </x:c>
      <x:c r="J267" s="1" t="str">
        <x:v>no</x:v>
      </x:c>
      <x:c r="K267" s="1" t="n">
        <x:f>2*H267+E267+IF(G267&gt;30,2,0)-IF(B267&gt;24,1,0)</x:f>
        <x:v>3</x:v>
      </x:c>
      <x:c r="L267" s="1" t="str">
        <x:f>IF(K267&gt;=3,"yes","no")</x:f>
        <x:v>yes</x:v>
      </x:c>
      <x:c r="M267" s="1"/>
      <x:c r="N267" s="1"/>
      <x:c r="O267" s="1"/>
    </x:row>
    <x:row r="268">
      <x:c r="A268" s="1" t="str">
        <x:v>S0267</x:v>
      </x:c>
      <x:c r="B268" s="1" t="n">
        <x:v>28</x:v>
      </x:c>
      <x:c r="C268" s="1" t="str">
        <x:v>premium</x:v>
      </x:c>
      <x:c r="D268" s="8" t="n">
        <x:v>15.99</x:v>
      </x:c>
      <x:c r="E268" s="1" t="n">
        <x:v>2</x:v>
      </x:c>
      <x:c r="F268" s="1" t="n">
        <x:v>0</x:v>
      </x:c>
      <x:c r="G268" s="1" t="n">
        <x:v>41</x:v>
      </x:c>
      <x:c r="H268" s="1" t="n">
        <x:v>1</x:v>
      </x:c>
      <x:c r="I268" s="1" t="n">
        <x:v>0</x:v>
      </x:c>
      <x:c r="J268" s="1" t="str">
        <x:v>yes</x:v>
      </x:c>
      <x:c r="K268" s="1" t="n">
        <x:f>2*H268+E268+IF(G268&gt;30,2,0)-IF(B268&gt;24,1,0)</x:f>
        <x:v>5</x:v>
      </x:c>
      <x:c r="L268" s="1" t="str">
        <x:f>IF(K268&gt;=3,"yes","no")</x:f>
        <x:v>yes</x:v>
      </x:c>
      <x:c r="M268" s="1"/>
      <x:c r="N268" s="1"/>
      <x:c r="O268" s="1"/>
    </x:row>
    <x:row r="269">
      <x:c r="A269" s="1" t="str">
        <x:v>S0268</x:v>
      </x:c>
      <x:c r="B269" s="1" t="n">
        <x:v>23</x:v>
      </x:c>
      <x:c r="C269" s="1" t="str">
        <x:v>premium</x:v>
      </x:c>
      <x:c r="D269" s="8" t="n">
        <x:v>15.99</x:v>
      </x:c>
      <x:c r="E269" s="1" t="n">
        <x:v>0</x:v>
      </x:c>
      <x:c r="F269" s="1" t="n">
        <x:v>23</x:v>
      </x:c>
      <x:c r="G269" s="1" t="n">
        <x:v>7</x:v>
      </x:c>
      <x:c r="H269" s="1" t="n">
        <x:v>0</x:v>
      </x:c>
      <x:c r="I269" s="1" t="n">
        <x:v>0</x:v>
      </x:c>
      <x:c r="J269" s="1" t="str">
        <x:v>no</x:v>
      </x:c>
      <x:c r="K269" s="1" t="n">
        <x:f>2*H269+E269+IF(G269&gt;30,2,0)-IF(B269&gt;24,1,0)</x:f>
        <x:v>0</x:v>
      </x:c>
      <x:c r="L269" s="1" t="str">
        <x:f>IF(K269&gt;=3,"yes","no")</x:f>
        <x:v>no</x:v>
      </x:c>
      <x:c r="M269" s="1"/>
      <x:c r="N269" s="1"/>
      <x:c r="O269" s="1"/>
    </x:row>
    <x:row r="270">
      <x:c r="A270" s="1" t="str">
        <x:v>S0269</x:v>
      </x:c>
      <x:c r="B270" s="1" t="n">
        <x:v>45</x:v>
      </x:c>
      <x:c r="C270" s="1" t="str">
        <x:v>premium</x:v>
      </x:c>
      <x:c r="D270" s="8" t="n">
        <x:v>15.99</x:v>
      </x:c>
      <x:c r="E270" s="1" t="n">
        <x:v>0</x:v>
      </x:c>
      <x:c r="F270" s="1" t="n">
        <x:v>15</x:v>
      </x:c>
      <x:c r="G270" s="1" t="n">
        <x:v>18</x:v>
      </x:c>
      <x:c r="H270" s="1" t="n">
        <x:v>0</x:v>
      </x:c>
      <x:c r="I270" s="1" t="n">
        <x:v>1</x:v>
      </x:c>
      <x:c r="J270" s="1" t="str">
        <x:v>no</x:v>
      </x:c>
      <x:c r="K270" s="1" t="n">
        <x:f>2*H270+E270+IF(G270&gt;30,2,0)-IF(B270&gt;24,1,0)</x:f>
        <x:v>-1</x:v>
      </x:c>
      <x:c r="L270" s="1" t="str">
        <x:f>IF(K270&gt;=3,"yes","no")</x:f>
        <x:v>no</x:v>
      </x:c>
      <x:c r="M270" s="1"/>
      <x:c r="N270" s="1"/>
      <x:c r="O270" s="1"/>
    </x:row>
    <x:row r="271">
      <x:c r="A271" s="1" t="str">
        <x:v>S0270</x:v>
      </x:c>
      <x:c r="B271" s="1" t="n">
        <x:v>42</x:v>
      </x:c>
      <x:c r="C271" s="1" t="str">
        <x:v>premium</x:v>
      </x:c>
      <x:c r="D271" s="8" t="n">
        <x:v>15.99</x:v>
      </x:c>
      <x:c r="E271" s="1" t="n">
        <x:v>2</x:v>
      </x:c>
      <x:c r="F271" s="1" t="n">
        <x:v>6</x:v>
      </x:c>
      <x:c r="G271" s="1" t="n">
        <x:v>28</x:v>
      </x:c>
      <x:c r="H271" s="1" t="n">
        <x:v>2</x:v>
      </x:c>
      <x:c r="I271" s="1" t="n">
        <x:v>0</x:v>
      </x:c>
      <x:c r="J271" s="1" t="str">
        <x:v>no</x:v>
      </x:c>
      <x:c r="K271" s="1" t="n">
        <x:f>2*H271+E271+IF(G271&gt;30,2,0)-IF(B271&gt;24,1,0)</x:f>
        <x:v>5</x:v>
      </x:c>
      <x:c r="L271" s="1" t="str">
        <x:f>IF(K271&gt;=3,"yes","no")</x:f>
        <x:v>yes</x:v>
      </x:c>
      <x:c r="M271" s="1"/>
      <x:c r="N271" s="1"/>
      <x:c r="O271" s="1"/>
    </x:row>
    <x:row r="272">
      <x:c r="A272" s="1" t="str">
        <x:v>S0271</x:v>
      </x:c>
      <x:c r="B272" s="1" t="n">
        <x:v>28</x:v>
      </x:c>
      <x:c r="C272" s="1" t="str">
        <x:v>premium</x:v>
      </x:c>
      <x:c r="D272" s="8" t="n">
        <x:v>15.99</x:v>
      </x:c>
      <x:c r="E272" s="1" t="n">
        <x:v>0</x:v>
      </x:c>
      <x:c r="F272" s="1" t="n">
        <x:v>15</x:v>
      </x:c>
      <x:c r="G272" s="1" t="n">
        <x:v>11</x:v>
      </x:c>
      <x:c r="H272" s="1" t="n">
        <x:v>0</x:v>
      </x:c>
      <x:c r="I272" s="1" t="n">
        <x:v>1</x:v>
      </x:c>
      <x:c r="J272" s="1" t="str">
        <x:v>no</x:v>
      </x:c>
      <x:c r="K272" s="1" t="n">
        <x:f>2*H272+E272+IF(G272&gt;30,2,0)-IF(B272&gt;24,1,0)</x:f>
        <x:v>-1</x:v>
      </x:c>
      <x:c r="L272" s="1" t="str">
        <x:f>IF(K272&gt;=3,"yes","no")</x:f>
        <x:v>no</x:v>
      </x:c>
      <x:c r="M272" s="1"/>
      <x:c r="N272" s="1"/>
      <x:c r="O272" s="1"/>
    </x:row>
    <x:row r="273">
      <x:c r="A273" s="1" t="str">
        <x:v>S0272</x:v>
      </x:c>
      <x:c r="B273" s="1" t="n">
        <x:v>6</x:v>
      </x:c>
      <x:c r="C273" s="1" t="str">
        <x:v>basic</x:v>
      </x:c>
      <x:c r="D273" s="8" t="n">
        <x:v>9.99</x:v>
      </x:c>
      <x:c r="E273" s="1" t="n">
        <x:v>0</x:v>
      </x:c>
      <x:c r="F273" s="1" t="n">
        <x:v>18</x:v>
      </x:c>
      <x:c r="G273" s="1" t="n">
        <x:v>5</x:v>
      </x:c>
      <x:c r="H273" s="1" t="n">
        <x:v>0</x:v>
      </x:c>
      <x:c r="I273" s="1" t="n">
        <x:v>0</x:v>
      </x:c>
      <x:c r="J273" s="1" t="str">
        <x:v>no</x:v>
      </x:c>
      <x:c r="K273" s="1" t="n">
        <x:f>2*H273+E273+IF(G273&gt;30,2,0)-IF(B273&gt;24,1,0)</x:f>
        <x:v>0</x:v>
      </x:c>
      <x:c r="L273" s="1" t="str">
        <x:f>IF(K273&gt;=3,"yes","no")</x:f>
        <x:v>no</x:v>
      </x:c>
      <x:c r="M273" s="1"/>
      <x:c r="N273" s="1"/>
      <x:c r="O273" s="1"/>
    </x:row>
    <x:row r="274">
      <x:c r="A274" s="1" t="str">
        <x:v>S0273</x:v>
      </x:c>
      <x:c r="B274" s="1" t="n">
        <x:v>6</x:v>
      </x:c>
      <x:c r="C274" s="1" t="str">
        <x:v>basic</x:v>
      </x:c>
      <x:c r="D274" s="8" t="n">
        <x:v>9.99</x:v>
      </x:c>
      <x:c r="E274" s="1" t="n">
        <x:v>0</x:v>
      </x:c>
      <x:c r="F274" s="1" t="n">
        <x:v>17</x:v>
      </x:c>
      <x:c r="G274" s="1" t="n">
        <x:v>4</x:v>
      </x:c>
      <x:c r="H274" s="1" t="n">
        <x:v>0</x:v>
      </x:c>
      <x:c r="I274" s="1" t="n">
        <x:v>0</x:v>
      </x:c>
      <x:c r="J274" s="1" t="str">
        <x:v>no</x:v>
      </x:c>
      <x:c r="K274" s="1" t="n">
        <x:f>2*H274+E274+IF(G274&gt;30,2,0)-IF(B274&gt;24,1,0)</x:f>
        <x:v>0</x:v>
      </x:c>
      <x:c r="L274" s="1" t="str">
        <x:f>IF(K274&gt;=3,"yes","no")</x:f>
        <x:v>no</x:v>
      </x:c>
      <x:c r="M274" s="1"/>
      <x:c r="N274" s="1"/>
      <x:c r="O274" s="1"/>
    </x:row>
    <x:row r="275">
      <x:c r="A275" s="1" t="str">
        <x:v>S0274</x:v>
      </x:c>
      <x:c r="B275" s="1" t="n">
        <x:v>29</x:v>
      </x:c>
      <x:c r="C275" s="1" t="str">
        <x:v>basic</x:v>
      </x:c>
      <x:c r="D275" s="8" t="n">
        <x:v>9.99</x:v>
      </x:c>
      <x:c r="E275" s="1" t="n">
        <x:v>0</x:v>
      </x:c>
      <x:c r="F275" s="1" t="n">
        <x:v>22</x:v>
      </x:c>
      <x:c r="G275" s="1" t="n">
        <x:v>8</x:v>
      </x:c>
      <x:c r="H275" s="1" t="n">
        <x:v>1</x:v>
      </x:c>
      <x:c r="I275" s="1" t="n">
        <x:v>1</x:v>
      </x:c>
      <x:c r="J275" s="1" t="str">
        <x:v>no</x:v>
      </x:c>
      <x:c r="K275" s="1" t="n">
        <x:f>2*H275+E275+IF(G275&gt;30,2,0)-IF(B275&gt;24,1,0)</x:f>
        <x:v>1</x:v>
      </x:c>
      <x:c r="L275" s="1" t="str">
        <x:f>IF(K275&gt;=3,"yes","no")</x:f>
        <x:v>no</x:v>
      </x:c>
      <x:c r="M275" s="1"/>
      <x:c r="N275" s="1"/>
      <x:c r="O275" s="1"/>
    </x:row>
    <x:row r="276">
      <x:c r="A276" s="1" t="str">
        <x:v>S0275</x:v>
      </x:c>
      <x:c r="B276" s="1" t="n">
        <x:v>9</x:v>
      </x:c>
      <x:c r="C276" s="1" t="str">
        <x:v>basic</x:v>
      </x:c>
      <x:c r="D276" s="8" t="n">
        <x:v>9.99</x:v>
      </x:c>
      <x:c r="E276" s="1" t="n">
        <x:v>1</x:v>
      </x:c>
      <x:c r="F276" s="1" t="n">
        <x:v>23</x:v>
      </x:c>
      <x:c r="G276" s="1" t="n">
        <x:v>7</x:v>
      </x:c>
      <x:c r="H276" s="1" t="n">
        <x:v>0</x:v>
      </x:c>
      <x:c r="I276" s="1" t="n">
        <x:v>0</x:v>
      </x:c>
      <x:c r="J276" s="1" t="str">
        <x:v>no</x:v>
      </x:c>
      <x:c r="K276" s="1" t="n">
        <x:f>2*H276+E276+IF(G276&gt;30,2,0)-IF(B276&gt;24,1,0)</x:f>
        <x:v>1</x:v>
      </x:c>
      <x:c r="L276" s="1" t="str">
        <x:f>IF(K276&gt;=3,"yes","no")</x:f>
        <x:v>no</x:v>
      </x:c>
      <x:c r="M276" s="1"/>
      <x:c r="N276" s="1"/>
      <x:c r="O276" s="1"/>
    </x:row>
    <x:row r="277">
      <x:c r="A277" s="1" t="str">
        <x:v>S0276</x:v>
      </x:c>
      <x:c r="B277" s="1" t="n">
        <x:v>40</x:v>
      </x:c>
      <x:c r="C277" s="1" t="str">
        <x:v>basic</x:v>
      </x:c>
      <x:c r="D277" s="8" t="n">
        <x:v>9.99</x:v>
      </x:c>
      <x:c r="E277" s="1" t="n">
        <x:v>1</x:v>
      </x:c>
      <x:c r="F277" s="1" t="n">
        <x:v>21</x:v>
      </x:c>
      <x:c r="G277" s="1" t="n">
        <x:v>0</x:v>
      </x:c>
      <x:c r="H277" s="1" t="n">
        <x:v>0</x:v>
      </x:c>
      <x:c r="I277" s="1" t="n">
        <x:v>0</x:v>
      </x:c>
      <x:c r="J277" s="1" t="str">
        <x:v>no</x:v>
      </x:c>
      <x:c r="K277" s="1" t="n">
        <x:f>2*H277+E277+IF(G277&gt;30,2,0)-IF(B277&gt;24,1,0)</x:f>
        <x:v>0</x:v>
      </x:c>
      <x:c r="L277" s="1" t="str">
        <x:f>IF(K277&gt;=3,"yes","no")</x:f>
        <x:v>no</x:v>
      </x:c>
      <x:c r="M277" s="1"/>
      <x:c r="N277" s="1"/>
      <x:c r="O277" s="1"/>
    </x:row>
    <x:row r="278">
      <x:c r="A278" s="1" t="str">
        <x:v>S0277</x:v>
      </x:c>
      <x:c r="B278" s="1" t="n">
        <x:v>6</x:v>
      </x:c>
      <x:c r="C278" s="1" t="str">
        <x:v>basic</x:v>
      </x:c>
      <x:c r="D278" s="8" t="n">
        <x:v>9.99</x:v>
      </x:c>
      <x:c r="E278" s="1" t="n">
        <x:v>0</x:v>
      </x:c>
      <x:c r="F278" s="1" t="n">
        <x:v>22</x:v>
      </x:c>
      <x:c r="G278" s="1" t="n">
        <x:v>2</x:v>
      </x:c>
      <x:c r="H278" s="1" t="n">
        <x:v>1</x:v>
      </x:c>
      <x:c r="I278" s="1" t="n">
        <x:v>0</x:v>
      </x:c>
      <x:c r="J278" s="1" t="str">
        <x:v>no</x:v>
      </x:c>
      <x:c r="K278" s="1" t="n">
        <x:f>2*H278+E278+IF(G278&gt;30,2,0)-IF(B278&gt;24,1,0)</x:f>
        <x:v>2</x:v>
      </x:c>
      <x:c r="L278" s="1" t="str">
        <x:f>IF(K278&gt;=3,"yes","no")</x:f>
        <x:v>no</x:v>
      </x:c>
      <x:c r="M278" s="1"/>
      <x:c r="N278" s="1"/>
      <x:c r="O278" s="1"/>
    </x:row>
    <x:row r="279">
      <x:c r="A279" s="1" t="str">
        <x:v>S0278</x:v>
      </x:c>
      <x:c r="B279" s="1" t="n">
        <x:v>26</x:v>
      </x:c>
      <x:c r="C279" s="1" t="str">
        <x:v>basic</x:v>
      </x:c>
      <x:c r="D279" s="8" t="n">
        <x:v>9.99</x:v>
      </x:c>
      <x:c r="E279" s="1" t="n">
        <x:v>1</x:v>
      </x:c>
      <x:c r="F279" s="1" t="n">
        <x:v>7</x:v>
      </x:c>
      <x:c r="G279" s="1" t="n">
        <x:v>29</x:v>
      </x:c>
      <x:c r="H279" s="1" t="n">
        <x:v>0</x:v>
      </x:c>
      <x:c r="I279" s="1" t="n">
        <x:v>1</x:v>
      </x:c>
      <x:c r="J279" s="1" t="str">
        <x:v>no</x:v>
      </x:c>
      <x:c r="K279" s="1" t="n">
        <x:f>2*H279+E279+IF(G279&gt;30,2,0)-IF(B279&gt;24,1,0)</x:f>
        <x:v>0</x:v>
      </x:c>
      <x:c r="L279" s="1" t="str">
        <x:f>IF(K279&gt;=3,"yes","no")</x:f>
        <x:v>no</x:v>
      </x:c>
      <x:c r="M279" s="1"/>
      <x:c r="N279" s="1"/>
      <x:c r="O279" s="1"/>
    </x:row>
    <x:row r="280">
      <x:c r="A280" s="1" t="str">
        <x:v>S0279</x:v>
      </x:c>
      <x:c r="B280" s="1" t="n">
        <x:v>25</x:v>
      </x:c>
      <x:c r="C280" s="1" t="str">
        <x:v>basic</x:v>
      </x:c>
      <x:c r="D280" s="8" t="n">
        <x:v>9.99</x:v>
      </x:c>
      <x:c r="E280" s="1" t="n">
        <x:v>1</x:v>
      </x:c>
      <x:c r="F280" s="1" t="n">
        <x:v>9</x:v>
      </x:c>
      <x:c r="G280" s="1" t="n">
        <x:v>0</x:v>
      </x:c>
      <x:c r="H280" s="1" t="n">
        <x:v>0</x:v>
      </x:c>
      <x:c r="I280" s="1" t="n">
        <x:v>0</x:v>
      </x:c>
      <x:c r="J280" s="1" t="str">
        <x:v>no</x:v>
      </x:c>
      <x:c r="K280" s="1" t="n">
        <x:f>2*H280+E280+IF(G280&gt;30,2,0)-IF(B280&gt;24,1,0)</x:f>
        <x:v>0</x:v>
      </x:c>
      <x:c r="L280" s="1" t="str">
        <x:f>IF(K280&gt;=3,"yes","no")</x:f>
        <x:v>no</x:v>
      </x:c>
      <x:c r="M280" s="1"/>
      <x:c r="N280" s="1"/>
      <x:c r="O280" s="1"/>
    </x:row>
    <x:row r="281">
      <x:c r="A281" s="1" t="str">
        <x:v>S0280</x:v>
      </x:c>
      <x:c r="B281" s="1" t="n">
        <x:v>36</x:v>
      </x:c>
      <x:c r="C281" s="1" t="str">
        <x:v>premium</x:v>
      </x:c>
      <x:c r="D281" s="8" t="n">
        <x:v>15.99</x:v>
      </x:c>
      <x:c r="E281" s="1" t="n">
        <x:v>0</x:v>
      </x:c>
      <x:c r="F281" s="1" t="n">
        <x:v>33</x:v>
      </x:c>
      <x:c r="G281" s="1" t="n">
        <x:v>4</x:v>
      </x:c>
      <x:c r="H281" s="1" t="n">
        <x:v>0</x:v>
      </x:c>
      <x:c r="I281" s="1" t="n">
        <x:v>0</x:v>
      </x:c>
      <x:c r="J281" s="1" t="str">
        <x:v>no</x:v>
      </x:c>
      <x:c r="K281" s="1" t="n">
        <x:f>2*H281+E281+IF(G281&gt;30,2,0)-IF(B281&gt;24,1,0)</x:f>
        <x:v>-1</x:v>
      </x:c>
      <x:c r="L281" s="1" t="str">
        <x:f>IF(K281&gt;=3,"yes","no")</x:f>
        <x:v>no</x:v>
      </x:c>
      <x:c r="M281" s="1"/>
      <x:c r="N281" s="1"/>
      <x:c r="O281" s="1"/>
    </x:row>
    <x:row r="282">
      <x:c r="A282" s="1" t="str">
        <x:v>S0281</x:v>
      </x:c>
      <x:c r="B282" s="1" t="n">
        <x:v>9</x:v>
      </x:c>
      <x:c r="C282" s="1" t="str">
        <x:v>premium</x:v>
      </x:c>
      <x:c r="D282" s="8" t="n">
        <x:v>15.99</x:v>
      </x:c>
      <x:c r="E282" s="1" t="n">
        <x:v>0</x:v>
      </x:c>
      <x:c r="F282" s="1" t="n">
        <x:v>0</x:v>
      </x:c>
      <x:c r="G282" s="1" t="n">
        <x:v>45</x:v>
      </x:c>
      <x:c r="H282" s="1" t="n">
        <x:v>0</x:v>
      </x:c>
      <x:c r="I282" s="1" t="n">
        <x:v>0</x:v>
      </x:c>
      <x:c r="J282" s="1" t="str">
        <x:v>no</x:v>
      </x:c>
      <x:c r="K282" s="1" t="n">
        <x:f>2*H282+E282+IF(G282&gt;30,2,0)-IF(B282&gt;24,1,0)</x:f>
        <x:v>2</x:v>
      </x:c>
      <x:c r="L282" s="1" t="str">
        <x:f>IF(K282&gt;=3,"yes","no")</x:f>
        <x:v>no</x:v>
      </x:c>
      <x:c r="M282" s="1"/>
      <x:c r="N282" s="1"/>
      <x:c r="O282" s="1"/>
    </x:row>
    <x:row r="283">
      <x:c r="A283" s="1" t="str">
        <x:v>S0282</x:v>
      </x:c>
      <x:c r="B283" s="1" t="n">
        <x:v>44</x:v>
      </x:c>
      <x:c r="C283" s="1" t="str">
        <x:v>basic</x:v>
      </x:c>
      <x:c r="D283" s="8" t="n">
        <x:v>9.99</x:v>
      </x:c>
      <x:c r="E283" s="1" t="n">
        <x:v>1</x:v>
      </x:c>
      <x:c r="F283" s="1" t="n">
        <x:v>20</x:v>
      </x:c>
      <x:c r="G283" s="1" t="n">
        <x:v>4</x:v>
      </x:c>
      <x:c r="H283" s="1" t="n">
        <x:v>0</x:v>
      </x:c>
      <x:c r="I283" s="1" t="n">
        <x:v>0</x:v>
      </x:c>
      <x:c r="J283" s="1" t="str">
        <x:v>no</x:v>
      </x:c>
      <x:c r="K283" s="1" t="n">
        <x:f>2*H283+E283+IF(G283&gt;30,2,0)-IF(B283&gt;24,1,0)</x:f>
        <x:v>0</x:v>
      </x:c>
      <x:c r="L283" s="1" t="str">
        <x:f>IF(K283&gt;=3,"yes","no")</x:f>
        <x:v>no</x:v>
      </x:c>
      <x:c r="M283" s="1"/>
      <x:c r="N283" s="1"/>
      <x:c r="O283" s="1"/>
    </x:row>
    <x:row r="284">
      <x:c r="A284" s="1" t="str">
        <x:v>S0283</x:v>
      </x:c>
      <x:c r="B284" s="1" t="n">
        <x:v>1</x:v>
      </x:c>
      <x:c r="C284" s="1" t="str">
        <x:v>premium</x:v>
      </x:c>
      <x:c r="D284" s="8" t="n">
        <x:v>15.99</x:v>
      </x:c>
      <x:c r="E284" s="1" t="n">
        <x:v>2</x:v>
      </x:c>
      <x:c r="F284" s="1" t="n">
        <x:v>22</x:v>
      </x:c>
      <x:c r="G284" s="1" t="n">
        <x:v>5</x:v>
      </x:c>
      <x:c r="H284" s="1" t="n">
        <x:v>0</x:v>
      </x:c>
      <x:c r="I284" s="1" t="n">
        <x:v>0</x:v>
      </x:c>
      <x:c r="J284" s="1" t="str">
        <x:v>yes</x:v>
      </x:c>
      <x:c r="K284" s="1" t="n">
        <x:f>2*H284+E284+IF(G284&gt;30,2,0)-IF(B284&gt;24,1,0)</x:f>
        <x:v>2</x:v>
      </x:c>
      <x:c r="L284" s="1" t="str">
        <x:f>IF(K284&gt;=3,"yes","no")</x:f>
        <x:v>no</x:v>
      </x:c>
      <x:c r="M284" s="1"/>
      <x:c r="N284" s="1"/>
      <x:c r="O284" s="1"/>
    </x:row>
    <x:row r="285">
      <x:c r="A285" s="1" t="str">
        <x:v>S0284</x:v>
      </x:c>
      <x:c r="B285" s="1" t="n">
        <x:v>4</x:v>
      </x:c>
      <x:c r="C285" s="1" t="str">
        <x:v>basic</x:v>
      </x:c>
      <x:c r="D285" s="8" t="n">
        <x:v>9.99</x:v>
      </x:c>
      <x:c r="E285" s="1" t="n">
        <x:v>0</x:v>
      </x:c>
      <x:c r="F285" s="1" t="n">
        <x:v>16</x:v>
      </x:c>
      <x:c r="G285" s="1" t="n">
        <x:v>29</x:v>
      </x:c>
      <x:c r="H285" s="1" t="n">
        <x:v>0</x:v>
      </x:c>
      <x:c r="I285" s="1" t="n">
        <x:v>1</x:v>
      </x:c>
      <x:c r="J285" s="1" t="str">
        <x:v>no</x:v>
      </x:c>
      <x:c r="K285" s="1" t="n">
        <x:f>2*H285+E285+IF(G285&gt;30,2,0)-IF(B285&gt;24,1,0)</x:f>
        <x:v>0</x:v>
      </x:c>
      <x:c r="L285" s="1" t="str">
        <x:f>IF(K285&gt;=3,"yes","no")</x:f>
        <x:v>no</x:v>
      </x:c>
      <x:c r="M285" s="1"/>
      <x:c r="N285" s="1"/>
      <x:c r="O285" s="1"/>
    </x:row>
    <x:row r="286">
      <x:c r="A286" s="1" t="str">
        <x:v>S0285</x:v>
      </x:c>
      <x:c r="B286" s="1" t="n">
        <x:v>29</x:v>
      </x:c>
      <x:c r="C286" s="1" t="str">
        <x:v>premium</x:v>
      </x:c>
      <x:c r="D286" s="8" t="n">
        <x:v>15.99</x:v>
      </x:c>
      <x:c r="E286" s="1" t="n">
        <x:v>1</x:v>
      </x:c>
      <x:c r="F286" s="1" t="n">
        <x:v>1</x:v>
      </x:c>
      <x:c r="G286" s="1" t="n">
        <x:v>25</x:v>
      </x:c>
      <x:c r="H286" s="1" t="n">
        <x:v>0</x:v>
      </x:c>
      <x:c r="I286" s="1" t="n">
        <x:v>1</x:v>
      </x:c>
      <x:c r="J286" s="1" t="str">
        <x:v>yes</x:v>
      </x:c>
      <x:c r="K286" s="1" t="n">
        <x:f>2*H286+E286+IF(G286&gt;30,2,0)-IF(B286&gt;24,1,0)</x:f>
        <x:v>0</x:v>
      </x:c>
      <x:c r="L286" s="1" t="str">
        <x:f>IF(K286&gt;=3,"yes","no")</x:f>
        <x:v>no</x:v>
      </x:c>
      <x:c r="M286" s="1"/>
      <x:c r="N286" s="1"/>
      <x:c r="O286" s="1"/>
    </x:row>
    <x:row r="287">
      <x:c r="A287" s="1" t="str">
        <x:v>S0286</x:v>
      </x:c>
      <x:c r="B287" s="1" t="n">
        <x:v>10</x:v>
      </x:c>
      <x:c r="C287" s="1" t="str">
        <x:v>premium</x:v>
      </x:c>
      <x:c r="D287" s="8" t="n">
        <x:v>15.99</x:v>
      </x:c>
      <x:c r="E287" s="1" t="n">
        <x:v>1</x:v>
      </x:c>
      <x:c r="F287" s="1" t="n">
        <x:v>0</x:v>
      </x:c>
      <x:c r="G287" s="1" t="n">
        <x:v>37</x:v>
      </x:c>
      <x:c r="H287" s="1" t="n">
        <x:v>0</x:v>
      </x:c>
      <x:c r="I287" s="1" t="n">
        <x:v>0</x:v>
      </x:c>
      <x:c r="J287" s="1" t="str">
        <x:v>yes</x:v>
      </x:c>
      <x:c r="K287" s="1" t="n">
        <x:f>2*H287+E287+IF(G287&gt;30,2,0)-IF(B287&gt;24,1,0)</x:f>
        <x:v>3</x:v>
      </x:c>
      <x:c r="L287" s="1" t="str">
        <x:f>IF(K287&gt;=3,"yes","no")</x:f>
        <x:v>yes</x:v>
      </x:c>
      <x:c r="M287" s="1"/>
      <x:c r="N287" s="1"/>
      <x:c r="O287" s="1"/>
    </x:row>
    <x:row r="288">
      <x:c r="A288" s="1" t="str">
        <x:v>S0287</x:v>
      </x:c>
      <x:c r="B288" s="1" t="n">
        <x:v>47</x:v>
      </x:c>
      <x:c r="C288" s="1" t="str">
        <x:v>basic</x:v>
      </x:c>
      <x:c r="D288" s="8" t="n">
        <x:v>9.99</x:v>
      </x:c>
      <x:c r="E288" s="1" t="n">
        <x:v>0</x:v>
      </x:c>
      <x:c r="F288" s="1" t="n">
        <x:v>17</x:v>
      </x:c>
      <x:c r="G288" s="1" t="n">
        <x:v>9</x:v>
      </x:c>
      <x:c r="H288" s="1" t="n">
        <x:v>0</x:v>
      </x:c>
      <x:c r="I288" s="1" t="n">
        <x:v>0</x:v>
      </x:c>
      <x:c r="J288" s="1" t="str">
        <x:v>no</x:v>
      </x:c>
      <x:c r="K288" s="1" t="n">
        <x:f>2*H288+E288+IF(G288&gt;30,2,0)-IF(B288&gt;24,1,0)</x:f>
        <x:v>-1</x:v>
      </x:c>
      <x:c r="L288" s="1" t="str">
        <x:f>IF(K288&gt;=3,"yes","no")</x:f>
        <x:v>no</x:v>
      </x:c>
      <x:c r="M288" s="1"/>
      <x:c r="N288" s="1"/>
      <x:c r="O288" s="1"/>
    </x:row>
    <x:row r="289">
      <x:c r="A289" s="1" t="str">
        <x:v>S0288</x:v>
      </x:c>
      <x:c r="B289" s="1" t="n">
        <x:v>48</x:v>
      </x:c>
      <x:c r="C289" s="1" t="str">
        <x:v>basic</x:v>
      </x:c>
      <x:c r="D289" s="8" t="n">
        <x:v>9.99</x:v>
      </x:c>
      <x:c r="E289" s="1" t="n">
        <x:v>0</x:v>
      </x:c>
      <x:c r="F289" s="1" t="n">
        <x:v>6</x:v>
      </x:c>
      <x:c r="G289" s="1" t="n">
        <x:v>20</x:v>
      </x:c>
      <x:c r="H289" s="1" t="n">
        <x:v>0</x:v>
      </x:c>
      <x:c r="I289" s="1" t="n">
        <x:v>0</x:v>
      </x:c>
      <x:c r="J289" s="1" t="str">
        <x:v>no</x:v>
      </x:c>
      <x:c r="K289" s="1" t="n">
        <x:f>2*H289+E289+IF(G289&gt;30,2,0)-IF(B289&gt;24,1,0)</x:f>
        <x:v>-1</x:v>
      </x:c>
      <x:c r="L289" s="1" t="str">
        <x:f>IF(K289&gt;=3,"yes","no")</x:f>
        <x:v>no</x:v>
      </x:c>
      <x:c r="M289" s="1"/>
      <x:c r="N289" s="1"/>
      <x:c r="O289" s="1"/>
    </x:row>
    <x:row r="290">
      <x:c r="A290" s="1" t="str">
        <x:v>S0289</x:v>
      </x:c>
      <x:c r="B290" s="1" t="n">
        <x:v>46</x:v>
      </x:c>
      <x:c r="C290" s="1" t="str">
        <x:v>premium</x:v>
      </x:c>
      <x:c r="D290" s="8" t="n">
        <x:v>15.99</x:v>
      </x:c>
      <x:c r="E290" s="1" t="n">
        <x:v>1</x:v>
      </x:c>
      <x:c r="F290" s="1" t="n">
        <x:v>21</x:v>
      </x:c>
      <x:c r="G290" s="1" t="n">
        <x:v>5</x:v>
      </x:c>
      <x:c r="H290" s="1" t="n">
        <x:v>0</x:v>
      </x:c>
      <x:c r="I290" s="1" t="n">
        <x:v>0</x:v>
      </x:c>
      <x:c r="J290" s="1" t="str">
        <x:v>no</x:v>
      </x:c>
      <x:c r="K290" s="1" t="n">
        <x:f>2*H290+E290+IF(G290&gt;30,2,0)-IF(B290&gt;24,1,0)</x:f>
        <x:v>0</x:v>
      </x:c>
      <x:c r="L290" s="1" t="str">
        <x:f>IF(K290&gt;=3,"yes","no")</x:f>
        <x:v>no</x:v>
      </x:c>
      <x:c r="M290" s="1"/>
      <x:c r="N290" s="1"/>
      <x:c r="O290" s="1"/>
    </x:row>
    <x:row r="291">
      <x:c r="A291" s="1" t="str">
        <x:v>S0290</x:v>
      </x:c>
      <x:c r="B291" s="1" t="n">
        <x:v>34</x:v>
      </x:c>
      <x:c r="C291" s="1" t="str">
        <x:v>basic</x:v>
      </x:c>
      <x:c r="D291" s="8" t="n">
        <x:v>9.99</x:v>
      </x:c>
      <x:c r="E291" s="1" t="n">
        <x:v>0</x:v>
      </x:c>
      <x:c r="F291" s="1" t="n">
        <x:v>14</x:v>
      </x:c>
      <x:c r="G291" s="1" t="n">
        <x:v>20</x:v>
      </x:c>
      <x:c r="H291" s="1" t="n">
        <x:v>0</x:v>
      </x:c>
      <x:c r="I291" s="1" t="n">
        <x:v>0</x:v>
      </x:c>
      <x:c r="J291" s="1" t="str">
        <x:v>no</x:v>
      </x:c>
      <x:c r="K291" s="1" t="n">
        <x:f>2*H291+E291+IF(G291&gt;30,2,0)-IF(B291&gt;24,1,0)</x:f>
        <x:v>-1</x:v>
      </x:c>
      <x:c r="L291" s="1" t="str">
        <x:f>IF(K291&gt;=3,"yes","no")</x:f>
        <x:v>no</x:v>
      </x:c>
      <x:c r="M291" s="1"/>
      <x:c r="N291" s="1"/>
      <x:c r="O291" s="1"/>
    </x:row>
    <x:row r="292">
      <x:c r="A292" s="1" t="str">
        <x:v>S0291</x:v>
      </x:c>
      <x:c r="B292" s="1" t="n">
        <x:v>36</x:v>
      </x:c>
      <x:c r="C292" s="1" t="str">
        <x:v>basic</x:v>
      </x:c>
      <x:c r="D292" s="8" t="n">
        <x:v>9.99</x:v>
      </x:c>
      <x:c r="E292" s="1" t="n">
        <x:v>2</x:v>
      </x:c>
      <x:c r="F292" s="1" t="n">
        <x:v>0</x:v>
      </x:c>
      <x:c r="G292" s="1" t="n">
        <x:v>42</x:v>
      </x:c>
      <x:c r="H292" s="1" t="n">
        <x:v>0</x:v>
      </x:c>
      <x:c r="I292" s="1" t="n">
        <x:v>0</x:v>
      </x:c>
      <x:c r="J292" s="1" t="str">
        <x:v>yes</x:v>
      </x:c>
      <x:c r="K292" s="1" t="n">
        <x:f>2*H292+E292+IF(G292&gt;30,2,0)-IF(B292&gt;24,1,0)</x:f>
        <x:v>3</x:v>
      </x:c>
      <x:c r="L292" s="1" t="str">
        <x:f>IF(K292&gt;=3,"yes","no")</x:f>
        <x:v>yes</x:v>
      </x:c>
      <x:c r="M292" s="1"/>
      <x:c r="N292" s="1"/>
      <x:c r="O292" s="1"/>
    </x:row>
    <x:row r="293">
      <x:c r="A293" s="1" t="str">
        <x:v>S0292</x:v>
      </x:c>
      <x:c r="B293" s="1" t="n">
        <x:v>44</x:v>
      </x:c>
      <x:c r="C293" s="1" t="str">
        <x:v>basic</x:v>
      </x:c>
      <x:c r="D293" s="8" t="n">
        <x:v>9.99</x:v>
      </x:c>
      <x:c r="E293" s="1" t="n">
        <x:v>0</x:v>
      </x:c>
      <x:c r="F293" s="1" t="n">
        <x:v>26</x:v>
      </x:c>
      <x:c r="G293" s="1" t="n">
        <x:v>6</x:v>
      </x:c>
      <x:c r="H293" s="1" t="n">
        <x:v>0</x:v>
      </x:c>
      <x:c r="I293" s="1" t="n">
        <x:v>0</x:v>
      </x:c>
      <x:c r="J293" s="1" t="str">
        <x:v>no</x:v>
      </x:c>
      <x:c r="K293" s="1" t="n">
        <x:f>2*H293+E293+IF(G293&gt;30,2,0)-IF(B293&gt;24,1,0)</x:f>
        <x:v>-1</x:v>
      </x:c>
      <x:c r="L293" s="1" t="str">
        <x:f>IF(K293&gt;=3,"yes","no")</x:f>
        <x:v>no</x:v>
      </x:c>
      <x:c r="M293" s="1"/>
      <x:c r="N293" s="1"/>
      <x:c r="O293" s="1"/>
    </x:row>
    <x:row r="294">
      <x:c r="A294" s="1" t="str">
        <x:v>S0293</x:v>
      </x:c>
      <x:c r="B294" s="1" t="n">
        <x:v>27</x:v>
      </x:c>
      <x:c r="C294" s="1" t="str">
        <x:v>basic</x:v>
      </x:c>
      <x:c r="D294" s="8" t="n">
        <x:v>9.99</x:v>
      </x:c>
      <x:c r="E294" s="1" t="n">
        <x:v>3</x:v>
      </x:c>
      <x:c r="F294" s="1" t="n">
        <x:v>19</x:v>
      </x:c>
      <x:c r="G294" s="1" t="n">
        <x:v>20</x:v>
      </x:c>
      <x:c r="H294" s="1" t="n">
        <x:v>0</x:v>
      </x:c>
      <x:c r="I294" s="1" t="n">
        <x:v>0</x:v>
      </x:c>
      <x:c r="J294" s="1" t="str">
        <x:v>no</x:v>
      </x:c>
      <x:c r="K294" s="1" t="n">
        <x:f>2*H294+E294+IF(G294&gt;30,2,0)-IF(B294&gt;24,1,0)</x:f>
        <x:v>2</x:v>
      </x:c>
      <x:c r="L294" s="1" t="str">
        <x:f>IF(K294&gt;=3,"yes","no")</x:f>
        <x:v>no</x:v>
      </x:c>
      <x:c r="M294" s="1"/>
      <x:c r="N294" s="1"/>
      <x:c r="O294" s="1"/>
    </x:row>
    <x:row r="295">
      <x:c r="A295" s="1" t="str">
        <x:v>S0294</x:v>
      </x:c>
      <x:c r="B295" s="1" t="n">
        <x:v>31</x:v>
      </x:c>
      <x:c r="C295" s="1" t="str">
        <x:v>basic</x:v>
      </x:c>
      <x:c r="D295" s="8" t="n">
        <x:v>9.99</x:v>
      </x:c>
      <x:c r="E295" s="1" t="n">
        <x:v>0</x:v>
      </x:c>
      <x:c r="F295" s="1" t="n">
        <x:v>0</x:v>
      </x:c>
      <x:c r="G295" s="1" t="n">
        <x:v>47</x:v>
      </x:c>
      <x:c r="H295" s="1" t="n">
        <x:v>0</x:v>
      </x:c>
      <x:c r="I295" s="1" t="n">
        <x:v>0</x:v>
      </x:c>
      <x:c r="J295" s="1" t="str">
        <x:v>yes</x:v>
      </x:c>
      <x:c r="K295" s="1" t="n">
        <x:f>2*H295+E295+IF(G295&gt;30,2,0)-IF(B295&gt;24,1,0)</x:f>
        <x:v>1</x:v>
      </x:c>
      <x:c r="L295" s="1" t="str">
        <x:f>IF(K295&gt;=3,"yes","no")</x:f>
        <x:v>no</x:v>
      </x:c>
      <x:c r="M295" s="1"/>
      <x:c r="N295" s="1"/>
      <x:c r="O295" s="1"/>
    </x:row>
    <x:row r="296">
      <x:c r="A296" s="1" t="str">
        <x:v>S0295</x:v>
      </x:c>
      <x:c r="B296" s="1" t="n">
        <x:v>20</x:v>
      </x:c>
      <x:c r="C296" s="1" t="str">
        <x:v>basic</x:v>
      </x:c>
      <x:c r="D296" s="8" t="n">
        <x:v>9.99</x:v>
      </x:c>
      <x:c r="E296" s="1" t="n">
        <x:v>3</x:v>
      </x:c>
      <x:c r="F296" s="1" t="n">
        <x:v>21</x:v>
      </x:c>
      <x:c r="G296" s="1" t="n">
        <x:v>3</x:v>
      </x:c>
      <x:c r="H296" s="1" t="n">
        <x:v>1</x:v>
      </x:c>
      <x:c r="I296" s="1" t="n">
        <x:v>0</x:v>
      </x:c>
      <x:c r="J296" s="1" t="str">
        <x:v>no</x:v>
      </x:c>
      <x:c r="K296" s="1" t="n">
        <x:f>2*H296+E296+IF(G296&gt;30,2,0)-IF(B296&gt;24,1,0)</x:f>
        <x:v>5</x:v>
      </x:c>
      <x:c r="L296" s="1" t="str">
        <x:f>IF(K296&gt;=3,"yes","no")</x:f>
        <x:v>yes</x:v>
      </x:c>
      <x:c r="M296" s="1"/>
      <x:c r="N296" s="1"/>
      <x:c r="O296" s="1"/>
    </x:row>
    <x:row r="297">
      <x:c r="A297" s="1" t="str">
        <x:v>S0296</x:v>
      </x:c>
      <x:c r="B297" s="1" t="n">
        <x:v>37</x:v>
      </x:c>
      <x:c r="C297" s="1" t="str">
        <x:v>premium</x:v>
      </x:c>
      <x:c r="D297" s="8" t="n">
        <x:v>15.99</x:v>
      </x:c>
      <x:c r="E297" s="1" t="n">
        <x:v>0</x:v>
      </x:c>
      <x:c r="F297" s="1" t="n">
        <x:v>18</x:v>
      </x:c>
      <x:c r="G297" s="1" t="n">
        <x:v>13</x:v>
      </x:c>
      <x:c r="H297" s="1" t="n">
        <x:v>0</x:v>
      </x:c>
      <x:c r="I297" s="1" t="n">
        <x:v>1</x:v>
      </x:c>
      <x:c r="J297" s="1" t="str">
        <x:v>no</x:v>
      </x:c>
      <x:c r="K297" s="1" t="n">
        <x:f>2*H297+E297+IF(G297&gt;30,2,0)-IF(B297&gt;24,1,0)</x:f>
        <x:v>-1</x:v>
      </x:c>
      <x:c r="L297" s="1" t="str">
        <x:f>IF(K297&gt;=3,"yes","no")</x:f>
        <x:v>no</x:v>
      </x:c>
      <x:c r="M297" s="1"/>
      <x:c r="N297" s="1"/>
      <x:c r="O297" s="1"/>
    </x:row>
    <x:row r="298">
      <x:c r="A298" s="1" t="str">
        <x:v>S0297</x:v>
      </x:c>
      <x:c r="B298" s="1" t="n">
        <x:v>40</x:v>
      </x:c>
      <x:c r="C298" s="1" t="str">
        <x:v>premium</x:v>
      </x:c>
      <x:c r="D298" s="8" t="n">
        <x:v>15.99</x:v>
      </x:c>
      <x:c r="E298" s="1" t="n">
        <x:v>0</x:v>
      </x:c>
      <x:c r="F298" s="1" t="n">
        <x:v>0</x:v>
      </x:c>
      <x:c r="G298" s="1" t="n">
        <x:v>51</x:v>
      </x:c>
      <x:c r="H298" s="1" t="n">
        <x:v>0</x:v>
      </x:c>
      <x:c r="I298" s="1" t="n">
        <x:v>0</x:v>
      </x:c>
      <x:c r="J298" s="1" t="str">
        <x:v>yes</x:v>
      </x:c>
      <x:c r="K298" s="1" t="n">
        <x:f>2*H298+E298+IF(G298&gt;30,2,0)-IF(B298&gt;24,1,0)</x:f>
        <x:v>1</x:v>
      </x:c>
      <x:c r="L298" s="1" t="str">
        <x:f>IF(K298&gt;=3,"yes","no")</x:f>
        <x:v>no</x:v>
      </x:c>
      <x:c r="M298" s="1"/>
      <x:c r="N298" s="1"/>
      <x:c r="O298" s="1"/>
    </x:row>
    <x:row r="299">
      <x:c r="A299" s="1" t="str">
        <x:v>S0298</x:v>
      </x:c>
      <x:c r="B299" s="1" t="n">
        <x:v>24</x:v>
      </x:c>
      <x:c r="C299" s="1" t="str">
        <x:v>basic</x:v>
      </x:c>
      <x:c r="D299" s="8" t="n">
        <x:v>9.99</x:v>
      </x:c>
      <x:c r="E299" s="1" t="n">
        <x:v>1</x:v>
      </x:c>
      <x:c r="F299" s="1" t="n">
        <x:v>0</x:v>
      </x:c>
      <x:c r="G299" s="1" t="n">
        <x:v>35</x:v>
      </x:c>
      <x:c r="H299" s="1" t="n">
        <x:v>0</x:v>
      </x:c>
      <x:c r="I299" s="1" t="n">
        <x:v>0</x:v>
      </x:c>
      <x:c r="J299" s="1" t="str">
        <x:v>yes</x:v>
      </x:c>
      <x:c r="K299" s="1" t="n">
        <x:f>2*H299+E299+IF(G299&gt;30,2,0)-IF(B299&gt;24,1,0)</x:f>
        <x:v>3</x:v>
      </x:c>
      <x:c r="L299" s="1" t="str">
        <x:f>IF(K299&gt;=3,"yes","no")</x:f>
        <x:v>yes</x:v>
      </x:c>
      <x:c r="M299" s="1"/>
      <x:c r="N299" s="1"/>
      <x:c r="O299" s="1"/>
    </x:row>
    <x:row r="300">
      <x:c r="A300" s="1" t="str">
        <x:v>S0299</x:v>
      </x:c>
      <x:c r="B300" s="1" t="n">
        <x:v>31</x:v>
      </x:c>
      <x:c r="C300" s="1" t="str">
        <x:v>basic</x:v>
      </x:c>
      <x:c r="D300" s="8" t="n">
        <x:v>9.99</x:v>
      </x:c>
      <x:c r="E300" s="1" t="n">
        <x:v>0</x:v>
      </x:c>
      <x:c r="F300" s="1" t="n">
        <x:v>0</x:v>
      </x:c>
      <x:c r="G300" s="1" t="n">
        <x:v>48</x:v>
      </x:c>
      <x:c r="H300" s="1" t="n">
        <x:v>0</x:v>
      </x:c>
      <x:c r="I300" s="1" t="n">
        <x:v>0</x:v>
      </x:c>
      <x:c r="J300" s="1" t="str">
        <x:v>yes</x:v>
      </x:c>
      <x:c r="K300" s="1" t="n">
        <x:f>2*H300+E300+IF(G300&gt;30,2,0)-IF(B300&gt;24,1,0)</x:f>
        <x:v>1</x:v>
      </x:c>
      <x:c r="L300" s="1" t="str">
        <x:f>IF(K300&gt;=3,"yes","no")</x:f>
        <x:v>no</x:v>
      </x:c>
      <x:c r="M300" s="1"/>
      <x:c r="N300" s="1"/>
      <x:c r="O300" s="1"/>
    </x:row>
    <x:row r="301">
      <x:c r="A301" s="1" t="str">
        <x:v>S0300</x:v>
      </x:c>
      <x:c r="B301" s="1" t="n">
        <x:v>10</x:v>
      </x:c>
      <x:c r="C301" s="1" t="str">
        <x:v>basic</x:v>
      </x:c>
      <x:c r="D301" s="8" t="n">
        <x:v>9.99</x:v>
      </x:c>
      <x:c r="E301" s="1" t="n">
        <x:v>0</x:v>
      </x:c>
      <x:c r="F301" s="1" t="n">
        <x:v>16</x:v>
      </x:c>
      <x:c r="G301" s="1" t="n">
        <x:v>1</x:v>
      </x:c>
      <x:c r="H301" s="1" t="n">
        <x:v>0</x:v>
      </x:c>
      <x:c r="I301" s="1" t="n">
        <x:v>1</x:v>
      </x:c>
      <x:c r="J301" s="1" t="str">
        <x:v>no</x:v>
      </x:c>
      <x:c r="K301" s="1" t="n">
        <x:f>2*H301+E301+IF(G301&gt;30,2,0)-IF(B301&gt;24,1,0)</x:f>
        <x:v>0</x:v>
      </x:c>
      <x:c r="L301" s="1" t="str">
        <x:f>IF(K301&gt;=3,"yes","no")</x:f>
        <x:v>no</x:v>
      </x:c>
      <x:c r="M301" s="1"/>
      <x:c r="N301" s="1"/>
      <x:c r="O301" s="1"/>
    </x:row>
    <x:row r="302">
      <x:c r="A302" s="1" t="str">
        <x:v>S0301</x:v>
      </x:c>
      <x:c r="B302" s="1" t="n">
        <x:v>42</x:v>
      </x:c>
      <x:c r="C302" s="1" t="str">
        <x:v>basic</x:v>
      </x:c>
      <x:c r="D302" s="8" t="n">
        <x:v>9.99</x:v>
      </x:c>
      <x:c r="E302" s="1" t="n">
        <x:v>0</x:v>
      </x:c>
      <x:c r="F302" s="1" t="n">
        <x:v>0</x:v>
      </x:c>
      <x:c r="G302" s="1" t="n">
        <x:v>32</x:v>
      </x:c>
      <x:c r="H302" s="1" t="n">
        <x:v>0</x:v>
      </x:c>
      <x:c r="I302" s="1" t="n">
        <x:v>0</x:v>
      </x:c>
      <x:c r="J302" s="1" t="str">
        <x:v>no</x:v>
      </x:c>
      <x:c r="K302" s="1" t="n">
        <x:f>2*H302+E302+IF(G302&gt;30,2,0)-IF(B302&gt;24,1,0)</x:f>
        <x:v>1</x:v>
      </x:c>
      <x:c r="L302" s="1" t="str">
        <x:f>IF(K302&gt;=3,"yes","no")</x:f>
        <x:v>no</x:v>
      </x:c>
      <x:c r="M302" s="1"/>
      <x:c r="N302" s="1"/>
      <x:c r="O302" s="1"/>
    </x:row>
    <x:row r="303">
      <x:c r="A303" s="1" t="str">
        <x:v>S0302</x:v>
      </x:c>
      <x:c r="B303" s="1" t="n">
        <x:v>18</x:v>
      </x:c>
      <x:c r="C303" s="1" t="str">
        <x:v>premium</x:v>
      </x:c>
      <x:c r="D303" s="8" t="n">
        <x:v>15.99</x:v>
      </x:c>
      <x:c r="E303" s="1" t="n">
        <x:v>0</x:v>
      </x:c>
      <x:c r="F303" s="1" t="n">
        <x:v>22</x:v>
      </x:c>
      <x:c r="G303" s="1" t="n">
        <x:v>6</x:v>
      </x:c>
      <x:c r="H303" s="1" t="n">
        <x:v>0</x:v>
      </x:c>
      <x:c r="I303" s="1" t="n">
        <x:v>0</x:v>
      </x:c>
      <x:c r="J303" s="1" t="str">
        <x:v>no</x:v>
      </x:c>
      <x:c r="K303" s="1" t="n">
        <x:f>2*H303+E303+IF(G303&gt;30,2,0)-IF(B303&gt;24,1,0)</x:f>
        <x:v>0</x:v>
      </x:c>
      <x:c r="L303" s="1" t="str">
        <x:f>IF(K303&gt;=3,"yes","no")</x:f>
        <x:v>no</x:v>
      </x:c>
      <x:c r="M303" s="1"/>
      <x:c r="N303" s="1"/>
      <x:c r="O303" s="1"/>
    </x:row>
    <x:row r="304">
      <x:c r="A304" s="1" t="str">
        <x:v>S0303</x:v>
      </x:c>
      <x:c r="B304" s="1" t="n">
        <x:v>33</x:v>
      </x:c>
      <x:c r="C304" s="1" t="str">
        <x:v>basic</x:v>
      </x:c>
      <x:c r="D304" s="8" t="n">
        <x:v>9.99</x:v>
      </x:c>
      <x:c r="E304" s="1" t="n">
        <x:v>0</x:v>
      </x:c>
      <x:c r="F304" s="1" t="n">
        <x:v>6</x:v>
      </x:c>
      <x:c r="G304" s="1" t="n">
        <x:v>7</x:v>
      </x:c>
      <x:c r="H304" s="1" t="n">
        <x:v>0</x:v>
      </x:c>
      <x:c r="I304" s="1" t="n">
        <x:v>0</x:v>
      </x:c>
      <x:c r="J304" s="1" t="str">
        <x:v>no</x:v>
      </x:c>
      <x:c r="K304" s="1" t="n">
        <x:f>2*H304+E304+IF(G304&gt;30,2,0)-IF(B304&gt;24,1,0)</x:f>
        <x:v>-1</x:v>
      </x:c>
      <x:c r="L304" s="1" t="str">
        <x:f>IF(K304&gt;=3,"yes","no")</x:f>
        <x:v>no</x:v>
      </x:c>
      <x:c r="M304" s="1"/>
      <x:c r="N304" s="1"/>
      <x:c r="O304" s="1"/>
    </x:row>
    <x:row r="305">
      <x:c r="A305" s="1" t="str">
        <x:v>S0304</x:v>
      </x:c>
      <x:c r="B305" s="1" t="n">
        <x:v>9</x:v>
      </x:c>
      <x:c r="C305" s="1" t="str">
        <x:v>premium</x:v>
      </x:c>
      <x:c r="D305" s="8" t="n">
        <x:v>15.99</x:v>
      </x:c>
      <x:c r="E305" s="1" t="n">
        <x:v>1</x:v>
      </x:c>
      <x:c r="F305" s="1" t="n">
        <x:v>3</x:v>
      </x:c>
      <x:c r="G305" s="1" t="n">
        <x:v>25</x:v>
      </x:c>
      <x:c r="H305" s="1" t="n">
        <x:v>0</x:v>
      </x:c>
      <x:c r="I305" s="1" t="n">
        <x:v>0</x:v>
      </x:c>
      <x:c r="J305" s="1" t="str">
        <x:v>no</x:v>
      </x:c>
      <x:c r="K305" s="1" t="n">
        <x:f>2*H305+E305+IF(G305&gt;30,2,0)-IF(B305&gt;24,1,0)</x:f>
        <x:v>1</x:v>
      </x:c>
      <x:c r="L305" s="1" t="str">
        <x:f>IF(K305&gt;=3,"yes","no")</x:f>
        <x:v>no</x:v>
      </x:c>
      <x:c r="M305" s="1"/>
      <x:c r="N305" s="1"/>
      <x:c r="O305" s="1"/>
    </x:row>
    <x:row r="306">
      <x:c r="A306" s="1" t="str">
        <x:v>S0305</x:v>
      </x:c>
      <x:c r="B306" s="1" t="n">
        <x:v>45</x:v>
      </x:c>
      <x:c r="C306" s="1" t="str">
        <x:v>basic</x:v>
      </x:c>
      <x:c r="D306" s="8" t="n">
        <x:v>9.99</x:v>
      </x:c>
      <x:c r="E306" s="1" t="n">
        <x:v>0</x:v>
      </x:c>
      <x:c r="F306" s="1" t="n">
        <x:v>28</x:v>
      </x:c>
      <x:c r="G306" s="1" t="n">
        <x:v>4</x:v>
      </x:c>
      <x:c r="H306" s="1" t="n">
        <x:v>1</x:v>
      </x:c>
      <x:c r="I306" s="1" t="n">
        <x:v>0</x:v>
      </x:c>
      <x:c r="J306" s="1" t="str">
        <x:v>no</x:v>
      </x:c>
      <x:c r="K306" s="1" t="n">
        <x:f>2*H306+E306+IF(G306&gt;30,2,0)-IF(B306&gt;24,1,0)</x:f>
        <x:v>1</x:v>
      </x:c>
      <x:c r="L306" s="1" t="str">
        <x:f>IF(K306&gt;=3,"yes","no")</x:f>
        <x:v>no</x:v>
      </x:c>
      <x:c r="M306" s="1"/>
      <x:c r="N306" s="1"/>
      <x:c r="O306" s="1"/>
    </x:row>
    <x:row r="307">
      <x:c r="A307" s="1" t="str">
        <x:v>S0306</x:v>
      </x:c>
      <x:c r="B307" s="1" t="n">
        <x:v>34</x:v>
      </x:c>
      <x:c r="C307" s="1" t="str">
        <x:v>basic</x:v>
      </x:c>
      <x:c r="D307" s="8" t="n">
        <x:v>9.99</x:v>
      </x:c>
      <x:c r="E307" s="1" t="n">
        <x:v>1</x:v>
      </x:c>
      <x:c r="F307" s="1" t="n">
        <x:v>14</x:v>
      </x:c>
      <x:c r="G307" s="1" t="n">
        <x:v>5</x:v>
      </x:c>
      <x:c r="H307" s="1" t="n">
        <x:v>2</x:v>
      </x:c>
      <x:c r="I307" s="1" t="n">
        <x:v>0</x:v>
      </x:c>
      <x:c r="J307" s="1" t="str">
        <x:v>no</x:v>
      </x:c>
      <x:c r="K307" s="1" t="n">
        <x:f>2*H307+E307+IF(G307&gt;30,2,0)-IF(B307&gt;24,1,0)</x:f>
        <x:v>4</x:v>
      </x:c>
      <x:c r="L307" s="1" t="str">
        <x:f>IF(K307&gt;=3,"yes","no")</x:f>
        <x:v>yes</x:v>
      </x:c>
      <x:c r="M307" s="1"/>
      <x:c r="N307" s="1"/>
      <x:c r="O307" s="1"/>
    </x:row>
    <x:row r="308">
      <x:c r="A308" s="1" t="str">
        <x:v>S0307</x:v>
      </x:c>
      <x:c r="B308" s="1" t="n">
        <x:v>45</x:v>
      </x:c>
      <x:c r="C308" s="1" t="str">
        <x:v>basic</x:v>
      </x:c>
      <x:c r="D308" s="8" t="n">
        <x:v>9.99</x:v>
      </x:c>
      <x:c r="E308" s="1" t="n">
        <x:v>0</x:v>
      </x:c>
      <x:c r="F308" s="1" t="n">
        <x:v>0</x:v>
      </x:c>
      <x:c r="G308" s="1" t="n">
        <x:v>54</x:v>
      </x:c>
      <x:c r="H308" s="1" t="n">
        <x:v>0</x:v>
      </x:c>
      <x:c r="I308" s="1" t="n">
        <x:v>1</x:v>
      </x:c>
      <x:c r="J308" s="1" t="str">
        <x:v>no</x:v>
      </x:c>
      <x:c r="K308" s="1" t="n">
        <x:f>2*H308+E308+IF(G308&gt;30,2,0)-IF(B308&gt;24,1,0)</x:f>
        <x:v>1</x:v>
      </x:c>
      <x:c r="L308" s="1" t="str">
        <x:f>IF(K308&gt;=3,"yes","no")</x:f>
        <x:v>no</x:v>
      </x:c>
      <x:c r="M308" s="1"/>
      <x:c r="N308" s="1"/>
      <x:c r="O308" s="1"/>
    </x:row>
    <x:row r="309">
      <x:c r="A309" s="1" t="str">
        <x:v>S0308</x:v>
      </x:c>
      <x:c r="B309" s="1" t="n">
        <x:v>17</x:v>
      </x:c>
      <x:c r="C309" s="1" t="str">
        <x:v>basic</x:v>
      </x:c>
      <x:c r="D309" s="8" t="n">
        <x:v>9.99</x:v>
      </x:c>
      <x:c r="E309" s="1" t="n">
        <x:v>0</x:v>
      </x:c>
      <x:c r="F309" s="1" t="n">
        <x:v>34</x:v>
      </x:c>
      <x:c r="G309" s="1" t="n">
        <x:v>0</x:v>
      </x:c>
      <x:c r="H309" s="1" t="n">
        <x:v>0</x:v>
      </x:c>
      <x:c r="I309" s="1" t="n">
        <x:v>0</x:v>
      </x:c>
      <x:c r="J309" s="1" t="str">
        <x:v>no</x:v>
      </x:c>
      <x:c r="K309" s="1" t="n">
        <x:f>2*H309+E309+IF(G309&gt;30,2,0)-IF(B309&gt;24,1,0)</x:f>
        <x:v>0</x:v>
      </x:c>
      <x:c r="L309" s="1" t="str">
        <x:f>IF(K309&gt;=3,"yes","no")</x:f>
        <x:v>no</x:v>
      </x:c>
      <x:c r="M309" s="1"/>
      <x:c r="N309" s="1"/>
      <x:c r="O309" s="1"/>
    </x:row>
    <x:row r="310">
      <x:c r="A310" s="1" t="str">
        <x:v>S0309</x:v>
      </x:c>
      <x:c r="B310" s="1" t="n">
        <x:v>47</x:v>
      </x:c>
      <x:c r="C310" s="1" t="str">
        <x:v>basic</x:v>
      </x:c>
      <x:c r="D310" s="8" t="n">
        <x:v>9.99</x:v>
      </x:c>
      <x:c r="E310" s="1" t="n">
        <x:v>1</x:v>
      </x:c>
      <x:c r="F310" s="1" t="n">
        <x:v>0</x:v>
      </x:c>
      <x:c r="G310" s="1" t="n">
        <x:v>45</x:v>
      </x:c>
      <x:c r="H310" s="1" t="n">
        <x:v>0</x:v>
      </x:c>
      <x:c r="I310" s="1" t="n">
        <x:v>1</x:v>
      </x:c>
      <x:c r="J310" s="1" t="str">
        <x:v>no</x:v>
      </x:c>
      <x:c r="K310" s="1" t="n">
        <x:f>2*H310+E310+IF(G310&gt;30,2,0)-IF(B310&gt;24,1,0)</x:f>
        <x:v>2</x:v>
      </x:c>
      <x:c r="L310" s="1" t="str">
        <x:f>IF(K310&gt;=3,"yes","no")</x:f>
        <x:v>no</x:v>
      </x:c>
      <x:c r="M310" s="1"/>
      <x:c r="N310" s="1"/>
      <x:c r="O310" s="1"/>
    </x:row>
    <x:row r="311">
      <x:c r="A311" s="1" t="str">
        <x:v>S0310</x:v>
      </x:c>
      <x:c r="B311" s="1" t="n">
        <x:v>1</x:v>
      </x:c>
      <x:c r="C311" s="1" t="str">
        <x:v>premium</x:v>
      </x:c>
      <x:c r="D311" s="8" t="n">
        <x:v>15.99</x:v>
      </x:c>
      <x:c r="E311" s="1" t="n">
        <x:v>0</x:v>
      </x:c>
      <x:c r="F311" s="1" t="n">
        <x:v>5</x:v>
      </x:c>
      <x:c r="G311" s="1" t="n">
        <x:v>16</x:v>
      </x:c>
      <x:c r="H311" s="1" t="n">
        <x:v>0</x:v>
      </x:c>
      <x:c r="I311" s="1" t="n">
        <x:v>1</x:v>
      </x:c>
      <x:c r="J311" s="1" t="str">
        <x:v>no</x:v>
      </x:c>
      <x:c r="K311" s="1" t="n">
        <x:f>2*H311+E311+IF(G311&gt;30,2,0)-IF(B311&gt;24,1,0)</x:f>
        <x:v>0</x:v>
      </x:c>
      <x:c r="L311" s="1" t="str">
        <x:f>IF(K311&gt;=3,"yes","no")</x:f>
        <x:v>no</x:v>
      </x:c>
      <x:c r="M311" s="1"/>
      <x:c r="N311" s="1"/>
      <x:c r="O311" s="1"/>
    </x:row>
    <x:row r="312">
      <x:c r="A312" s="1" t="str">
        <x:v>S0311</x:v>
      </x:c>
      <x:c r="B312" s="1" t="n">
        <x:v>36</x:v>
      </x:c>
      <x:c r="C312" s="1" t="str">
        <x:v>basic</x:v>
      </x:c>
      <x:c r="D312" s="8" t="n">
        <x:v>9.99</x:v>
      </x:c>
      <x:c r="E312" s="1" t="n">
        <x:v>0</x:v>
      </x:c>
      <x:c r="F312" s="1" t="n">
        <x:v>24</x:v>
      </x:c>
      <x:c r="G312" s="1" t="n">
        <x:v>4</x:v>
      </x:c>
      <x:c r="H312" s="1" t="n">
        <x:v>0</x:v>
      </x:c>
      <x:c r="I312" s="1" t="n">
        <x:v>0</x:v>
      </x:c>
      <x:c r="J312" s="1" t="str">
        <x:v>no</x:v>
      </x:c>
      <x:c r="K312" s="1" t="n">
        <x:f>2*H312+E312+IF(G312&gt;30,2,0)-IF(B312&gt;24,1,0)</x:f>
        <x:v>-1</x:v>
      </x:c>
      <x:c r="L312" s="1" t="str">
        <x:f>IF(K312&gt;=3,"yes","no")</x:f>
        <x:v>no</x:v>
      </x:c>
      <x:c r="M312" s="1"/>
      <x:c r="N312" s="1"/>
      <x:c r="O312" s="1"/>
    </x:row>
    <x:row r="313">
      <x:c r="A313" s="1" t="str">
        <x:v>S0312</x:v>
      </x:c>
      <x:c r="B313" s="1" t="n">
        <x:v>40</x:v>
      </x:c>
      <x:c r="C313" s="1" t="str">
        <x:v>basic</x:v>
      </x:c>
      <x:c r="D313" s="8" t="n">
        <x:v>9.99</x:v>
      </x:c>
      <x:c r="E313" s="1" t="n">
        <x:v>0</x:v>
      </x:c>
      <x:c r="F313" s="1" t="n">
        <x:v>19</x:v>
      </x:c>
      <x:c r="G313" s="1" t="n">
        <x:v>6</x:v>
      </x:c>
      <x:c r="H313" s="1" t="n">
        <x:v>0</x:v>
      </x:c>
      <x:c r="I313" s="1" t="n">
        <x:v>1</x:v>
      </x:c>
      <x:c r="J313" s="1" t="str">
        <x:v>no</x:v>
      </x:c>
      <x:c r="K313" s="1" t="n">
        <x:f>2*H313+E313+IF(G313&gt;30,2,0)-IF(B313&gt;24,1,0)</x:f>
        <x:v>-1</x:v>
      </x:c>
      <x:c r="L313" s="1" t="str">
        <x:f>IF(K313&gt;=3,"yes","no")</x:f>
        <x:v>no</x:v>
      </x:c>
      <x:c r="M313" s="1"/>
      <x:c r="N313" s="1"/>
      <x:c r="O313" s="1"/>
    </x:row>
    <x:row r="314">
      <x:c r="A314" s="1" t="str">
        <x:v>S0313</x:v>
      </x:c>
      <x:c r="B314" s="1" t="n">
        <x:v>27</x:v>
      </x:c>
      <x:c r="C314" s="1" t="str">
        <x:v>basic</x:v>
      </x:c>
      <x:c r="D314" s="8" t="n">
        <x:v>9.99</x:v>
      </x:c>
      <x:c r="E314" s="1" t="n">
        <x:v>0</x:v>
      </x:c>
      <x:c r="F314" s="1" t="n">
        <x:v>20</x:v>
      </x:c>
      <x:c r="G314" s="1" t="n">
        <x:v>4</x:v>
      </x:c>
      <x:c r="H314" s="1" t="n">
        <x:v>1</x:v>
      </x:c>
      <x:c r="I314" s="1" t="n">
        <x:v>0</x:v>
      </x:c>
      <x:c r="J314" s="1" t="str">
        <x:v>no</x:v>
      </x:c>
      <x:c r="K314" s="1" t="n">
        <x:f>2*H314+E314+IF(G314&gt;30,2,0)-IF(B314&gt;24,1,0)</x:f>
        <x:v>1</x:v>
      </x:c>
      <x:c r="L314" s="1" t="str">
        <x:f>IF(K314&gt;=3,"yes","no")</x:f>
        <x:v>no</x:v>
      </x:c>
      <x:c r="M314" s="1"/>
      <x:c r="N314" s="1"/>
      <x:c r="O314" s="1"/>
    </x:row>
    <x:row r="315">
      <x:c r="A315" s="1" t="str">
        <x:v>S0314</x:v>
      </x:c>
      <x:c r="B315" s="1" t="n">
        <x:v>41</x:v>
      </x:c>
      <x:c r="C315" s="1" t="str">
        <x:v>premium</x:v>
      </x:c>
      <x:c r="D315" s="8" t="n">
        <x:v>15.99</x:v>
      </x:c>
      <x:c r="E315" s="1" t="n">
        <x:v>0</x:v>
      </x:c>
      <x:c r="F315" s="1" t="n">
        <x:v>18</x:v>
      </x:c>
      <x:c r="G315" s="1" t="n">
        <x:v>0</x:v>
      </x:c>
      <x:c r="H315" s="1" t="n">
        <x:v>0</x:v>
      </x:c>
      <x:c r="I315" s="1" t="n">
        <x:v>0</x:v>
      </x:c>
      <x:c r="J315" s="1" t="str">
        <x:v>no</x:v>
      </x:c>
      <x:c r="K315" s="1" t="n">
        <x:f>2*H315+E315+IF(G315&gt;30,2,0)-IF(B315&gt;24,1,0)</x:f>
        <x:v>-1</x:v>
      </x:c>
      <x:c r="L315" s="1" t="str">
        <x:f>IF(K315&gt;=3,"yes","no")</x:f>
        <x:v>no</x:v>
      </x:c>
      <x:c r="M315" s="1"/>
      <x:c r="N315" s="1"/>
      <x:c r="O315" s="1"/>
    </x:row>
    <x:row r="316">
      <x:c r="A316" s="1" t="str">
        <x:v>S0315</x:v>
      </x:c>
      <x:c r="B316" s="1" t="n">
        <x:v>8</x:v>
      </x:c>
      <x:c r="C316" s="1" t="str">
        <x:v>basic</x:v>
      </x:c>
      <x:c r="D316" s="8" t="n">
        <x:v>9.99</x:v>
      </x:c>
      <x:c r="E316" s="1" t="n">
        <x:v>0</x:v>
      </x:c>
      <x:c r="F316" s="1" t="n">
        <x:v>0</x:v>
      </x:c>
      <x:c r="G316" s="1" t="n">
        <x:v>50</x:v>
      </x:c>
      <x:c r="H316" s="1" t="n">
        <x:v>0</x:v>
      </x:c>
      <x:c r="I316" s="1" t="n">
        <x:v>0</x:v>
      </x:c>
      <x:c r="J316" s="1" t="str">
        <x:v>yes</x:v>
      </x:c>
      <x:c r="K316" s="1" t="n">
        <x:f>2*H316+E316+IF(G316&gt;30,2,0)-IF(B316&gt;24,1,0)</x:f>
        <x:v>2</x:v>
      </x:c>
      <x:c r="L316" s="1" t="str">
        <x:f>IF(K316&gt;=3,"yes","no")</x:f>
        <x:v>no</x:v>
      </x:c>
      <x:c r="M316" s="1"/>
      <x:c r="N316" s="1"/>
      <x:c r="O316" s="1"/>
    </x:row>
    <x:row r="317">
      <x:c r="A317" s="1" t="str">
        <x:v>S0316</x:v>
      </x:c>
      <x:c r="B317" s="1" t="n">
        <x:v>16</x:v>
      </x:c>
      <x:c r="C317" s="1" t="str">
        <x:v>basic</x:v>
      </x:c>
      <x:c r="D317" s="8" t="n">
        <x:v>9.99</x:v>
      </x:c>
      <x:c r="E317" s="1" t="n">
        <x:v>0</x:v>
      </x:c>
      <x:c r="F317" s="1" t="n">
        <x:v>10</x:v>
      </x:c>
      <x:c r="G317" s="1" t="n">
        <x:v>19</x:v>
      </x:c>
      <x:c r="H317" s="1" t="n">
        <x:v>0</x:v>
      </x:c>
      <x:c r="I317" s="1" t="n">
        <x:v>0</x:v>
      </x:c>
      <x:c r="J317" s="1" t="str">
        <x:v>no</x:v>
      </x:c>
      <x:c r="K317" s="1" t="n">
        <x:f>2*H317+E317+IF(G317&gt;30,2,0)-IF(B317&gt;24,1,0)</x:f>
        <x:v>0</x:v>
      </x:c>
      <x:c r="L317" s="1" t="str">
        <x:f>IF(K317&gt;=3,"yes","no")</x:f>
        <x:v>no</x:v>
      </x:c>
      <x:c r="M317" s="1"/>
      <x:c r="N317" s="1"/>
      <x:c r="O317" s="1"/>
    </x:row>
    <x:row r="318">
      <x:c r="A318" s="1" t="str">
        <x:v>S0317</x:v>
      </x:c>
      <x:c r="B318" s="1" t="n">
        <x:v>28</x:v>
      </x:c>
      <x:c r="C318" s="1" t="str">
        <x:v>basic</x:v>
      </x:c>
      <x:c r="D318" s="8" t="n">
        <x:v>9.99</x:v>
      </x:c>
      <x:c r="E318" s="1" t="n">
        <x:v>2</x:v>
      </x:c>
      <x:c r="F318" s="1" t="n">
        <x:v>18</x:v>
      </x:c>
      <x:c r="G318" s="1" t="n">
        <x:v>3</x:v>
      </x:c>
      <x:c r="H318" s="1" t="n">
        <x:v>0</x:v>
      </x:c>
      <x:c r="I318" s="1" t="n">
        <x:v>1</x:v>
      </x:c>
      <x:c r="J318" s="1" t="str">
        <x:v>no</x:v>
      </x:c>
      <x:c r="K318" s="1" t="n">
        <x:f>2*H318+E318+IF(G318&gt;30,2,0)-IF(B318&gt;24,1,0)</x:f>
        <x:v>1</x:v>
      </x:c>
      <x:c r="L318" s="1" t="str">
        <x:f>IF(K318&gt;=3,"yes","no")</x:f>
        <x:v>no</x:v>
      </x:c>
      <x:c r="M318" s="1"/>
      <x:c r="N318" s="1"/>
      <x:c r="O318" s="1"/>
    </x:row>
    <x:row r="319">
      <x:c r="A319" s="1" t="str">
        <x:v>S0318</x:v>
      </x:c>
      <x:c r="B319" s="1" t="n">
        <x:v>36</x:v>
      </x:c>
      <x:c r="C319" s="1" t="str">
        <x:v>premium</x:v>
      </x:c>
      <x:c r="D319" s="8" t="n">
        <x:v>15.99</x:v>
      </x:c>
      <x:c r="E319" s="1" t="n">
        <x:v>1</x:v>
      </x:c>
      <x:c r="F319" s="1" t="n">
        <x:v>0</x:v>
      </x:c>
      <x:c r="G319" s="1" t="n">
        <x:v>33</x:v>
      </x:c>
      <x:c r="H319" s="1" t="n">
        <x:v>1</x:v>
      </x:c>
      <x:c r="I319" s="1" t="n">
        <x:v>0</x:v>
      </x:c>
      <x:c r="J319" s="1" t="str">
        <x:v>no</x:v>
      </x:c>
      <x:c r="K319" s="1" t="n">
        <x:f>2*H319+E319+IF(G319&gt;30,2,0)-IF(B319&gt;24,1,0)</x:f>
        <x:v>4</x:v>
      </x:c>
      <x:c r="L319" s="1" t="str">
        <x:f>IF(K319&gt;=3,"yes","no")</x:f>
        <x:v>yes</x:v>
      </x:c>
      <x:c r="M319" s="1"/>
      <x:c r="N319" s="1"/>
      <x:c r="O319" s="1"/>
    </x:row>
    <x:row r="320">
      <x:c r="A320" s="1" t="str">
        <x:v>S0319</x:v>
      </x:c>
      <x:c r="B320" s="1" t="n">
        <x:v>18</x:v>
      </x:c>
      <x:c r="C320" s="1" t="str">
        <x:v>basic</x:v>
      </x:c>
      <x:c r="D320" s="8" t="n">
        <x:v>9.99</x:v>
      </x:c>
      <x:c r="E320" s="1" t="n">
        <x:v>2</x:v>
      </x:c>
      <x:c r="F320" s="1" t="n">
        <x:v>27</x:v>
      </x:c>
      <x:c r="G320" s="1" t="n">
        <x:v>5</x:v>
      </x:c>
      <x:c r="H320" s="1" t="n">
        <x:v>1</x:v>
      </x:c>
      <x:c r="I320" s="1" t="n">
        <x:v>0</x:v>
      </x:c>
      <x:c r="J320" s="1" t="str">
        <x:v>no</x:v>
      </x:c>
      <x:c r="K320" s="1" t="n">
        <x:f>2*H320+E320+IF(G320&gt;30,2,0)-IF(B320&gt;24,1,0)</x:f>
        <x:v>4</x:v>
      </x:c>
      <x:c r="L320" s="1" t="str">
        <x:f>IF(K320&gt;=3,"yes","no")</x:f>
        <x:v>yes</x:v>
      </x:c>
      <x:c r="M320" s="1"/>
      <x:c r="N320" s="1"/>
      <x:c r="O320" s="1"/>
    </x:row>
    <x:row r="321">
      <x:c r="A321" s="1" t="str">
        <x:v>S0320</x:v>
      </x:c>
      <x:c r="B321" s="1" t="n">
        <x:v>7</x:v>
      </x:c>
      <x:c r="C321" s="1" t="str">
        <x:v>premium</x:v>
      </x:c>
      <x:c r="D321" s="8" t="n">
        <x:v>15.99</x:v>
      </x:c>
      <x:c r="E321" s="1" t="n">
        <x:v>0</x:v>
      </x:c>
      <x:c r="F321" s="1" t="n">
        <x:v>32</x:v>
      </x:c>
      <x:c r="G321" s="1" t="n">
        <x:v>1</x:v>
      </x:c>
      <x:c r="H321" s="1" t="n">
        <x:v>0</x:v>
      </x:c>
      <x:c r="I321" s="1" t="n">
        <x:v>0</x:v>
      </x:c>
      <x:c r="J321" s="1" t="str">
        <x:v>no</x:v>
      </x:c>
      <x:c r="K321" s="1" t="n">
        <x:f>2*H321+E321+IF(G321&gt;30,2,0)-IF(B321&gt;24,1,0)</x:f>
        <x:v>0</x:v>
      </x:c>
      <x:c r="L321" s="1" t="str">
        <x:f>IF(K321&gt;=3,"yes","no")</x:f>
        <x:v>no</x:v>
      </x:c>
      <x:c r="M321" s="1"/>
      <x:c r="N321" s="1"/>
      <x:c r="O321" s="1"/>
    </x:row>
    <x:row r="322">
      <x:c r="A322" s="1" t="str">
        <x:v>S0321</x:v>
      </x:c>
      <x:c r="B322" s="1" t="n">
        <x:v>9</x:v>
      </x:c>
      <x:c r="C322" s="1" t="str">
        <x:v>basic</x:v>
      </x:c>
      <x:c r="D322" s="8" t="n">
        <x:v>9.99</x:v>
      </x:c>
      <x:c r="E322" s="1" t="n">
        <x:v>3</x:v>
      </x:c>
      <x:c r="F322" s="1" t="n">
        <x:v>20</x:v>
      </x:c>
      <x:c r="G322" s="1" t="n">
        <x:v>4</x:v>
      </x:c>
      <x:c r="H322" s="1" t="n">
        <x:v>1</x:v>
      </x:c>
      <x:c r="I322" s="1" t="n">
        <x:v>0</x:v>
      </x:c>
      <x:c r="J322" s="1" t="str">
        <x:v>yes</x:v>
      </x:c>
      <x:c r="K322" s="1" t="n">
        <x:f>2*H322+E322+IF(G322&gt;30,2,0)-IF(B322&gt;24,1,0)</x:f>
        <x:v>5</x:v>
      </x:c>
      <x:c r="L322" s="1" t="str">
        <x:f>IF(K322&gt;=3,"yes","no")</x:f>
        <x:v>yes</x:v>
      </x:c>
      <x:c r="M322" s="1"/>
      <x:c r="N322" s="1"/>
      <x:c r="O322" s="1"/>
    </x:row>
    <x:row r="323">
      <x:c r="A323" s="1" t="str">
        <x:v>S0322</x:v>
      </x:c>
      <x:c r="B323" s="1" t="n">
        <x:v>41</x:v>
      </x:c>
      <x:c r="C323" s="1" t="str">
        <x:v>premium</x:v>
      </x:c>
      <x:c r="D323" s="8" t="n">
        <x:v>15.99</x:v>
      </x:c>
      <x:c r="E323" s="1" t="n">
        <x:v>0</x:v>
      </x:c>
      <x:c r="F323" s="1" t="n">
        <x:v>0</x:v>
      </x:c>
      <x:c r="G323" s="1" t="n">
        <x:v>58</x:v>
      </x:c>
      <x:c r="H323" s="1" t="n">
        <x:v>0</x:v>
      </x:c>
      <x:c r="I323" s="1" t="n">
        <x:v>0</x:v>
      </x:c>
      <x:c r="J323" s="1" t="str">
        <x:v>no</x:v>
      </x:c>
      <x:c r="K323" s="1" t="n">
        <x:f>2*H323+E323+IF(G323&gt;30,2,0)-IF(B323&gt;24,1,0)</x:f>
        <x:v>1</x:v>
      </x:c>
      <x:c r="L323" s="1" t="str">
        <x:f>IF(K323&gt;=3,"yes","no")</x:f>
        <x:v>no</x:v>
      </x:c>
      <x:c r="M323" s="1"/>
      <x:c r="N323" s="1"/>
      <x:c r="O323" s="1"/>
    </x:row>
    <x:row r="324">
      <x:c r="A324" s="1" t="str">
        <x:v>S0323</x:v>
      </x:c>
      <x:c r="B324" s="1" t="n">
        <x:v>39</x:v>
      </x:c>
      <x:c r="C324" s="1" t="str">
        <x:v>premium</x:v>
      </x:c>
      <x:c r="D324" s="8" t="n">
        <x:v>15.99</x:v>
      </x:c>
      <x:c r="E324" s="1" t="n">
        <x:v>2</x:v>
      </x:c>
      <x:c r="F324" s="1" t="n">
        <x:v>15</x:v>
      </x:c>
      <x:c r="G324" s="1" t="n">
        <x:v>21</x:v>
      </x:c>
      <x:c r="H324" s="1" t="n">
        <x:v>0</x:v>
      </x:c>
      <x:c r="I324" s="1" t="n">
        <x:v>1</x:v>
      </x:c>
      <x:c r="J324" s="1" t="str">
        <x:v>no</x:v>
      </x:c>
      <x:c r="K324" s="1" t="n">
        <x:f>2*H324+E324+IF(G324&gt;30,2,0)-IF(B324&gt;24,1,0)</x:f>
        <x:v>1</x:v>
      </x:c>
      <x:c r="L324" s="1" t="str">
        <x:f>IF(K324&gt;=3,"yes","no")</x:f>
        <x:v>no</x:v>
      </x:c>
      <x:c r="M324" s="1"/>
      <x:c r="N324" s="1"/>
      <x:c r="O324" s="1"/>
    </x:row>
    <x:row r="325">
      <x:c r="A325" s="1" t="str">
        <x:v>S0324</x:v>
      </x:c>
      <x:c r="B325" s="1" t="n">
        <x:v>38</x:v>
      </x:c>
      <x:c r="C325" s="1" t="str">
        <x:v>premium</x:v>
      </x:c>
      <x:c r="D325" s="8" t="n">
        <x:v>15.99</x:v>
      </x:c>
      <x:c r="E325" s="1" t="n">
        <x:v>0</x:v>
      </x:c>
      <x:c r="F325" s="1" t="n">
        <x:v>18</x:v>
      </x:c>
      <x:c r="G325" s="1" t="n">
        <x:v>4</x:v>
      </x:c>
      <x:c r="H325" s="1" t="n">
        <x:v>0</x:v>
      </x:c>
      <x:c r="I325" s="1" t="n">
        <x:v>0</x:v>
      </x:c>
      <x:c r="J325" s="1" t="str">
        <x:v>no</x:v>
      </x:c>
      <x:c r="K325" s="1" t="n">
        <x:f>2*H325+E325+IF(G325&gt;30,2,0)-IF(B325&gt;24,1,0)</x:f>
        <x:v>-1</x:v>
      </x:c>
      <x:c r="L325" s="1" t="str">
        <x:f>IF(K325&gt;=3,"yes","no")</x:f>
        <x:v>no</x:v>
      </x:c>
      <x:c r="M325" s="1"/>
      <x:c r="N325" s="1"/>
      <x:c r="O325" s="1"/>
    </x:row>
    <x:row r="326">
      <x:c r="A326" s="1" t="str">
        <x:v>S0325</x:v>
      </x:c>
      <x:c r="B326" s="1" t="n">
        <x:v>39</x:v>
      </x:c>
      <x:c r="C326" s="1" t="str">
        <x:v>basic</x:v>
      </x:c>
      <x:c r="D326" s="8" t="n">
        <x:v>9.99</x:v>
      </x:c>
      <x:c r="E326" s="1" t="n">
        <x:v>0</x:v>
      </x:c>
      <x:c r="F326" s="1" t="n">
        <x:v>26</x:v>
      </x:c>
      <x:c r="G326" s="1" t="n">
        <x:v>4</x:v>
      </x:c>
      <x:c r="H326" s="1" t="n">
        <x:v>0</x:v>
      </x:c>
      <x:c r="I326" s="1" t="n">
        <x:v>0</x:v>
      </x:c>
      <x:c r="J326" s="1" t="str">
        <x:v>no</x:v>
      </x:c>
      <x:c r="K326" s="1" t="n">
        <x:f>2*H326+E326+IF(G326&gt;30,2,0)-IF(B326&gt;24,1,0)</x:f>
        <x:v>-1</x:v>
      </x:c>
      <x:c r="L326" s="1" t="str">
        <x:f>IF(K326&gt;=3,"yes","no")</x:f>
        <x:v>no</x:v>
      </x:c>
      <x:c r="M326" s="1"/>
      <x:c r="N326" s="1"/>
      <x:c r="O326" s="1"/>
    </x:row>
    <x:row r="327">
      <x:c r="A327" s="1" t="str">
        <x:v>S0326</x:v>
      </x:c>
      <x:c r="B327" s="1" t="n">
        <x:v>25</x:v>
      </x:c>
      <x:c r="C327" s="1" t="str">
        <x:v>basic</x:v>
      </x:c>
      <x:c r="D327" s="8" t="n">
        <x:v>9.99</x:v>
      </x:c>
      <x:c r="E327" s="1" t="n">
        <x:v>0</x:v>
      </x:c>
      <x:c r="F327" s="1" t="n">
        <x:v>28</x:v>
      </x:c>
      <x:c r="G327" s="1" t="n">
        <x:v>6</x:v>
      </x:c>
      <x:c r="H327" s="1" t="n">
        <x:v>0</x:v>
      </x:c>
      <x:c r="I327" s="1" t="n">
        <x:v>0</x:v>
      </x:c>
      <x:c r="J327" s="1" t="str">
        <x:v>no</x:v>
      </x:c>
      <x:c r="K327" s="1" t="n">
        <x:f>2*H327+E327+IF(G327&gt;30,2,0)-IF(B327&gt;24,1,0)</x:f>
        <x:v>-1</x:v>
      </x:c>
      <x:c r="L327" s="1" t="str">
        <x:f>IF(K327&gt;=3,"yes","no")</x:f>
        <x:v>no</x:v>
      </x:c>
      <x:c r="M327" s="1"/>
      <x:c r="N327" s="1"/>
      <x:c r="O327" s="1"/>
    </x:row>
    <x:row r="328">
      <x:c r="A328" s="1" t="str">
        <x:v>S0327</x:v>
      </x:c>
      <x:c r="B328" s="1" t="n">
        <x:v>29</x:v>
      </x:c>
      <x:c r="C328" s="1" t="str">
        <x:v>basic</x:v>
      </x:c>
      <x:c r="D328" s="8" t="n">
        <x:v>9.99</x:v>
      </x:c>
      <x:c r="E328" s="1" t="n">
        <x:v>0</x:v>
      </x:c>
      <x:c r="F328" s="1" t="n">
        <x:v>0</x:v>
      </x:c>
      <x:c r="G328" s="1" t="n">
        <x:v>59</x:v>
      </x:c>
      <x:c r="H328" s="1" t="n">
        <x:v>0</x:v>
      </x:c>
      <x:c r="I328" s="1" t="n">
        <x:v>0</x:v>
      </x:c>
      <x:c r="J328" s="1" t="str">
        <x:v>no</x:v>
      </x:c>
      <x:c r="K328" s="1" t="n">
        <x:f>2*H328+E328+IF(G328&gt;30,2,0)-IF(B328&gt;24,1,0)</x:f>
        <x:v>1</x:v>
      </x:c>
      <x:c r="L328" s="1" t="str">
        <x:f>IF(K328&gt;=3,"yes","no")</x:f>
        <x:v>no</x:v>
      </x:c>
      <x:c r="M328" s="1"/>
      <x:c r="N328" s="1"/>
      <x:c r="O328" s="1"/>
    </x:row>
    <x:row r="329">
      <x:c r="A329" s="1" t="str">
        <x:v>S0328</x:v>
      </x:c>
      <x:c r="B329" s="1" t="n">
        <x:v>9</x:v>
      </x:c>
      <x:c r="C329" s="1" t="str">
        <x:v>basic</x:v>
      </x:c>
      <x:c r="D329" s="8" t="n">
        <x:v>9.99</x:v>
      </x:c>
      <x:c r="E329" s="1" t="n">
        <x:v>0</x:v>
      </x:c>
      <x:c r="F329" s="1" t="n">
        <x:v>8</x:v>
      </x:c>
      <x:c r="G329" s="1" t="n">
        <x:v>14</x:v>
      </x:c>
      <x:c r="H329" s="1" t="n">
        <x:v>0</x:v>
      </x:c>
      <x:c r="I329" s="1" t="n">
        <x:v>0</x:v>
      </x:c>
      <x:c r="J329" s="1" t="str">
        <x:v>no</x:v>
      </x:c>
      <x:c r="K329" s="1" t="n">
        <x:f>2*H329+E329+IF(G329&gt;30,2,0)-IF(B329&gt;24,1,0)</x:f>
        <x:v>0</x:v>
      </x:c>
      <x:c r="L329" s="1" t="str">
        <x:f>IF(K329&gt;=3,"yes","no")</x:f>
        <x:v>no</x:v>
      </x:c>
      <x:c r="M329" s="1"/>
      <x:c r="N329" s="1"/>
      <x:c r="O329" s="1"/>
    </x:row>
    <x:row r="330">
      <x:c r="A330" s="1" t="str">
        <x:v>S0329</x:v>
      </x:c>
      <x:c r="B330" s="1" t="n">
        <x:v>47</x:v>
      </x:c>
      <x:c r="C330" s="1" t="str">
        <x:v>premium</x:v>
      </x:c>
      <x:c r="D330" s="8" t="n">
        <x:v>15.99</x:v>
      </x:c>
      <x:c r="E330" s="1" t="n">
        <x:v>1</x:v>
      </x:c>
      <x:c r="F330" s="1" t="n">
        <x:v>0</x:v>
      </x:c>
      <x:c r="G330" s="1" t="n">
        <x:v>58</x:v>
      </x:c>
      <x:c r="H330" s="1" t="n">
        <x:v>0</x:v>
      </x:c>
      <x:c r="I330" s="1" t="n">
        <x:v>0</x:v>
      </x:c>
      <x:c r="J330" s="1" t="str">
        <x:v>no</x:v>
      </x:c>
      <x:c r="K330" s="1" t="n">
        <x:f>2*H330+E330+IF(G330&gt;30,2,0)-IF(B330&gt;24,1,0)</x:f>
        <x:v>2</x:v>
      </x:c>
      <x:c r="L330" s="1" t="str">
        <x:f>IF(K330&gt;=3,"yes","no")</x:f>
        <x:v>no</x:v>
      </x:c>
      <x:c r="M330" s="1"/>
      <x:c r="N330" s="1"/>
      <x:c r="O330" s="1"/>
    </x:row>
    <x:row r="331">
      <x:c r="A331" s="1" t="str">
        <x:v>S0330</x:v>
      </x:c>
      <x:c r="B331" s="1" t="n">
        <x:v>10</x:v>
      </x:c>
      <x:c r="C331" s="1" t="str">
        <x:v>basic</x:v>
      </x:c>
      <x:c r="D331" s="8" t="n">
        <x:v>9.99</x:v>
      </x:c>
      <x:c r="E331" s="1" t="n">
        <x:v>2</x:v>
      </x:c>
      <x:c r="F331" s="1" t="n">
        <x:v>15</x:v>
      </x:c>
      <x:c r="G331" s="1" t="n">
        <x:v>1</x:v>
      </x:c>
      <x:c r="H331" s="1" t="n">
        <x:v>0</x:v>
      </x:c>
      <x:c r="I331" s="1" t="n">
        <x:v>0</x:v>
      </x:c>
      <x:c r="J331" s="1" t="str">
        <x:v>no</x:v>
      </x:c>
      <x:c r="K331" s="1" t="n">
        <x:f>2*H331+E331+IF(G331&gt;30,2,0)-IF(B331&gt;24,1,0)</x:f>
        <x:v>2</x:v>
      </x:c>
      <x:c r="L331" s="1" t="str">
        <x:f>IF(K331&gt;=3,"yes","no")</x:f>
        <x:v>no</x:v>
      </x:c>
      <x:c r="M331" s="1"/>
      <x:c r="N331" s="1"/>
      <x:c r="O331" s="1"/>
    </x:row>
    <x:row r="332">
      <x:c r="A332" s="1" t="str">
        <x:v>S0331</x:v>
      </x:c>
      <x:c r="B332" s="1" t="n">
        <x:v>32</x:v>
      </x:c>
      <x:c r="C332" s="1" t="str">
        <x:v>premium</x:v>
      </x:c>
      <x:c r="D332" s="8" t="n">
        <x:v>15.99</x:v>
      </x:c>
      <x:c r="E332" s="1" t="n">
        <x:v>2</x:v>
      </x:c>
      <x:c r="F332" s="1" t="n">
        <x:v>16</x:v>
      </x:c>
      <x:c r="G332" s="1" t="n">
        <x:v>16</x:v>
      </x:c>
      <x:c r="H332" s="1" t="n">
        <x:v>0</x:v>
      </x:c>
      <x:c r="I332" s="1" t="n">
        <x:v>0</x:v>
      </x:c>
      <x:c r="J332" s="1" t="str">
        <x:v>no</x:v>
      </x:c>
      <x:c r="K332" s="1" t="n">
        <x:f>2*H332+E332+IF(G332&gt;30,2,0)-IF(B332&gt;24,1,0)</x:f>
        <x:v>1</x:v>
      </x:c>
      <x:c r="L332" s="1" t="str">
        <x:f>IF(K332&gt;=3,"yes","no")</x:f>
        <x:v>no</x:v>
      </x:c>
      <x:c r="M332" s="1"/>
      <x:c r="N332" s="1"/>
      <x:c r="O332" s="1"/>
    </x:row>
    <x:row r="333">
      <x:c r="A333" s="1" t="str">
        <x:v>S0332</x:v>
      </x:c>
      <x:c r="B333" s="1" t="n">
        <x:v>23</x:v>
      </x:c>
      <x:c r="C333" s="1" t="str">
        <x:v>basic</x:v>
      </x:c>
      <x:c r="D333" s="8" t="n">
        <x:v>9.99</x:v>
      </x:c>
      <x:c r="E333" s="1" t="n">
        <x:v>0</x:v>
      </x:c>
      <x:c r="F333" s="1" t="n">
        <x:v>11</x:v>
      </x:c>
      <x:c r="G333" s="1" t="n">
        <x:v>5</x:v>
      </x:c>
      <x:c r="H333" s="1" t="n">
        <x:v>2</x:v>
      </x:c>
      <x:c r="I333" s="1" t="n">
        <x:v>0</x:v>
      </x:c>
      <x:c r="J333" s="1" t="str">
        <x:v>no</x:v>
      </x:c>
      <x:c r="K333" s="1" t="n">
        <x:f>2*H333+E333+IF(G333&gt;30,2,0)-IF(B333&gt;24,1,0)</x:f>
        <x:v>4</x:v>
      </x:c>
      <x:c r="L333" s="1" t="str">
        <x:f>IF(K333&gt;=3,"yes","no")</x:f>
        <x:v>yes</x:v>
      </x:c>
      <x:c r="M333" s="1"/>
      <x:c r="N333" s="1"/>
      <x:c r="O333" s="1"/>
    </x:row>
    <x:row r="334">
      <x:c r="A334" s="1" t="str">
        <x:v>S0333</x:v>
      </x:c>
      <x:c r="B334" s="1" t="n">
        <x:v>37</x:v>
      </x:c>
      <x:c r="C334" s="1" t="str">
        <x:v>basic</x:v>
      </x:c>
      <x:c r="D334" s="8" t="n">
        <x:v>9.99</x:v>
      </x:c>
      <x:c r="E334" s="1" t="n">
        <x:v>0</x:v>
      </x:c>
      <x:c r="F334" s="1" t="n">
        <x:v>20</x:v>
      </x:c>
      <x:c r="G334" s="1" t="n">
        <x:v>14</x:v>
      </x:c>
      <x:c r="H334" s="1" t="n">
        <x:v>0</x:v>
      </x:c>
      <x:c r="I334" s="1" t="n">
        <x:v>0</x:v>
      </x:c>
      <x:c r="J334" s="1" t="str">
        <x:v>no</x:v>
      </x:c>
      <x:c r="K334" s="1" t="n">
        <x:f>2*H334+E334+IF(G334&gt;30,2,0)-IF(B334&gt;24,1,0)</x:f>
        <x:v>-1</x:v>
      </x:c>
      <x:c r="L334" s="1" t="str">
        <x:f>IF(K334&gt;=3,"yes","no")</x:f>
        <x:v>no</x:v>
      </x:c>
      <x:c r="M334" s="1"/>
      <x:c r="N334" s="1"/>
      <x:c r="O334" s="1"/>
    </x:row>
    <x:row r="335">
      <x:c r="A335" s="1" t="str">
        <x:v>S0334</x:v>
      </x:c>
      <x:c r="B335" s="1" t="n">
        <x:v>31</x:v>
      </x:c>
      <x:c r="C335" s="1" t="str">
        <x:v>premium</x:v>
      </x:c>
      <x:c r="D335" s="8" t="n">
        <x:v>15.99</x:v>
      </x:c>
      <x:c r="E335" s="1" t="n">
        <x:v>4</x:v>
      </x:c>
      <x:c r="F335" s="1" t="n">
        <x:v>23</x:v>
      </x:c>
      <x:c r="G335" s="1" t="n">
        <x:v>6</x:v>
      </x:c>
      <x:c r="H335" s="1" t="n">
        <x:v>0</x:v>
      </x:c>
      <x:c r="I335" s="1" t="n">
        <x:v>1</x:v>
      </x:c>
      <x:c r="J335" s="1" t="str">
        <x:v>no</x:v>
      </x:c>
      <x:c r="K335" s="1" t="n">
        <x:f>2*H335+E335+IF(G335&gt;30,2,0)-IF(B335&gt;24,1,0)</x:f>
        <x:v>3</x:v>
      </x:c>
      <x:c r="L335" s="1" t="str">
        <x:f>IF(K335&gt;=3,"yes","no")</x:f>
        <x:v>yes</x:v>
      </x:c>
      <x:c r="M335" s="1"/>
      <x:c r="N335" s="1"/>
      <x:c r="O335" s="1"/>
    </x:row>
    <x:row r="336">
      <x:c r="A336" s="1" t="str">
        <x:v>S0335</x:v>
      </x:c>
      <x:c r="B336" s="1" t="n">
        <x:v>34</x:v>
      </x:c>
      <x:c r="C336" s="1" t="str">
        <x:v>basic</x:v>
      </x:c>
      <x:c r="D336" s="8" t="n">
        <x:v>9.99</x:v>
      </x:c>
      <x:c r="E336" s="1" t="n">
        <x:v>2</x:v>
      </x:c>
      <x:c r="F336" s="1" t="n">
        <x:v>15</x:v>
      </x:c>
      <x:c r="G336" s="1" t="n">
        <x:v>21</x:v>
      </x:c>
      <x:c r="H336" s="1" t="n">
        <x:v>0</x:v>
      </x:c>
      <x:c r="I336" s="1" t="n">
        <x:v>0</x:v>
      </x:c>
      <x:c r="J336" s="1" t="str">
        <x:v>no</x:v>
      </x:c>
      <x:c r="K336" s="1" t="n">
        <x:f>2*H336+E336+IF(G336&gt;30,2,0)-IF(B336&gt;24,1,0)</x:f>
        <x:v>1</x:v>
      </x:c>
      <x:c r="L336" s="1" t="str">
        <x:f>IF(K336&gt;=3,"yes","no")</x:f>
        <x:v>no</x:v>
      </x:c>
      <x:c r="M336" s="1"/>
      <x:c r="N336" s="1"/>
      <x:c r="O336" s="1"/>
    </x:row>
    <x:row r="337">
      <x:c r="A337" s="1" t="str">
        <x:v>S0336</x:v>
      </x:c>
      <x:c r="B337" s="1" t="n">
        <x:v>30</x:v>
      </x:c>
      <x:c r="C337" s="1" t="str">
        <x:v>premium</x:v>
      </x:c>
      <x:c r="D337" s="8" t="n">
        <x:v>15.99</x:v>
      </x:c>
      <x:c r="E337" s="1" t="n">
        <x:v>2</x:v>
      </x:c>
      <x:c r="F337" s="1" t="n">
        <x:v>0</x:v>
      </x:c>
      <x:c r="G337" s="1" t="n">
        <x:v>44</x:v>
      </x:c>
      <x:c r="H337" s="1" t="n">
        <x:v>0</x:v>
      </x:c>
      <x:c r="I337" s="1" t="n">
        <x:v>0</x:v>
      </x:c>
      <x:c r="J337" s="1" t="str">
        <x:v>yes</x:v>
      </x:c>
      <x:c r="K337" s="1" t="n">
        <x:f>2*H337+E337+IF(G337&gt;30,2,0)-IF(B337&gt;24,1,0)</x:f>
        <x:v>3</x:v>
      </x:c>
      <x:c r="L337" s="1" t="str">
        <x:f>IF(K337&gt;=3,"yes","no")</x:f>
        <x:v>yes</x:v>
      </x:c>
      <x:c r="M337" s="1"/>
      <x:c r="N337" s="1"/>
      <x:c r="O337" s="1"/>
    </x:row>
    <x:row r="338">
      <x:c r="A338" s="1" t="str">
        <x:v>S0337</x:v>
      </x:c>
      <x:c r="B338" s="1" t="n">
        <x:v>40</x:v>
      </x:c>
      <x:c r="C338" s="1" t="str">
        <x:v>premium</x:v>
      </x:c>
      <x:c r="D338" s="8" t="n">
        <x:v>15.99</x:v>
      </x:c>
      <x:c r="E338" s="1" t="n">
        <x:v>2</x:v>
      </x:c>
      <x:c r="F338" s="1" t="n">
        <x:v>18</x:v>
      </x:c>
      <x:c r="G338" s="1" t="n">
        <x:v>20</x:v>
      </x:c>
      <x:c r="H338" s="1" t="n">
        <x:v>0</x:v>
      </x:c>
      <x:c r="I338" s="1" t="n">
        <x:v>0</x:v>
      </x:c>
      <x:c r="J338" s="1" t="str">
        <x:v>no</x:v>
      </x:c>
      <x:c r="K338" s="1" t="n">
        <x:f>2*H338+E338+IF(G338&gt;30,2,0)-IF(B338&gt;24,1,0)</x:f>
        <x:v>1</x:v>
      </x:c>
      <x:c r="L338" s="1" t="str">
        <x:f>IF(K338&gt;=3,"yes","no")</x:f>
        <x:v>no</x:v>
      </x:c>
      <x:c r="M338" s="1"/>
      <x:c r="N338" s="1"/>
      <x:c r="O338" s="1"/>
    </x:row>
    <x:row r="339">
      <x:c r="A339" s="1" t="str">
        <x:v>S0338</x:v>
      </x:c>
      <x:c r="B339" s="1" t="n">
        <x:v>22</x:v>
      </x:c>
      <x:c r="C339" s="1" t="str">
        <x:v>basic</x:v>
      </x:c>
      <x:c r="D339" s="8" t="n">
        <x:v>9.99</x:v>
      </x:c>
      <x:c r="E339" s="1" t="n">
        <x:v>0</x:v>
      </x:c>
      <x:c r="F339" s="1" t="n">
        <x:v>15</x:v>
      </x:c>
      <x:c r="G339" s="1" t="n">
        <x:v>0</x:v>
      </x:c>
      <x:c r="H339" s="1" t="n">
        <x:v>0</x:v>
      </x:c>
      <x:c r="I339" s="1" t="n">
        <x:v>0</x:v>
      </x:c>
      <x:c r="J339" s="1" t="str">
        <x:v>no</x:v>
      </x:c>
      <x:c r="K339" s="1" t="n">
        <x:f>2*H339+E339+IF(G339&gt;30,2,0)-IF(B339&gt;24,1,0)</x:f>
        <x:v>0</x:v>
      </x:c>
      <x:c r="L339" s="1" t="str">
        <x:f>IF(K339&gt;=3,"yes","no")</x:f>
        <x:v>no</x:v>
      </x:c>
      <x:c r="M339" s="1"/>
      <x:c r="N339" s="1"/>
      <x:c r="O339" s="1"/>
    </x:row>
    <x:row r="340">
      <x:c r="A340" s="1" t="str">
        <x:v>S0339</x:v>
      </x:c>
      <x:c r="B340" s="1" t="n">
        <x:v>1</x:v>
      </x:c>
      <x:c r="C340" s="1" t="str">
        <x:v>basic</x:v>
      </x:c>
      <x:c r="D340" s="8" t="n">
        <x:v>9.99</x:v>
      </x:c>
      <x:c r="E340" s="1" t="n">
        <x:v>3</x:v>
      </x:c>
      <x:c r="F340" s="1" t="n">
        <x:v>16</x:v>
      </x:c>
      <x:c r="G340" s="1" t="n">
        <x:v>19</x:v>
      </x:c>
      <x:c r="H340" s="1" t="n">
        <x:v>0</x:v>
      </x:c>
      <x:c r="I340" s="1" t="n">
        <x:v>0</x:v>
      </x:c>
      <x:c r="J340" s="1" t="str">
        <x:v>yes</x:v>
      </x:c>
      <x:c r="K340" s="1" t="n">
        <x:f>2*H340+E340+IF(G340&gt;30,2,0)-IF(B340&gt;24,1,0)</x:f>
        <x:v>3</x:v>
      </x:c>
      <x:c r="L340" s="1" t="str">
        <x:f>IF(K340&gt;=3,"yes","no")</x:f>
        <x:v>yes</x:v>
      </x:c>
      <x:c r="M340" s="1"/>
      <x:c r="N340" s="1"/>
      <x:c r="O340" s="1"/>
    </x:row>
    <x:row r="341">
      <x:c r="A341" s="1" t="str">
        <x:v>S0340</x:v>
      </x:c>
      <x:c r="B341" s="1" t="n">
        <x:v>38</x:v>
      </x:c>
      <x:c r="C341" s="1" t="str">
        <x:v>basic</x:v>
      </x:c>
      <x:c r="D341" s="8" t="n">
        <x:v>9.99</x:v>
      </x:c>
      <x:c r="E341" s="1" t="n">
        <x:v>1</x:v>
      </x:c>
      <x:c r="F341" s="1" t="n">
        <x:v>20</x:v>
      </x:c>
      <x:c r="G341" s="1" t="n">
        <x:v>2</x:v>
      </x:c>
      <x:c r="H341" s="1" t="n">
        <x:v>0</x:v>
      </x:c>
      <x:c r="I341" s="1" t="n">
        <x:v>1</x:v>
      </x:c>
      <x:c r="J341" s="1" t="str">
        <x:v>no</x:v>
      </x:c>
      <x:c r="K341" s="1" t="n">
        <x:f>2*H341+E341+IF(G341&gt;30,2,0)-IF(B341&gt;24,1,0)</x:f>
        <x:v>0</x:v>
      </x:c>
      <x:c r="L341" s="1" t="str">
        <x:f>IF(K341&gt;=3,"yes","no")</x:f>
        <x:v>no</x:v>
      </x:c>
      <x:c r="M341" s="1"/>
      <x:c r="N341" s="1"/>
      <x:c r="O341" s="1"/>
    </x:row>
    <x:row r="342">
      <x:c r="A342" s="1" t="str">
        <x:v>S0341</x:v>
      </x:c>
      <x:c r="B342" s="1" t="n">
        <x:v>12</x:v>
      </x:c>
      <x:c r="C342" s="1" t="str">
        <x:v>basic</x:v>
      </x:c>
      <x:c r="D342" s="8" t="n">
        <x:v>9.99</x:v>
      </x:c>
      <x:c r="E342" s="1" t="n">
        <x:v>2</x:v>
      </x:c>
      <x:c r="F342" s="1" t="n">
        <x:v>30</x:v>
      </x:c>
      <x:c r="G342" s="1" t="n">
        <x:v>2</x:v>
      </x:c>
      <x:c r="H342" s="1" t="n">
        <x:v>0</x:v>
      </x:c>
      <x:c r="I342" s="1" t="n">
        <x:v>0</x:v>
      </x:c>
      <x:c r="J342" s="1" t="str">
        <x:v>no</x:v>
      </x:c>
      <x:c r="K342" s="1" t="n">
        <x:f>2*H342+E342+IF(G342&gt;30,2,0)-IF(B342&gt;24,1,0)</x:f>
        <x:v>2</x:v>
      </x:c>
      <x:c r="L342" s="1" t="str">
        <x:f>IF(K342&gt;=3,"yes","no")</x:f>
        <x:v>no</x:v>
      </x:c>
      <x:c r="M342" s="1"/>
      <x:c r="N342" s="1"/>
      <x:c r="O342" s="1"/>
    </x:row>
    <x:row r="343">
      <x:c r="A343" s="1" t="str">
        <x:v>S0342</x:v>
      </x:c>
      <x:c r="B343" s="1" t="n">
        <x:v>36</x:v>
      </x:c>
      <x:c r="C343" s="1" t="str">
        <x:v>basic</x:v>
      </x:c>
      <x:c r="D343" s="8" t="n">
        <x:v>9.99</x:v>
      </x:c>
      <x:c r="E343" s="1" t="n">
        <x:v>1</x:v>
      </x:c>
      <x:c r="F343" s="1" t="n">
        <x:v>0</x:v>
      </x:c>
      <x:c r="G343" s="1" t="n">
        <x:v>38</x:v>
      </x:c>
      <x:c r="H343" s="1" t="n">
        <x:v>0</x:v>
      </x:c>
      <x:c r="I343" s="1" t="n">
        <x:v>0</x:v>
      </x:c>
      <x:c r="J343" s="1" t="str">
        <x:v>yes</x:v>
      </x:c>
      <x:c r="K343" s="1" t="n">
        <x:f>2*H343+E343+IF(G343&gt;30,2,0)-IF(B343&gt;24,1,0)</x:f>
        <x:v>2</x:v>
      </x:c>
      <x:c r="L343" s="1" t="str">
        <x:f>IF(K343&gt;=3,"yes","no")</x:f>
        <x:v>no</x:v>
      </x:c>
      <x:c r="M343" s="1"/>
      <x:c r="N343" s="1"/>
      <x:c r="O343" s="1"/>
    </x:row>
    <x:row r="344">
      <x:c r="A344" s="1" t="str">
        <x:v>S0343</x:v>
      </x:c>
      <x:c r="B344" s="1" t="n">
        <x:v>30</x:v>
      </x:c>
      <x:c r="C344" s="1" t="str">
        <x:v>basic</x:v>
      </x:c>
      <x:c r="D344" s="8" t="n">
        <x:v>9.99</x:v>
      </x:c>
      <x:c r="E344" s="1" t="n">
        <x:v>1</x:v>
      </x:c>
      <x:c r="F344" s="1" t="n">
        <x:v>11</x:v>
      </x:c>
      <x:c r="G344" s="1" t="n">
        <x:v>5</x:v>
      </x:c>
      <x:c r="H344" s="1" t="n">
        <x:v>0</x:v>
      </x:c>
      <x:c r="I344" s="1" t="n">
        <x:v>1</x:v>
      </x:c>
      <x:c r="J344" s="1" t="str">
        <x:v>no</x:v>
      </x:c>
      <x:c r="K344" s="1" t="n">
        <x:f>2*H344+E344+IF(G344&gt;30,2,0)-IF(B344&gt;24,1,0)</x:f>
        <x:v>0</x:v>
      </x:c>
      <x:c r="L344" s="1" t="str">
        <x:f>IF(K344&gt;=3,"yes","no")</x:f>
        <x:v>no</x:v>
      </x:c>
      <x:c r="M344" s="1"/>
      <x:c r="N344" s="1"/>
      <x:c r="O344" s="1"/>
    </x:row>
    <x:row r="345">
      <x:c r="A345" s="1" t="str">
        <x:v>S0344</x:v>
      </x:c>
      <x:c r="B345" s="1" t="n">
        <x:v>35</x:v>
      </x:c>
      <x:c r="C345" s="1" t="str">
        <x:v>premium</x:v>
      </x:c>
      <x:c r="D345" s="8" t="n">
        <x:v>15.99</x:v>
      </x:c>
      <x:c r="E345" s="1" t="n">
        <x:v>4</x:v>
      </x:c>
      <x:c r="F345" s="1" t="n">
        <x:v>16</x:v>
      </x:c>
      <x:c r="G345" s="1" t="n">
        <x:v>22</x:v>
      </x:c>
      <x:c r="H345" s="1" t="n">
        <x:v>0</x:v>
      </x:c>
      <x:c r="I345" s="1" t="n">
        <x:v>0</x:v>
      </x:c>
      <x:c r="J345" s="1" t="str">
        <x:v>yes</x:v>
      </x:c>
      <x:c r="K345" s="1" t="n">
        <x:f>2*H345+E345+IF(G345&gt;30,2,0)-IF(B345&gt;24,1,0)</x:f>
        <x:v>3</x:v>
      </x:c>
      <x:c r="L345" s="1" t="str">
        <x:f>IF(K345&gt;=3,"yes","no")</x:f>
        <x:v>yes</x:v>
      </x:c>
      <x:c r="M345" s="1"/>
      <x:c r="N345" s="1"/>
      <x:c r="O345" s="1"/>
    </x:row>
    <x:row r="346">
      <x:c r="A346" s="1" t="str">
        <x:v>S0345</x:v>
      </x:c>
      <x:c r="B346" s="1" t="n">
        <x:v>43</x:v>
      </x:c>
      <x:c r="C346" s="1" t="str">
        <x:v>basic</x:v>
      </x:c>
      <x:c r="D346" s="8" t="n">
        <x:v>9.99</x:v>
      </x:c>
      <x:c r="E346" s="1" t="n">
        <x:v>1</x:v>
      </x:c>
      <x:c r="F346" s="1" t="n">
        <x:v>23</x:v>
      </x:c>
      <x:c r="G346" s="1" t="n">
        <x:v>0</x:v>
      </x:c>
      <x:c r="H346" s="1" t="n">
        <x:v>0</x:v>
      </x:c>
      <x:c r="I346" s="1" t="n">
        <x:v>1</x:v>
      </x:c>
      <x:c r="J346" s="1" t="str">
        <x:v>no</x:v>
      </x:c>
      <x:c r="K346" s="1" t="n">
        <x:f>2*H346+E346+IF(G346&gt;30,2,0)-IF(B346&gt;24,1,0)</x:f>
        <x:v>0</x:v>
      </x:c>
      <x:c r="L346" s="1" t="str">
        <x:f>IF(K346&gt;=3,"yes","no")</x:f>
        <x:v>no</x:v>
      </x:c>
      <x:c r="M346" s="1"/>
      <x:c r="N346" s="1"/>
      <x:c r="O346" s="1"/>
    </x:row>
    <x:row r="347">
      <x:c r="A347" s="1" t="str">
        <x:v>S0346</x:v>
      </x:c>
      <x:c r="B347" s="1" t="n">
        <x:v>19</x:v>
      </x:c>
      <x:c r="C347" s="1" t="str">
        <x:v>premium</x:v>
      </x:c>
      <x:c r="D347" s="8" t="n">
        <x:v>15.99</x:v>
      </x:c>
      <x:c r="E347" s="1" t="n">
        <x:v>0</x:v>
      </x:c>
      <x:c r="F347" s="1" t="n">
        <x:v>11</x:v>
      </x:c>
      <x:c r="G347" s="1" t="n">
        <x:v>7</x:v>
      </x:c>
      <x:c r="H347" s="1" t="n">
        <x:v>0</x:v>
      </x:c>
      <x:c r="I347" s="1" t="n">
        <x:v>1</x:v>
      </x:c>
      <x:c r="J347" s="1" t="str">
        <x:v>no</x:v>
      </x:c>
      <x:c r="K347" s="1" t="n">
        <x:f>2*H347+E347+IF(G347&gt;30,2,0)-IF(B347&gt;24,1,0)</x:f>
        <x:v>0</x:v>
      </x:c>
      <x:c r="L347" s="1" t="str">
        <x:f>IF(K347&gt;=3,"yes","no")</x:f>
        <x:v>no</x:v>
      </x:c>
      <x:c r="M347" s="1"/>
      <x:c r="N347" s="1"/>
      <x:c r="O347" s="1"/>
    </x:row>
    <x:row r="348">
      <x:c r="A348" s="1" t="str">
        <x:v>S0347</x:v>
      </x:c>
      <x:c r="B348" s="1" t="n">
        <x:v>22</x:v>
      </x:c>
      <x:c r="C348" s="1" t="str">
        <x:v>premium</x:v>
      </x:c>
      <x:c r="D348" s="8" t="n">
        <x:v>15.99</x:v>
      </x:c>
      <x:c r="E348" s="1" t="n">
        <x:v>0</x:v>
      </x:c>
      <x:c r="F348" s="1" t="n">
        <x:v>18</x:v>
      </x:c>
      <x:c r="G348" s="1" t="n">
        <x:v>5</x:v>
      </x:c>
      <x:c r="H348" s="1" t="n">
        <x:v>0</x:v>
      </x:c>
      <x:c r="I348" s="1" t="n">
        <x:v>0</x:v>
      </x:c>
      <x:c r="J348" s="1" t="str">
        <x:v>no</x:v>
      </x:c>
      <x:c r="K348" s="1" t="n">
        <x:f>2*H348+E348+IF(G348&gt;30,2,0)-IF(B348&gt;24,1,0)</x:f>
        <x:v>0</x:v>
      </x:c>
      <x:c r="L348" s="1" t="str">
        <x:f>IF(K348&gt;=3,"yes","no")</x:f>
        <x:v>no</x:v>
      </x:c>
      <x:c r="M348" s="1"/>
      <x:c r="N348" s="1"/>
      <x:c r="O348" s="1"/>
    </x:row>
    <x:row r="349">
      <x:c r="A349" s="1" t="str">
        <x:v>S0348</x:v>
      </x:c>
      <x:c r="B349" s="1" t="n">
        <x:v>18</x:v>
      </x:c>
      <x:c r="C349" s="1" t="str">
        <x:v>basic</x:v>
      </x:c>
      <x:c r="D349" s="8" t="n">
        <x:v>9.99</x:v>
      </x:c>
      <x:c r="E349" s="1" t="n">
        <x:v>1</x:v>
      </x:c>
      <x:c r="F349" s="1" t="n">
        <x:v>15</x:v>
      </x:c>
      <x:c r="G349" s="1" t="n">
        <x:v>11</x:v>
      </x:c>
      <x:c r="H349" s="1" t="n">
        <x:v>0</x:v>
      </x:c>
      <x:c r="I349" s="1" t="n">
        <x:v>0</x:v>
      </x:c>
      <x:c r="J349" s="1" t="str">
        <x:v>no</x:v>
      </x:c>
      <x:c r="K349" s="1" t="n">
        <x:f>2*H349+E349+IF(G349&gt;30,2,0)-IF(B349&gt;24,1,0)</x:f>
        <x:v>1</x:v>
      </x:c>
      <x:c r="L349" s="1" t="str">
        <x:f>IF(K349&gt;=3,"yes","no")</x:f>
        <x:v>no</x:v>
      </x:c>
      <x:c r="M349" s="1"/>
      <x:c r="N349" s="1"/>
      <x:c r="O349" s="1"/>
    </x:row>
    <x:row r="350">
      <x:c r="A350" s="1" t="str">
        <x:v>S0349</x:v>
      </x:c>
      <x:c r="B350" s="1" t="n">
        <x:v>9</x:v>
      </x:c>
      <x:c r="C350" s="1" t="str">
        <x:v>premium</x:v>
      </x:c>
      <x:c r="D350" s="8" t="n">
        <x:v>15.99</x:v>
      </x:c>
      <x:c r="E350" s="1" t="n">
        <x:v>1</x:v>
      </x:c>
      <x:c r="F350" s="1" t="n">
        <x:v>14</x:v>
      </x:c>
      <x:c r="G350" s="1" t="n">
        <x:v>4</x:v>
      </x:c>
      <x:c r="H350" s="1" t="n">
        <x:v>0</x:v>
      </x:c>
      <x:c r="I350" s="1" t="n">
        <x:v>0</x:v>
      </x:c>
      <x:c r="J350" s="1" t="str">
        <x:v>no</x:v>
      </x:c>
      <x:c r="K350" s="1" t="n">
        <x:f>2*H350+E350+IF(G350&gt;30,2,0)-IF(B350&gt;24,1,0)</x:f>
        <x:v>1</x:v>
      </x:c>
      <x:c r="L350" s="1" t="str">
        <x:f>IF(K350&gt;=3,"yes","no")</x:f>
        <x:v>no</x:v>
      </x:c>
      <x:c r="M350" s="1"/>
      <x:c r="N350" s="1"/>
      <x:c r="O350" s="1"/>
    </x:row>
    <x:row r="351">
      <x:c r="A351" s="1" t="str">
        <x:v>S0350</x:v>
      </x:c>
      <x:c r="B351" s="1" t="n">
        <x:v>1</x:v>
      </x:c>
      <x:c r="C351" s="1" t="str">
        <x:v>basic</x:v>
      </x:c>
      <x:c r="D351" s="8" t="n">
        <x:v>9.99</x:v>
      </x:c>
      <x:c r="E351" s="1" t="n">
        <x:v>4</x:v>
      </x:c>
      <x:c r="F351" s="1" t="n">
        <x:v>19</x:v>
      </x:c>
      <x:c r="G351" s="1" t="n">
        <x:v>5</x:v>
      </x:c>
      <x:c r="H351" s="1" t="n">
        <x:v>0</x:v>
      </x:c>
      <x:c r="I351" s="1" t="n">
        <x:v>0</x:v>
      </x:c>
      <x:c r="J351" s="1" t="str">
        <x:v>yes</x:v>
      </x:c>
      <x:c r="K351" s="1" t="n">
        <x:f>2*H351+E351+IF(G351&gt;30,2,0)-IF(B351&gt;24,1,0)</x:f>
        <x:v>4</x:v>
      </x:c>
      <x:c r="L351" s="1" t="str">
        <x:f>IF(K351&gt;=3,"yes","no")</x:f>
        <x:v>yes</x:v>
      </x:c>
      <x:c r="M351" s="1"/>
      <x:c r="N351" s="1"/>
      <x:c r="O351" s="1"/>
    </x:row>
    <x:row r="352">
      <x:c r="A352" s="1" t="str">
        <x:v>S0351</x:v>
      </x:c>
      <x:c r="B352" s="1" t="n">
        <x:v>43</x:v>
      </x:c>
      <x:c r="C352" s="1" t="str">
        <x:v>premium</x:v>
      </x:c>
      <x:c r="D352" s="8" t="n">
        <x:v>15.99</x:v>
      </x:c>
      <x:c r="E352" s="1" t="n">
        <x:v>2</x:v>
      </x:c>
      <x:c r="F352" s="1" t="n">
        <x:v>9</x:v>
      </x:c>
      <x:c r="G352" s="1" t="n">
        <x:v>7</x:v>
      </x:c>
      <x:c r="H352" s="1" t="n">
        <x:v>0</x:v>
      </x:c>
      <x:c r="I352" s="1" t="n">
        <x:v>0</x:v>
      </x:c>
      <x:c r="J352" s="1" t="str">
        <x:v>no</x:v>
      </x:c>
      <x:c r="K352" s="1" t="n">
        <x:f>2*H352+E352+IF(G352&gt;30,2,0)-IF(B352&gt;24,1,0)</x:f>
        <x:v>1</x:v>
      </x:c>
      <x:c r="L352" s="1" t="str">
        <x:f>IF(K352&gt;=3,"yes","no")</x:f>
        <x:v>no</x:v>
      </x:c>
      <x:c r="M352" s="1"/>
      <x:c r="N352" s="1"/>
      <x:c r="O352" s="1"/>
    </x:row>
    <x:row r="353">
      <x:c r="A353" s="1" t="str">
        <x:v>S0352</x:v>
      </x:c>
      <x:c r="B353" s="1" t="n">
        <x:v>19</x:v>
      </x:c>
      <x:c r="C353" s="1" t="str">
        <x:v>premium</x:v>
      </x:c>
      <x:c r="D353" s="8" t="n">
        <x:v>15.99</x:v>
      </x:c>
      <x:c r="E353" s="1" t="n">
        <x:v>4</x:v>
      </x:c>
      <x:c r="F353" s="1" t="n">
        <x:v>11</x:v>
      </x:c>
      <x:c r="G353" s="1" t="n">
        <x:v>6</x:v>
      </x:c>
      <x:c r="H353" s="1" t="n">
        <x:v>0</x:v>
      </x:c>
      <x:c r="I353" s="1" t="n">
        <x:v>0</x:v>
      </x:c>
      <x:c r="J353" s="1" t="str">
        <x:v>no</x:v>
      </x:c>
      <x:c r="K353" s="1" t="n">
        <x:f>2*H353+E353+IF(G353&gt;30,2,0)-IF(B353&gt;24,1,0)</x:f>
        <x:v>4</x:v>
      </x:c>
      <x:c r="L353" s="1" t="str">
        <x:f>IF(K353&gt;=3,"yes","no")</x:f>
        <x:v>yes</x:v>
      </x:c>
      <x:c r="M353" s="1"/>
      <x:c r="N353" s="1"/>
      <x:c r="O353" s="1"/>
    </x:row>
    <x:row r="354">
      <x:c r="A354" s="1" t="str">
        <x:v>S0353</x:v>
      </x:c>
      <x:c r="B354" s="1" t="n">
        <x:v>19</x:v>
      </x:c>
      <x:c r="C354" s="1" t="str">
        <x:v>basic</x:v>
      </x:c>
      <x:c r="D354" s="8" t="n">
        <x:v>9.99</x:v>
      </x:c>
      <x:c r="E354" s="1" t="n">
        <x:v>0</x:v>
      </x:c>
      <x:c r="F354" s="1" t="n">
        <x:v>6</x:v>
      </x:c>
      <x:c r="G354" s="1" t="n">
        <x:v>7</x:v>
      </x:c>
      <x:c r="H354" s="1" t="n">
        <x:v>0</x:v>
      </x:c>
      <x:c r="I354" s="1" t="n">
        <x:v>0</x:v>
      </x:c>
      <x:c r="J354" s="1" t="str">
        <x:v>no</x:v>
      </x:c>
      <x:c r="K354" s="1" t="n">
        <x:f>2*H354+E354+IF(G354&gt;30,2,0)-IF(B354&gt;24,1,0)</x:f>
        <x:v>0</x:v>
      </x:c>
      <x:c r="L354" s="1" t="str">
        <x:f>IF(K354&gt;=3,"yes","no")</x:f>
        <x:v>no</x:v>
      </x:c>
      <x:c r="M354" s="1"/>
      <x:c r="N354" s="1"/>
      <x:c r="O354" s="1"/>
    </x:row>
    <x:row r="355">
      <x:c r="A355" s="1" t="str">
        <x:v>S0354</x:v>
      </x:c>
      <x:c r="B355" s="1" t="n">
        <x:v>17</x:v>
      </x:c>
      <x:c r="C355" s="1" t="str">
        <x:v>basic</x:v>
      </x:c>
      <x:c r="D355" s="8" t="n">
        <x:v>9.99</x:v>
      </x:c>
      <x:c r="E355" s="1" t="n">
        <x:v>0</x:v>
      </x:c>
      <x:c r="F355" s="1" t="n">
        <x:v>15</x:v>
      </x:c>
      <x:c r="G355" s="1" t="n">
        <x:v>3</x:v>
      </x:c>
      <x:c r="H355" s="1" t="n">
        <x:v>0</x:v>
      </x:c>
      <x:c r="I355" s="1" t="n">
        <x:v>1</x:v>
      </x:c>
      <x:c r="J355" s="1" t="str">
        <x:v>no</x:v>
      </x:c>
      <x:c r="K355" s="1" t="n">
        <x:f>2*H355+E355+IF(G355&gt;30,2,0)-IF(B355&gt;24,1,0)</x:f>
        <x:v>0</x:v>
      </x:c>
      <x:c r="L355" s="1" t="str">
        <x:f>IF(K355&gt;=3,"yes","no")</x:f>
        <x:v>no</x:v>
      </x:c>
      <x:c r="M355" s="1"/>
      <x:c r="N355" s="1"/>
      <x:c r="O355" s="1"/>
    </x:row>
    <x:row r="356">
      <x:c r="A356" s="1" t="str">
        <x:v>S0355</x:v>
      </x:c>
      <x:c r="B356" s="1" t="n">
        <x:v>13</x:v>
      </x:c>
      <x:c r="C356" s="1" t="str">
        <x:v>premium</x:v>
      </x:c>
      <x:c r="D356" s="8" t="n">
        <x:v>15.99</x:v>
      </x:c>
      <x:c r="E356" s="1" t="n">
        <x:v>0</x:v>
      </x:c>
      <x:c r="F356" s="1" t="n">
        <x:v>0</x:v>
      </x:c>
      <x:c r="G356" s="1" t="n">
        <x:v>50</x:v>
      </x:c>
      <x:c r="H356" s="1" t="n">
        <x:v>0</x:v>
      </x:c>
      <x:c r="I356" s="1" t="n">
        <x:v>0</x:v>
      </x:c>
      <x:c r="J356" s="1" t="str">
        <x:v>no</x:v>
      </x:c>
      <x:c r="K356" s="1" t="n">
        <x:f>2*H356+E356+IF(G356&gt;30,2,0)-IF(B356&gt;24,1,0)</x:f>
        <x:v>2</x:v>
      </x:c>
      <x:c r="L356" s="1" t="str">
        <x:f>IF(K356&gt;=3,"yes","no")</x:f>
        <x:v>no</x:v>
      </x:c>
      <x:c r="M356" s="1"/>
      <x:c r="N356" s="1"/>
      <x:c r="O356" s="1"/>
    </x:row>
    <x:row r="357">
      <x:c r="A357" s="1" t="str">
        <x:v>S0356</x:v>
      </x:c>
      <x:c r="B357" s="1" t="n">
        <x:v>40</x:v>
      </x:c>
      <x:c r="C357" s="1" t="str">
        <x:v>premium</x:v>
      </x:c>
      <x:c r="D357" s="8" t="n">
        <x:v>15.99</x:v>
      </x:c>
      <x:c r="E357" s="1" t="n">
        <x:v>1</x:v>
      </x:c>
      <x:c r="F357" s="1" t="n">
        <x:v>0</x:v>
      </x:c>
      <x:c r="G357" s="1" t="n">
        <x:v>33</x:v>
      </x:c>
      <x:c r="H357" s="1" t="n">
        <x:v>0</x:v>
      </x:c>
      <x:c r="I357" s="1" t="n">
        <x:v>1</x:v>
      </x:c>
      <x:c r="J357" s="1" t="str">
        <x:v>no</x:v>
      </x:c>
      <x:c r="K357" s="1" t="n">
        <x:f>2*H357+E357+IF(G357&gt;30,2,0)-IF(B357&gt;24,1,0)</x:f>
        <x:v>2</x:v>
      </x:c>
      <x:c r="L357" s="1" t="str">
        <x:f>IF(K357&gt;=3,"yes","no")</x:f>
        <x:v>no</x:v>
      </x:c>
      <x:c r="M357" s="1"/>
      <x:c r="N357" s="1"/>
      <x:c r="O357" s="1"/>
    </x:row>
    <x:row r="358">
      <x:c r="A358" s="1" t="str">
        <x:v>S0357</x:v>
      </x:c>
      <x:c r="B358" s="1" t="n">
        <x:v>3</x:v>
      </x:c>
      <x:c r="C358" s="1" t="str">
        <x:v>premium</x:v>
      </x:c>
      <x:c r="D358" s="8" t="n">
        <x:v>15.99</x:v>
      </x:c>
      <x:c r="E358" s="1" t="n">
        <x:v>1</x:v>
      </x:c>
      <x:c r="F358" s="1" t="n">
        <x:v>7</x:v>
      </x:c>
      <x:c r="G358" s="1" t="n">
        <x:v>19</x:v>
      </x:c>
      <x:c r="H358" s="1" t="n">
        <x:v>0</x:v>
      </x:c>
      <x:c r="I358" s="1" t="n">
        <x:v>0</x:v>
      </x:c>
      <x:c r="J358" s="1" t="str">
        <x:v>yes</x:v>
      </x:c>
      <x:c r="K358" s="1" t="n">
        <x:f>2*H358+E358+IF(G358&gt;30,2,0)-IF(B358&gt;24,1,0)</x:f>
        <x:v>1</x:v>
      </x:c>
      <x:c r="L358" s="1" t="str">
        <x:f>IF(K358&gt;=3,"yes","no")</x:f>
        <x:v>no</x:v>
      </x:c>
      <x:c r="M358" s="1"/>
      <x:c r="N358" s="1"/>
      <x:c r="O358" s="1"/>
    </x:row>
    <x:row r="359">
      <x:c r="A359" s="1" t="str">
        <x:v>S0358</x:v>
      </x:c>
      <x:c r="B359" s="1" t="n">
        <x:v>48</x:v>
      </x:c>
      <x:c r="C359" s="1" t="str">
        <x:v>premium</x:v>
      </x:c>
      <x:c r="D359" s="8" t="n">
        <x:v>15.99</x:v>
      </x:c>
      <x:c r="E359" s="1" t="n">
        <x:v>0</x:v>
      </x:c>
      <x:c r="F359" s="1" t="n">
        <x:v>17</x:v>
      </x:c>
      <x:c r="G359" s="1" t="n">
        <x:v>1</x:v>
      </x:c>
      <x:c r="H359" s="1" t="n">
        <x:v>0</x:v>
      </x:c>
      <x:c r="I359" s="1" t="n">
        <x:v>1</x:v>
      </x:c>
      <x:c r="J359" s="1" t="str">
        <x:v>no</x:v>
      </x:c>
      <x:c r="K359" s="1" t="n">
        <x:f>2*H359+E359+IF(G359&gt;30,2,0)-IF(B359&gt;24,1,0)</x:f>
        <x:v>-1</x:v>
      </x:c>
      <x:c r="L359" s="1" t="str">
        <x:f>IF(K359&gt;=3,"yes","no")</x:f>
        <x:v>no</x:v>
      </x:c>
      <x:c r="M359" s="1"/>
      <x:c r="N359" s="1"/>
      <x:c r="O359" s="1"/>
    </x:row>
    <x:row r="360">
      <x:c r="A360" s="1" t="str">
        <x:v>S0359</x:v>
      </x:c>
      <x:c r="B360" s="1" t="n">
        <x:v>24</x:v>
      </x:c>
      <x:c r="C360" s="1" t="str">
        <x:v>basic</x:v>
      </x:c>
      <x:c r="D360" s="8" t="n">
        <x:v>9.99</x:v>
      </x:c>
      <x:c r="E360" s="1" t="n">
        <x:v>0</x:v>
      </x:c>
      <x:c r="F360" s="1" t="n">
        <x:v>17</x:v>
      </x:c>
      <x:c r="G360" s="1" t="n">
        <x:v>10</x:v>
      </x:c>
      <x:c r="H360" s="1" t="n">
        <x:v>0</x:v>
      </x:c>
      <x:c r="I360" s="1" t="n">
        <x:v>1</x:v>
      </x:c>
      <x:c r="J360" s="1" t="str">
        <x:v>no</x:v>
      </x:c>
      <x:c r="K360" s="1" t="n">
        <x:f>2*H360+E360+IF(G360&gt;30,2,0)-IF(B360&gt;24,1,0)</x:f>
        <x:v>0</x:v>
      </x:c>
      <x:c r="L360" s="1" t="str">
        <x:f>IF(K360&gt;=3,"yes","no")</x:f>
        <x:v>no</x:v>
      </x:c>
      <x:c r="M360" s="1"/>
      <x:c r="N360" s="1"/>
      <x:c r="O360" s="1"/>
    </x:row>
    <x:row r="361">
      <x:c r="A361" s="1" t="str">
        <x:v>S0360</x:v>
      </x:c>
      <x:c r="B361" s="1" t="n">
        <x:v>18</x:v>
      </x:c>
      <x:c r="C361" s="1" t="str">
        <x:v>basic</x:v>
      </x:c>
      <x:c r="D361" s="8" t="n">
        <x:v>9.99</x:v>
      </x:c>
      <x:c r="E361" s="1" t="n">
        <x:v>3</x:v>
      </x:c>
      <x:c r="F361" s="1" t="n">
        <x:v>17</x:v>
      </x:c>
      <x:c r="G361" s="1" t="n">
        <x:v>7</x:v>
      </x:c>
      <x:c r="H361" s="1" t="n">
        <x:v>0</x:v>
      </x:c>
      <x:c r="I361" s="1" t="n">
        <x:v>0</x:v>
      </x:c>
      <x:c r="J361" s="1" t="str">
        <x:v>no</x:v>
      </x:c>
      <x:c r="K361" s="1" t="n">
        <x:f>2*H361+E361+IF(G361&gt;30,2,0)-IF(B361&gt;24,1,0)</x:f>
        <x:v>3</x:v>
      </x:c>
      <x:c r="L361" s="1" t="str">
        <x:f>IF(K361&gt;=3,"yes","no")</x:f>
        <x:v>yes</x:v>
      </x:c>
      <x:c r="M361" s="1"/>
      <x:c r="N361" s="1"/>
      <x:c r="O361" s="1"/>
    </x:row>
    <x:row r="362">
      <x:c r="A362" s="1" t="str">
        <x:v>S0361</x:v>
      </x:c>
      <x:c r="B362" s="1" t="n">
        <x:v>46</x:v>
      </x:c>
      <x:c r="C362" s="1" t="str">
        <x:v>premium</x:v>
      </x:c>
      <x:c r="D362" s="8" t="n">
        <x:v>15.99</x:v>
      </x:c>
      <x:c r="E362" s="1" t="n">
        <x:v>0</x:v>
      </x:c>
      <x:c r="F362" s="1" t="n">
        <x:v>32</x:v>
      </x:c>
      <x:c r="G362" s="1" t="n">
        <x:v>6</x:v>
      </x:c>
      <x:c r="H362" s="1" t="n">
        <x:v>1</x:v>
      </x:c>
      <x:c r="I362" s="1" t="n">
        <x:v>1</x:v>
      </x:c>
      <x:c r="J362" s="1" t="str">
        <x:v>no</x:v>
      </x:c>
      <x:c r="K362" s="1" t="n">
        <x:f>2*H362+E362+IF(G362&gt;30,2,0)-IF(B362&gt;24,1,0)</x:f>
        <x:v>1</x:v>
      </x:c>
      <x:c r="L362" s="1" t="str">
        <x:f>IF(K362&gt;=3,"yes","no")</x:f>
        <x:v>no</x:v>
      </x:c>
      <x:c r="M362" s="1"/>
      <x:c r="N362" s="1"/>
      <x:c r="O362" s="1"/>
    </x:row>
    <x:row r="363">
      <x:c r="A363" s="1" t="str">
        <x:v>S0362</x:v>
      </x:c>
      <x:c r="B363" s="1" t="n">
        <x:v>26</x:v>
      </x:c>
      <x:c r="C363" s="1" t="str">
        <x:v>basic</x:v>
      </x:c>
      <x:c r="D363" s="8" t="n">
        <x:v>9.99</x:v>
      </x:c>
      <x:c r="E363" s="1" t="n">
        <x:v>4</x:v>
      </x:c>
      <x:c r="F363" s="1" t="n">
        <x:v>18</x:v>
      </x:c>
      <x:c r="G363" s="1" t="n">
        <x:v>0</x:v>
      </x:c>
      <x:c r="H363" s="1" t="n">
        <x:v>0</x:v>
      </x:c>
      <x:c r="I363" s="1" t="n">
        <x:v>1</x:v>
      </x:c>
      <x:c r="J363" s="1" t="str">
        <x:v>yes</x:v>
      </x:c>
      <x:c r="K363" s="1" t="n">
        <x:f>2*H363+E363+IF(G363&gt;30,2,0)-IF(B363&gt;24,1,0)</x:f>
        <x:v>3</x:v>
      </x:c>
      <x:c r="L363" s="1" t="str">
        <x:f>IF(K363&gt;=3,"yes","no")</x:f>
        <x:v>yes</x:v>
      </x:c>
      <x:c r="M363" s="1"/>
      <x:c r="N363" s="1"/>
      <x:c r="O363" s="1"/>
    </x:row>
    <x:row r="364">
      <x:c r="A364" s="1" t="str">
        <x:v>S0363</x:v>
      </x:c>
      <x:c r="B364" s="1" t="n">
        <x:v>29</x:v>
      </x:c>
      <x:c r="C364" s="1" t="str">
        <x:v>premium</x:v>
      </x:c>
      <x:c r="D364" s="8" t="n">
        <x:v>15.99</x:v>
      </x:c>
      <x:c r="E364" s="1" t="n">
        <x:v>0</x:v>
      </x:c>
      <x:c r="F364" s="1" t="n">
        <x:v>27</x:v>
      </x:c>
      <x:c r="G364" s="1" t="n">
        <x:v>16</x:v>
      </x:c>
      <x:c r="H364" s="1" t="n">
        <x:v>2</x:v>
      </x:c>
      <x:c r="I364" s="1" t="n">
        <x:v>0</x:v>
      </x:c>
      <x:c r="J364" s="1" t="str">
        <x:v>no</x:v>
      </x:c>
      <x:c r="K364" s="1" t="n">
        <x:f>2*H364+E364+IF(G364&gt;30,2,0)-IF(B364&gt;24,1,0)</x:f>
        <x:v>3</x:v>
      </x:c>
      <x:c r="L364" s="1" t="str">
        <x:f>IF(K364&gt;=3,"yes","no")</x:f>
        <x:v>yes</x:v>
      </x:c>
      <x:c r="M364" s="1"/>
      <x:c r="N364" s="1"/>
      <x:c r="O364" s="1"/>
    </x:row>
    <x:row r="365">
      <x:c r="A365" s="1" t="str">
        <x:v>S0364</x:v>
      </x:c>
      <x:c r="B365" s="1" t="n">
        <x:v>27</x:v>
      </x:c>
      <x:c r="C365" s="1" t="str">
        <x:v>basic</x:v>
      </x:c>
      <x:c r="D365" s="8" t="n">
        <x:v>9.99</x:v>
      </x:c>
      <x:c r="E365" s="1" t="n">
        <x:v>0</x:v>
      </x:c>
      <x:c r="F365" s="1" t="n">
        <x:v>20</x:v>
      </x:c>
      <x:c r="G365" s="1" t="n">
        <x:v>2</x:v>
      </x:c>
      <x:c r="H365" s="1" t="n">
        <x:v>2</x:v>
      </x:c>
      <x:c r="I365" s="1" t="n">
        <x:v>0</x:v>
      </x:c>
      <x:c r="J365" s="1" t="str">
        <x:v>no</x:v>
      </x:c>
      <x:c r="K365" s="1" t="n">
        <x:f>2*H365+E365+IF(G365&gt;30,2,0)-IF(B365&gt;24,1,0)</x:f>
        <x:v>3</x:v>
      </x:c>
      <x:c r="L365" s="1" t="str">
        <x:f>IF(K365&gt;=3,"yes","no")</x:f>
        <x:v>yes</x:v>
      </x:c>
      <x:c r="M365" s="1"/>
      <x:c r="N365" s="1"/>
      <x:c r="O365" s="1"/>
    </x:row>
    <x:row r="366">
      <x:c r="A366" s="1" t="str">
        <x:v>S0365</x:v>
      </x:c>
      <x:c r="B366" s="1" t="n">
        <x:v>3</x:v>
      </x:c>
      <x:c r="C366" s="1" t="str">
        <x:v>premium</x:v>
      </x:c>
      <x:c r="D366" s="8" t="n">
        <x:v>15.99</x:v>
      </x:c>
      <x:c r="E366" s="1" t="n">
        <x:v>1</x:v>
      </x:c>
      <x:c r="F366" s="1" t="n">
        <x:v>12</x:v>
      </x:c>
      <x:c r="G366" s="1" t="n">
        <x:v>29</x:v>
      </x:c>
      <x:c r="H366" s="1" t="n">
        <x:v>0</x:v>
      </x:c>
      <x:c r="I366" s="1" t="n">
        <x:v>0</x:v>
      </x:c>
      <x:c r="J366" s="1" t="str">
        <x:v>yes</x:v>
      </x:c>
      <x:c r="K366" s="1" t="n">
        <x:f>2*H366+E366+IF(G366&gt;30,2,0)-IF(B366&gt;24,1,0)</x:f>
        <x:v>1</x:v>
      </x:c>
      <x:c r="L366" s="1" t="str">
        <x:f>IF(K366&gt;=3,"yes","no")</x:f>
        <x:v>no</x:v>
      </x:c>
      <x:c r="M366" s="1"/>
      <x:c r="N366" s="1"/>
      <x:c r="O366" s="1"/>
    </x:row>
    <x:row r="367">
      <x:c r="A367" s="1" t="str">
        <x:v>S0366</x:v>
      </x:c>
      <x:c r="B367" s="1" t="n">
        <x:v>38</x:v>
      </x:c>
      <x:c r="C367" s="1" t="str">
        <x:v>premium</x:v>
      </x:c>
      <x:c r="D367" s="8" t="n">
        <x:v>15.99</x:v>
      </x:c>
      <x:c r="E367" s="1" t="n">
        <x:v>2</x:v>
      </x:c>
      <x:c r="F367" s="1" t="n">
        <x:v>29</x:v>
      </x:c>
      <x:c r="G367" s="1" t="n">
        <x:v>1</x:v>
      </x:c>
      <x:c r="H367" s="1" t="n">
        <x:v>0</x:v>
      </x:c>
      <x:c r="I367" s="1" t="n">
        <x:v>0</x:v>
      </x:c>
      <x:c r="J367" s="1" t="str">
        <x:v>no</x:v>
      </x:c>
      <x:c r="K367" s="1" t="n">
        <x:f>2*H367+E367+IF(G367&gt;30,2,0)-IF(B367&gt;24,1,0)</x:f>
        <x:v>1</x:v>
      </x:c>
      <x:c r="L367" s="1" t="str">
        <x:f>IF(K367&gt;=3,"yes","no")</x:f>
        <x:v>no</x:v>
      </x:c>
      <x:c r="M367" s="1"/>
      <x:c r="N367" s="1"/>
      <x:c r="O367" s="1"/>
    </x:row>
    <x:row r="368">
      <x:c r="A368" s="1" t="str">
        <x:v>S0367</x:v>
      </x:c>
      <x:c r="B368" s="1" t="n">
        <x:v>13</x:v>
      </x:c>
      <x:c r="C368" s="1" t="str">
        <x:v>basic</x:v>
      </x:c>
      <x:c r="D368" s="8" t="n">
        <x:v>9.99</x:v>
      </x:c>
      <x:c r="E368" s="1" t="n">
        <x:v>1</x:v>
      </x:c>
      <x:c r="F368" s="1" t="n">
        <x:v>13</x:v>
      </x:c>
      <x:c r="G368" s="1" t="n">
        <x:v>3</x:v>
      </x:c>
      <x:c r="H368" s="1" t="n">
        <x:v>0</x:v>
      </x:c>
      <x:c r="I368" s="1" t="n">
        <x:v>0</x:v>
      </x:c>
      <x:c r="J368" s="1" t="str">
        <x:v>no</x:v>
      </x:c>
      <x:c r="K368" s="1" t="n">
        <x:f>2*H368+E368+IF(G368&gt;30,2,0)-IF(B368&gt;24,1,0)</x:f>
        <x:v>1</x:v>
      </x:c>
      <x:c r="L368" s="1" t="str">
        <x:f>IF(K368&gt;=3,"yes","no")</x:f>
        <x:v>no</x:v>
      </x:c>
      <x:c r="M368" s="1"/>
      <x:c r="N368" s="1"/>
      <x:c r="O368" s="1"/>
    </x:row>
    <x:row r="369">
      <x:c r="A369" s="1" t="str">
        <x:v>S0368</x:v>
      </x:c>
      <x:c r="B369" s="1" t="n">
        <x:v>11</x:v>
      </x:c>
      <x:c r="C369" s="1" t="str">
        <x:v>basic</x:v>
      </x:c>
      <x:c r="D369" s="8" t="n">
        <x:v>9.99</x:v>
      </x:c>
      <x:c r="E369" s="1" t="n">
        <x:v>0</x:v>
      </x:c>
      <x:c r="F369" s="1" t="n">
        <x:v>17</x:v>
      </x:c>
      <x:c r="G369" s="1" t="n">
        <x:v>4</x:v>
      </x:c>
      <x:c r="H369" s="1" t="n">
        <x:v>1</x:v>
      </x:c>
      <x:c r="I369" s="1" t="n">
        <x:v>0</x:v>
      </x:c>
      <x:c r="J369" s="1" t="str">
        <x:v>yes</x:v>
      </x:c>
      <x:c r="K369" s="1" t="n">
        <x:f>2*H369+E369+IF(G369&gt;30,2,0)-IF(B369&gt;24,1,0)</x:f>
        <x:v>2</x:v>
      </x:c>
      <x:c r="L369" s="1" t="str">
        <x:f>IF(K369&gt;=3,"yes","no")</x:f>
        <x:v>no</x:v>
      </x:c>
      <x:c r="M369" s="1"/>
      <x:c r="N369" s="1"/>
      <x:c r="O369" s="1"/>
    </x:row>
    <x:row r="370">
      <x:c r="A370" s="1" t="str">
        <x:v>S0369</x:v>
      </x:c>
      <x:c r="B370" s="1" t="n">
        <x:v>9</x:v>
      </x:c>
      <x:c r="C370" s="1" t="str">
        <x:v>basic</x:v>
      </x:c>
      <x:c r="D370" s="8" t="n">
        <x:v>9.99</x:v>
      </x:c>
      <x:c r="E370" s="1" t="n">
        <x:v>0</x:v>
      </x:c>
      <x:c r="F370" s="1" t="n">
        <x:v>14</x:v>
      </x:c>
      <x:c r="G370" s="1" t="n">
        <x:v>28</x:v>
      </x:c>
      <x:c r="H370" s="1" t="n">
        <x:v>0</x:v>
      </x:c>
      <x:c r="I370" s="1" t="n">
        <x:v>0</x:v>
      </x:c>
      <x:c r="J370" s="1" t="str">
        <x:v>no</x:v>
      </x:c>
      <x:c r="K370" s="1" t="n">
        <x:f>2*H370+E370+IF(G370&gt;30,2,0)-IF(B370&gt;24,1,0)</x:f>
        <x:v>0</x:v>
      </x:c>
      <x:c r="L370" s="1" t="str">
        <x:f>IF(K370&gt;=3,"yes","no")</x:f>
        <x:v>no</x:v>
      </x:c>
      <x:c r="M370" s="1"/>
      <x:c r="N370" s="1"/>
      <x:c r="O370" s="1"/>
    </x:row>
    <x:row r="371">
      <x:c r="A371" s="1" t="str">
        <x:v>S0370</x:v>
      </x:c>
      <x:c r="B371" s="1" t="n">
        <x:v>42</x:v>
      </x:c>
      <x:c r="C371" s="1" t="str">
        <x:v>basic</x:v>
      </x:c>
      <x:c r="D371" s="8" t="n">
        <x:v>9.99</x:v>
      </x:c>
      <x:c r="E371" s="1" t="n">
        <x:v>1</x:v>
      </x:c>
      <x:c r="F371" s="1" t="n">
        <x:v>26</x:v>
      </x:c>
      <x:c r="G371" s="1" t="n">
        <x:v>0</x:v>
      </x:c>
      <x:c r="H371" s="1" t="n">
        <x:v>1</x:v>
      </x:c>
      <x:c r="I371" s="1" t="n">
        <x:v>0</x:v>
      </x:c>
      <x:c r="J371" s="1" t="str">
        <x:v>no</x:v>
      </x:c>
      <x:c r="K371" s="1" t="n">
        <x:f>2*H371+E371+IF(G371&gt;30,2,0)-IF(B371&gt;24,1,0)</x:f>
        <x:v>2</x:v>
      </x:c>
      <x:c r="L371" s="1" t="str">
        <x:f>IF(K371&gt;=3,"yes","no")</x:f>
        <x:v>no</x:v>
      </x:c>
      <x:c r="M371" s="1"/>
      <x:c r="N371" s="1"/>
      <x:c r="O371" s="1"/>
    </x:row>
    <x:row r="372">
      <x:c r="A372" s="1" t="str">
        <x:v>S0371</x:v>
      </x:c>
      <x:c r="B372" s="1" t="n">
        <x:v>41</x:v>
      </x:c>
      <x:c r="C372" s="1" t="str">
        <x:v>basic</x:v>
      </x:c>
      <x:c r="D372" s="8" t="n">
        <x:v>9.99</x:v>
      </x:c>
      <x:c r="E372" s="1" t="n">
        <x:v>0</x:v>
      </x:c>
      <x:c r="F372" s="1" t="n">
        <x:v>19</x:v>
      </x:c>
      <x:c r="G372" s="1" t="n">
        <x:v>1</x:v>
      </x:c>
      <x:c r="H372" s="1" t="n">
        <x:v>0</x:v>
      </x:c>
      <x:c r="I372" s="1" t="n">
        <x:v>0</x:v>
      </x:c>
      <x:c r="J372" s="1" t="str">
        <x:v>no</x:v>
      </x:c>
      <x:c r="K372" s="1" t="n">
        <x:f>2*H372+E372+IF(G372&gt;30,2,0)-IF(B372&gt;24,1,0)</x:f>
        <x:v>-1</x:v>
      </x:c>
      <x:c r="L372" s="1" t="str">
        <x:f>IF(K372&gt;=3,"yes","no")</x:f>
        <x:v>no</x:v>
      </x:c>
      <x:c r="M372" s="1"/>
      <x:c r="N372" s="1"/>
      <x:c r="O372" s="1"/>
    </x:row>
    <x:row r="373">
      <x:c r="A373" s="1" t="str">
        <x:v>S0372</x:v>
      </x:c>
      <x:c r="B373" s="1" t="n">
        <x:v>26</x:v>
      </x:c>
      <x:c r="C373" s="1" t="str">
        <x:v>premium</x:v>
      </x:c>
      <x:c r="D373" s="8" t="n">
        <x:v>15.99</x:v>
      </x:c>
      <x:c r="E373" s="1" t="n">
        <x:v>0</x:v>
      </x:c>
      <x:c r="F373" s="1" t="n">
        <x:v>20</x:v>
      </x:c>
      <x:c r="G373" s="1" t="n">
        <x:v>6</x:v>
      </x:c>
      <x:c r="H373" s="1" t="n">
        <x:v>0</x:v>
      </x:c>
      <x:c r="I373" s="1" t="n">
        <x:v>0</x:v>
      </x:c>
      <x:c r="J373" s="1" t="str">
        <x:v>no</x:v>
      </x:c>
      <x:c r="K373" s="1" t="n">
        <x:f>2*H373+E373+IF(G373&gt;30,2,0)-IF(B373&gt;24,1,0)</x:f>
        <x:v>-1</x:v>
      </x:c>
      <x:c r="L373" s="1" t="str">
        <x:f>IF(K373&gt;=3,"yes","no")</x:f>
        <x:v>no</x:v>
      </x:c>
      <x:c r="M373" s="1"/>
      <x:c r="N373" s="1"/>
      <x:c r="O373" s="1"/>
    </x:row>
    <x:row r="374">
      <x:c r="A374" s="1" t="str">
        <x:v>S0373</x:v>
      </x:c>
      <x:c r="B374" s="1" t="n">
        <x:v>26</x:v>
      </x:c>
      <x:c r="C374" s="1" t="str">
        <x:v>basic</x:v>
      </x:c>
      <x:c r="D374" s="8" t="n">
        <x:v>9.99</x:v>
      </x:c>
      <x:c r="E374" s="1" t="n">
        <x:v>0</x:v>
      </x:c>
      <x:c r="F374" s="1" t="n">
        <x:v>14</x:v>
      </x:c>
      <x:c r="G374" s="1" t="n">
        <x:v>30</x:v>
      </x:c>
      <x:c r="H374" s="1" t="n">
        <x:v>0</x:v>
      </x:c>
      <x:c r="I374" s="1" t="n">
        <x:v>1</x:v>
      </x:c>
      <x:c r="J374" s="1" t="str">
        <x:v>yes</x:v>
      </x:c>
      <x:c r="K374" s="1" t="n">
        <x:f>2*H374+E374+IF(G374&gt;30,2,0)-IF(B374&gt;24,1,0)</x:f>
        <x:v>-1</x:v>
      </x:c>
      <x:c r="L374" s="1" t="str">
        <x:f>IF(K374&gt;=3,"yes","no")</x:f>
        <x:v>no</x:v>
      </x:c>
      <x:c r="M374" s="1"/>
      <x:c r="N374" s="1"/>
      <x:c r="O374" s="1"/>
    </x:row>
    <x:row r="375">
      <x:c r="A375" s="1" t="str">
        <x:v>S0374</x:v>
      </x:c>
      <x:c r="B375" s="1" t="n">
        <x:v>48</x:v>
      </x:c>
      <x:c r="C375" s="1" t="str">
        <x:v>basic</x:v>
      </x:c>
      <x:c r="D375" s="8" t="n">
        <x:v>9.99</x:v>
      </x:c>
      <x:c r="E375" s="1" t="n">
        <x:v>1</x:v>
      </x:c>
      <x:c r="F375" s="1" t="n">
        <x:v>21</x:v>
      </x:c>
      <x:c r="G375" s="1" t="n">
        <x:v>4</x:v>
      </x:c>
      <x:c r="H375" s="1" t="n">
        <x:v>0</x:v>
      </x:c>
      <x:c r="I375" s="1" t="n">
        <x:v>0</x:v>
      </x:c>
      <x:c r="J375" s="1" t="str">
        <x:v>no</x:v>
      </x:c>
      <x:c r="K375" s="1" t="n">
        <x:f>2*H375+E375+IF(G375&gt;30,2,0)-IF(B375&gt;24,1,0)</x:f>
        <x:v>0</x:v>
      </x:c>
      <x:c r="L375" s="1" t="str">
        <x:f>IF(K375&gt;=3,"yes","no")</x:f>
        <x:v>no</x:v>
      </x:c>
      <x:c r="M375" s="1"/>
      <x:c r="N375" s="1"/>
      <x:c r="O375" s="1"/>
    </x:row>
    <x:row r="376">
      <x:c r="A376" s="1" t="str">
        <x:v>S0375</x:v>
      </x:c>
      <x:c r="B376" s="1" t="n">
        <x:v>41</x:v>
      </x:c>
      <x:c r="C376" s="1" t="str">
        <x:v>basic</x:v>
      </x:c>
      <x:c r="D376" s="8" t="n">
        <x:v>9.99</x:v>
      </x:c>
      <x:c r="E376" s="1" t="n">
        <x:v>1</x:v>
      </x:c>
      <x:c r="F376" s="1" t="n">
        <x:v>21</x:v>
      </x:c>
      <x:c r="G376" s="1" t="n">
        <x:v>0</x:v>
      </x:c>
      <x:c r="H376" s="1" t="n">
        <x:v>0</x:v>
      </x:c>
      <x:c r="I376" s="1" t="n">
        <x:v>1</x:v>
      </x:c>
      <x:c r="J376" s="1" t="str">
        <x:v>no</x:v>
      </x:c>
      <x:c r="K376" s="1" t="n">
        <x:f>2*H376+E376+IF(G376&gt;30,2,0)-IF(B376&gt;24,1,0)</x:f>
        <x:v>0</x:v>
      </x:c>
      <x:c r="L376" s="1" t="str">
        <x:f>IF(K376&gt;=3,"yes","no")</x:f>
        <x:v>no</x:v>
      </x:c>
      <x:c r="M376" s="1"/>
      <x:c r="N376" s="1"/>
      <x:c r="O376" s="1"/>
    </x:row>
    <x:row r="377">
      <x:c r="A377" s="1" t="str">
        <x:v>S0376</x:v>
      </x:c>
      <x:c r="B377" s="1" t="n">
        <x:v>36</x:v>
      </x:c>
      <x:c r="C377" s="1" t="str">
        <x:v>basic</x:v>
      </x:c>
      <x:c r="D377" s="8" t="n">
        <x:v>9.99</x:v>
      </x:c>
      <x:c r="E377" s="1" t="n">
        <x:v>1</x:v>
      </x:c>
      <x:c r="F377" s="1" t="n">
        <x:v>15</x:v>
      </x:c>
      <x:c r="G377" s="1" t="n">
        <x:v>6</x:v>
      </x:c>
      <x:c r="H377" s="1" t="n">
        <x:v>1</x:v>
      </x:c>
      <x:c r="I377" s="1" t="n">
        <x:v>0</x:v>
      </x:c>
      <x:c r="J377" s="1" t="str">
        <x:v>no</x:v>
      </x:c>
      <x:c r="K377" s="1" t="n">
        <x:f>2*H377+E377+IF(G377&gt;30,2,0)-IF(B377&gt;24,1,0)</x:f>
        <x:v>2</x:v>
      </x:c>
      <x:c r="L377" s="1" t="str">
        <x:f>IF(K377&gt;=3,"yes","no")</x:f>
        <x:v>no</x:v>
      </x:c>
      <x:c r="M377" s="1"/>
      <x:c r="N377" s="1"/>
      <x:c r="O377" s="1"/>
    </x:row>
    <x:row r="378">
      <x:c r="A378" s="1" t="str">
        <x:v>S0377</x:v>
      </x:c>
      <x:c r="B378" s="1" t="n">
        <x:v>5</x:v>
      </x:c>
      <x:c r="C378" s="1" t="str">
        <x:v>premium</x:v>
      </x:c>
      <x:c r="D378" s="8" t="n">
        <x:v>15.99</x:v>
      </x:c>
      <x:c r="E378" s="1" t="n">
        <x:v>0</x:v>
      </x:c>
      <x:c r="F378" s="1" t="n">
        <x:v>3</x:v>
      </x:c>
      <x:c r="G378" s="1" t="n">
        <x:v>26</x:v>
      </x:c>
      <x:c r="H378" s="1" t="n">
        <x:v>0</x:v>
      </x:c>
      <x:c r="I378" s="1" t="n">
        <x:v>0</x:v>
      </x:c>
      <x:c r="J378" s="1" t="str">
        <x:v>no</x:v>
      </x:c>
      <x:c r="K378" s="1" t="n">
        <x:f>2*H378+E378+IF(G378&gt;30,2,0)-IF(B378&gt;24,1,0)</x:f>
        <x:v>0</x:v>
      </x:c>
      <x:c r="L378" s="1" t="str">
        <x:f>IF(K378&gt;=3,"yes","no")</x:f>
        <x:v>no</x:v>
      </x:c>
      <x:c r="M378" s="1"/>
      <x:c r="N378" s="1"/>
      <x:c r="O378" s="1"/>
    </x:row>
    <x:row r="379">
      <x:c r="A379" s="1" t="str">
        <x:v>S0378</x:v>
      </x:c>
      <x:c r="B379" s="1" t="n">
        <x:v>47</x:v>
      </x:c>
      <x:c r="C379" s="1" t="str">
        <x:v>basic</x:v>
      </x:c>
      <x:c r="D379" s="8" t="n">
        <x:v>9.99</x:v>
      </x:c>
      <x:c r="E379" s="1" t="n">
        <x:v>0</x:v>
      </x:c>
      <x:c r="F379" s="1" t="n">
        <x:v>13</x:v>
      </x:c>
      <x:c r="G379" s="1" t="n">
        <x:v>18</x:v>
      </x:c>
      <x:c r="H379" s="1" t="n">
        <x:v>1</x:v>
      </x:c>
      <x:c r="I379" s="1" t="n">
        <x:v>0</x:v>
      </x:c>
      <x:c r="J379" s="1" t="str">
        <x:v>no</x:v>
      </x:c>
      <x:c r="K379" s="1" t="n">
        <x:f>2*H379+E379+IF(G379&gt;30,2,0)-IF(B379&gt;24,1,0)</x:f>
        <x:v>1</x:v>
      </x:c>
      <x:c r="L379" s="1" t="str">
        <x:f>IF(K379&gt;=3,"yes","no")</x:f>
        <x:v>no</x:v>
      </x:c>
      <x:c r="M379" s="1"/>
      <x:c r="N379" s="1"/>
      <x:c r="O379" s="1"/>
    </x:row>
    <x:row r="380">
      <x:c r="A380" s="1" t="str">
        <x:v>S0379</x:v>
      </x:c>
      <x:c r="B380" s="1" t="n">
        <x:v>31</x:v>
      </x:c>
      <x:c r="C380" s="1" t="str">
        <x:v>premium</x:v>
      </x:c>
      <x:c r="D380" s="8" t="n">
        <x:v>15.99</x:v>
      </x:c>
      <x:c r="E380" s="1" t="n">
        <x:v>1</x:v>
      </x:c>
      <x:c r="F380" s="1" t="n">
        <x:v>21</x:v>
      </x:c>
      <x:c r="G380" s="1" t="n">
        <x:v>11</x:v>
      </x:c>
      <x:c r="H380" s="1" t="n">
        <x:v>0</x:v>
      </x:c>
      <x:c r="I380" s="1" t="n">
        <x:v>0</x:v>
      </x:c>
      <x:c r="J380" s="1" t="str">
        <x:v>no</x:v>
      </x:c>
      <x:c r="K380" s="1" t="n">
        <x:f>2*H380+E380+IF(G380&gt;30,2,0)-IF(B380&gt;24,1,0)</x:f>
        <x:v>0</x:v>
      </x:c>
      <x:c r="L380" s="1" t="str">
        <x:f>IF(K380&gt;=3,"yes","no")</x:f>
        <x:v>no</x:v>
      </x:c>
      <x:c r="M380" s="1"/>
      <x:c r="N380" s="1"/>
      <x:c r="O380" s="1"/>
    </x:row>
    <x:row r="381">
      <x:c r="A381" s="1" t="str">
        <x:v>S0380</x:v>
      </x:c>
      <x:c r="B381" s="1" t="n">
        <x:v>17</x:v>
      </x:c>
      <x:c r="C381" s="1" t="str">
        <x:v>premium</x:v>
      </x:c>
      <x:c r="D381" s="8" t="n">
        <x:v>15.99</x:v>
      </x:c>
      <x:c r="E381" s="1" t="n">
        <x:v>1</x:v>
      </x:c>
      <x:c r="F381" s="1" t="n">
        <x:v>20</x:v>
      </x:c>
      <x:c r="G381" s="1" t="n">
        <x:v>10</x:v>
      </x:c>
      <x:c r="H381" s="1" t="n">
        <x:v>0</x:v>
      </x:c>
      <x:c r="I381" s="1" t="n">
        <x:v>0</x:v>
      </x:c>
      <x:c r="J381" s="1" t="str">
        <x:v>no</x:v>
      </x:c>
      <x:c r="K381" s="1" t="n">
        <x:f>2*H381+E381+IF(G381&gt;30,2,0)-IF(B381&gt;24,1,0)</x:f>
        <x:v>1</x:v>
      </x:c>
      <x:c r="L381" s="1" t="str">
        <x:f>IF(K381&gt;=3,"yes","no")</x:f>
        <x:v>no</x:v>
      </x:c>
      <x:c r="M381" s="1"/>
      <x:c r="N381" s="1"/>
      <x:c r="O381" s="1"/>
    </x:row>
    <x:row r="382">
      <x:c r="A382" s="1" t="str">
        <x:v>S0381</x:v>
      </x:c>
      <x:c r="B382" s="1" t="n">
        <x:v>42</x:v>
      </x:c>
      <x:c r="C382" s="1" t="str">
        <x:v>premium</x:v>
      </x:c>
      <x:c r="D382" s="8" t="n">
        <x:v>15.99</x:v>
      </x:c>
      <x:c r="E382" s="1" t="n">
        <x:v>3</x:v>
      </x:c>
      <x:c r="F382" s="1" t="n">
        <x:v>19</x:v>
      </x:c>
      <x:c r="G382" s="1" t="n">
        <x:v>7</x:v>
      </x:c>
      <x:c r="H382" s="1" t="n">
        <x:v>0</x:v>
      </x:c>
      <x:c r="I382" s="1" t="n">
        <x:v>1</x:v>
      </x:c>
      <x:c r="J382" s="1" t="str">
        <x:v>no</x:v>
      </x:c>
      <x:c r="K382" s="1" t="n">
        <x:f>2*H382+E382+IF(G382&gt;30,2,0)-IF(B382&gt;24,1,0)</x:f>
        <x:v>2</x:v>
      </x:c>
      <x:c r="L382" s="1" t="str">
        <x:f>IF(K382&gt;=3,"yes","no")</x:f>
        <x:v>no</x:v>
      </x:c>
      <x:c r="M382" s="1"/>
      <x:c r="N382" s="1"/>
      <x:c r="O382" s="1"/>
    </x:row>
    <x:row r="383">
      <x:c r="A383" s="1" t="str">
        <x:v>S0382</x:v>
      </x:c>
      <x:c r="B383" s="1" t="n">
        <x:v>2</x:v>
      </x:c>
      <x:c r="C383" s="1" t="str">
        <x:v>basic</x:v>
      </x:c>
      <x:c r="D383" s="8" t="n">
        <x:v>9.99</x:v>
      </x:c>
      <x:c r="E383" s="1" t="n">
        <x:v>3</x:v>
      </x:c>
      <x:c r="F383" s="1" t="n">
        <x:v>21</x:v>
      </x:c>
      <x:c r="G383" s="1" t="n">
        <x:v>0</x:v>
      </x:c>
      <x:c r="H383" s="1" t="n">
        <x:v>0</x:v>
      </x:c>
      <x:c r="I383" s="1" t="n">
        <x:v>1</x:v>
      </x:c>
      <x:c r="J383" s="1" t="str">
        <x:v>no</x:v>
      </x:c>
      <x:c r="K383" s="1" t="n">
        <x:f>2*H383+E383+IF(G383&gt;30,2,0)-IF(B383&gt;24,1,0)</x:f>
        <x:v>3</x:v>
      </x:c>
      <x:c r="L383" s="1" t="str">
        <x:f>IF(K383&gt;=3,"yes","no")</x:f>
        <x:v>yes</x:v>
      </x:c>
      <x:c r="M383" s="1"/>
      <x:c r="N383" s="1"/>
      <x:c r="O383" s="1"/>
    </x:row>
    <x:row r="384">
      <x:c r="A384" s="1" t="str">
        <x:v>S0383</x:v>
      </x:c>
      <x:c r="B384" s="1" t="n">
        <x:v>27</x:v>
      </x:c>
      <x:c r="C384" s="1" t="str">
        <x:v>basic</x:v>
      </x:c>
      <x:c r="D384" s="8" t="n">
        <x:v>9.99</x:v>
      </x:c>
      <x:c r="E384" s="1" t="n">
        <x:v>4</x:v>
      </x:c>
      <x:c r="F384" s="1" t="n">
        <x:v>26</x:v>
      </x:c>
      <x:c r="G384" s="1" t="n">
        <x:v>7</x:v>
      </x:c>
      <x:c r="H384" s="1" t="n">
        <x:v>1</x:v>
      </x:c>
      <x:c r="I384" s="1" t="n">
        <x:v>1</x:v>
      </x:c>
      <x:c r="J384" s="1" t="str">
        <x:v>no</x:v>
      </x:c>
      <x:c r="K384" s="1" t="n">
        <x:f>2*H384+E384+IF(G384&gt;30,2,0)-IF(B384&gt;24,1,0)</x:f>
        <x:v>5</x:v>
      </x:c>
      <x:c r="L384" s="1" t="str">
        <x:f>IF(K384&gt;=3,"yes","no")</x:f>
        <x:v>yes</x:v>
      </x:c>
      <x:c r="M384" s="1"/>
      <x:c r="N384" s="1"/>
      <x:c r="O384" s="1"/>
    </x:row>
    <x:row r="385">
      <x:c r="A385" s="1" t="str">
        <x:v>S0384</x:v>
      </x:c>
      <x:c r="B385" s="1" t="n">
        <x:v>13</x:v>
      </x:c>
      <x:c r="C385" s="1" t="str">
        <x:v>premium</x:v>
      </x:c>
      <x:c r="D385" s="8" t="n">
        <x:v>15.99</x:v>
      </x:c>
      <x:c r="E385" s="1" t="n">
        <x:v>2</x:v>
      </x:c>
      <x:c r="F385" s="1" t="n">
        <x:v>23</x:v>
      </x:c>
      <x:c r="G385" s="1" t="n">
        <x:v>5</x:v>
      </x:c>
      <x:c r="H385" s="1" t="n">
        <x:v>1</x:v>
      </x:c>
      <x:c r="I385" s="1" t="n">
        <x:v>0</x:v>
      </x:c>
      <x:c r="J385" s="1" t="str">
        <x:v>no</x:v>
      </x:c>
      <x:c r="K385" s="1" t="n">
        <x:f>2*H385+E385+IF(G385&gt;30,2,0)-IF(B385&gt;24,1,0)</x:f>
        <x:v>4</x:v>
      </x:c>
      <x:c r="L385" s="1" t="str">
        <x:f>IF(K385&gt;=3,"yes","no")</x:f>
        <x:v>yes</x:v>
      </x:c>
      <x:c r="M385" s="1"/>
      <x:c r="N385" s="1"/>
      <x:c r="O385" s="1"/>
    </x:row>
    <x:row r="386">
      <x:c r="A386" s="1" t="str">
        <x:v>S0385</x:v>
      </x:c>
      <x:c r="B386" s="1" t="n">
        <x:v>43</x:v>
      </x:c>
      <x:c r="C386" s="1" t="str">
        <x:v>basic</x:v>
      </x:c>
      <x:c r="D386" s="8" t="n">
        <x:v>9.99</x:v>
      </x:c>
      <x:c r="E386" s="1" t="n">
        <x:v>0</x:v>
      </x:c>
      <x:c r="F386" s="1" t="n">
        <x:v>32</x:v>
      </x:c>
      <x:c r="G386" s="1" t="n">
        <x:v>15</x:v>
      </x:c>
      <x:c r="H386" s="1" t="n">
        <x:v>0</x:v>
      </x:c>
      <x:c r="I386" s="1" t="n">
        <x:v>1</x:v>
      </x:c>
      <x:c r="J386" s="1" t="str">
        <x:v>no</x:v>
      </x:c>
      <x:c r="K386" s="1" t="n">
        <x:f>2*H386+E386+IF(G386&gt;30,2,0)-IF(B386&gt;24,1,0)</x:f>
        <x:v>-1</x:v>
      </x:c>
      <x:c r="L386" s="1" t="str">
        <x:f>IF(K386&gt;=3,"yes","no")</x:f>
        <x:v>no</x:v>
      </x:c>
      <x:c r="M386" s="1"/>
      <x:c r="N386" s="1"/>
      <x:c r="O386" s="1"/>
    </x:row>
    <x:row r="387">
      <x:c r="A387" s="1" t="str">
        <x:v>S0386</x:v>
      </x:c>
      <x:c r="B387" s="1" t="n">
        <x:v>37</x:v>
      </x:c>
      <x:c r="C387" s="1" t="str">
        <x:v>basic</x:v>
      </x:c>
      <x:c r="D387" s="8" t="n">
        <x:v>9.99</x:v>
      </x:c>
      <x:c r="E387" s="1" t="n">
        <x:v>3</x:v>
      </x:c>
      <x:c r="F387" s="1" t="n">
        <x:v>17</x:v>
      </x:c>
      <x:c r="G387" s="1" t="n">
        <x:v>5</x:v>
      </x:c>
      <x:c r="H387" s="1" t="n">
        <x:v>0</x:v>
      </x:c>
      <x:c r="I387" s="1" t="n">
        <x:v>0</x:v>
      </x:c>
      <x:c r="J387" s="1" t="str">
        <x:v>no</x:v>
      </x:c>
      <x:c r="K387" s="1" t="n">
        <x:f>2*H387+E387+IF(G387&gt;30,2,0)-IF(B387&gt;24,1,0)</x:f>
        <x:v>2</x:v>
      </x:c>
      <x:c r="L387" s="1" t="str">
        <x:f>IF(K387&gt;=3,"yes","no")</x:f>
        <x:v>no</x:v>
      </x:c>
      <x:c r="M387" s="1"/>
      <x:c r="N387" s="1"/>
      <x:c r="O387" s="1"/>
    </x:row>
    <x:row r="388">
      <x:c r="A388" s="1" t="str">
        <x:v>S0387</x:v>
      </x:c>
      <x:c r="B388" s="1" t="n">
        <x:v>24</x:v>
      </x:c>
      <x:c r="C388" s="1" t="str">
        <x:v>basic</x:v>
      </x:c>
      <x:c r="D388" s="8" t="n">
        <x:v>9.99</x:v>
      </x:c>
      <x:c r="E388" s="1" t="n">
        <x:v>0</x:v>
      </x:c>
      <x:c r="F388" s="1" t="n">
        <x:v>0</x:v>
      </x:c>
      <x:c r="G388" s="1" t="n">
        <x:v>49</x:v>
      </x:c>
      <x:c r="H388" s="1" t="n">
        <x:v>0</x:v>
      </x:c>
      <x:c r="I388" s="1" t="n">
        <x:v>0</x:v>
      </x:c>
      <x:c r="J388" s="1" t="str">
        <x:v>yes</x:v>
      </x:c>
      <x:c r="K388" s="1" t="n">
        <x:f>2*H388+E388+IF(G388&gt;30,2,0)-IF(B388&gt;24,1,0)</x:f>
        <x:v>2</x:v>
      </x:c>
      <x:c r="L388" s="1" t="str">
        <x:f>IF(K388&gt;=3,"yes","no")</x:f>
        <x:v>no</x:v>
      </x:c>
      <x:c r="M388" s="1"/>
      <x:c r="N388" s="1"/>
      <x:c r="O388" s="1"/>
    </x:row>
    <x:row r="389">
      <x:c r="A389" s="1" t="str">
        <x:v>S0388</x:v>
      </x:c>
      <x:c r="B389" s="1" t="n">
        <x:v>2</x:v>
      </x:c>
      <x:c r="C389" s="1" t="str">
        <x:v>premium</x:v>
      </x:c>
      <x:c r="D389" s="8" t="n">
        <x:v>15.99</x:v>
      </x:c>
      <x:c r="E389" s="1" t="n">
        <x:v>0</x:v>
      </x:c>
      <x:c r="F389" s="1" t="n">
        <x:v>29</x:v>
      </x:c>
      <x:c r="G389" s="1" t="n">
        <x:v>7</x:v>
      </x:c>
      <x:c r="H389" s="1" t="n">
        <x:v>1</x:v>
      </x:c>
      <x:c r="I389" s="1" t="n">
        <x:v>0</x:v>
      </x:c>
      <x:c r="J389" s="1" t="str">
        <x:v>no</x:v>
      </x:c>
      <x:c r="K389" s="1" t="n">
        <x:f>2*H389+E389+IF(G389&gt;30,2,0)-IF(B389&gt;24,1,0)</x:f>
        <x:v>2</x:v>
      </x:c>
      <x:c r="L389" s="1" t="str">
        <x:f>IF(K389&gt;=3,"yes","no")</x:f>
        <x:v>no</x:v>
      </x:c>
      <x:c r="M389" s="1"/>
      <x:c r="N389" s="1"/>
      <x:c r="O389" s="1"/>
    </x:row>
    <x:row r="390">
      <x:c r="A390" s="1" t="str">
        <x:v>S0389</x:v>
      </x:c>
      <x:c r="B390" s="1" t="n">
        <x:v>17</x:v>
      </x:c>
      <x:c r="C390" s="1" t="str">
        <x:v>basic</x:v>
      </x:c>
      <x:c r="D390" s="8" t="n">
        <x:v>9.99</x:v>
      </x:c>
      <x:c r="E390" s="1" t="n">
        <x:v>0</x:v>
      </x:c>
      <x:c r="F390" s="1" t="n">
        <x:v>25</x:v>
      </x:c>
      <x:c r="G390" s="1" t="n">
        <x:v>5</x:v>
      </x:c>
      <x:c r="H390" s="1" t="n">
        <x:v>0</x:v>
      </x:c>
      <x:c r="I390" s="1" t="n">
        <x:v>0</x:v>
      </x:c>
      <x:c r="J390" s="1" t="str">
        <x:v>yes</x:v>
      </x:c>
      <x:c r="K390" s="1" t="n">
        <x:f>2*H390+E390+IF(G390&gt;30,2,0)-IF(B390&gt;24,1,0)</x:f>
        <x:v>0</x:v>
      </x:c>
      <x:c r="L390" s="1" t="str">
        <x:f>IF(K390&gt;=3,"yes","no")</x:f>
        <x:v>no</x:v>
      </x:c>
      <x:c r="M390" s="1"/>
      <x:c r="N390" s="1"/>
      <x:c r="O390" s="1"/>
    </x:row>
    <x:row r="391">
      <x:c r="A391" s="1" t="str">
        <x:v>S0390</x:v>
      </x:c>
      <x:c r="B391" s="1" t="n">
        <x:v>13</x:v>
      </x:c>
      <x:c r="C391" s="1" t="str">
        <x:v>basic</x:v>
      </x:c>
      <x:c r="D391" s="8" t="n">
        <x:v>9.99</x:v>
      </x:c>
      <x:c r="E391" s="1" t="n">
        <x:v>1</x:v>
      </x:c>
      <x:c r="F391" s="1" t="n">
        <x:v>25</x:v>
      </x:c>
      <x:c r="G391" s="1" t="n">
        <x:v>9</x:v>
      </x:c>
      <x:c r="H391" s="1" t="n">
        <x:v>0</x:v>
      </x:c>
      <x:c r="I391" s="1" t="n">
        <x:v>1</x:v>
      </x:c>
      <x:c r="J391" s="1" t="str">
        <x:v>yes</x:v>
      </x:c>
      <x:c r="K391" s="1" t="n">
        <x:f>2*H391+E391+IF(G391&gt;30,2,0)-IF(B391&gt;24,1,0)</x:f>
        <x:v>1</x:v>
      </x:c>
      <x:c r="L391" s="1" t="str">
        <x:f>IF(K391&gt;=3,"yes","no")</x:f>
        <x:v>no</x:v>
      </x:c>
      <x:c r="M391" s="1"/>
      <x:c r="N391" s="1"/>
      <x:c r="O391" s="1"/>
    </x:row>
    <x:row r="392">
      <x:c r="A392" s="1" t="str">
        <x:v>S0391</x:v>
      </x:c>
      <x:c r="B392" s="1" t="n">
        <x:v>6</x:v>
      </x:c>
      <x:c r="C392" s="1" t="str">
        <x:v>basic</x:v>
      </x:c>
      <x:c r="D392" s="8" t="n">
        <x:v>9.99</x:v>
      </x:c>
      <x:c r="E392" s="1" t="n">
        <x:v>0</x:v>
      </x:c>
      <x:c r="F392" s="1" t="n">
        <x:v>0</x:v>
      </x:c>
      <x:c r="G392" s="1" t="n">
        <x:v>53</x:v>
      </x:c>
      <x:c r="H392" s="1" t="n">
        <x:v>0</x:v>
      </x:c>
      <x:c r="I392" s="1" t="n">
        <x:v>1</x:v>
      </x:c>
      <x:c r="J392" s="1" t="str">
        <x:v>yes</x:v>
      </x:c>
      <x:c r="K392" s="1" t="n">
        <x:f>2*H392+E392+IF(G392&gt;30,2,0)-IF(B392&gt;24,1,0)</x:f>
        <x:v>2</x:v>
      </x:c>
      <x:c r="L392" s="1" t="str">
        <x:f>IF(K392&gt;=3,"yes","no")</x:f>
        <x:v>no</x:v>
      </x:c>
      <x:c r="M392" s="1"/>
      <x:c r="N392" s="1"/>
      <x:c r="O392" s="1"/>
    </x:row>
    <x:row r="393">
      <x:c r="A393" s="1" t="str">
        <x:v>S0392</x:v>
      </x:c>
      <x:c r="B393" s="1" t="n">
        <x:v>25</x:v>
      </x:c>
      <x:c r="C393" s="1" t="str">
        <x:v>premium</x:v>
      </x:c>
      <x:c r="D393" s="8" t="n">
        <x:v>15.99</x:v>
      </x:c>
      <x:c r="E393" s="1" t="n">
        <x:v>0</x:v>
      </x:c>
      <x:c r="F393" s="1" t="n">
        <x:v>21</x:v>
      </x:c>
      <x:c r="G393" s="1" t="n">
        <x:v>5</x:v>
      </x:c>
      <x:c r="H393" s="1" t="n">
        <x:v>0</x:v>
      </x:c>
      <x:c r="I393" s="1" t="n">
        <x:v>1</x:v>
      </x:c>
      <x:c r="J393" s="1" t="str">
        <x:v>no</x:v>
      </x:c>
      <x:c r="K393" s="1" t="n">
        <x:f>2*H393+E393+IF(G393&gt;30,2,0)-IF(B393&gt;24,1,0)</x:f>
        <x:v>-1</x:v>
      </x:c>
      <x:c r="L393" s="1" t="str">
        <x:f>IF(K393&gt;=3,"yes","no")</x:f>
        <x:v>no</x:v>
      </x:c>
      <x:c r="M393" s="1"/>
      <x:c r="N393" s="1"/>
      <x:c r="O393" s="1"/>
    </x:row>
    <x:row r="394">
      <x:c r="A394" s="1" t="str">
        <x:v>S0393</x:v>
      </x:c>
      <x:c r="B394" s="1" t="n">
        <x:v>8</x:v>
      </x:c>
      <x:c r="C394" s="1" t="str">
        <x:v>premium</x:v>
      </x:c>
      <x:c r="D394" s="8" t="n">
        <x:v>15.99</x:v>
      </x:c>
      <x:c r="E394" s="1" t="n">
        <x:v>2</x:v>
      </x:c>
      <x:c r="F394" s="1" t="n">
        <x:v>0</x:v>
      </x:c>
      <x:c r="G394" s="1" t="n">
        <x:v>32</x:v>
      </x:c>
      <x:c r="H394" s="1" t="n">
        <x:v>0</x:v>
      </x:c>
      <x:c r="I394" s="1" t="n">
        <x:v>0</x:v>
      </x:c>
      <x:c r="J394" s="1" t="str">
        <x:v>yes</x:v>
      </x:c>
      <x:c r="K394" s="1" t="n">
        <x:f>2*H394+E394+IF(G394&gt;30,2,0)-IF(B394&gt;24,1,0)</x:f>
        <x:v>4</x:v>
      </x:c>
      <x:c r="L394" s="1" t="str">
        <x:f>IF(K394&gt;=3,"yes","no")</x:f>
        <x:v>yes</x:v>
      </x:c>
      <x:c r="M394" s="1"/>
      <x:c r="N394" s="1"/>
      <x:c r="O394" s="1"/>
    </x:row>
    <x:row r="395">
      <x:c r="A395" s="1" t="str">
        <x:v>S0394</x:v>
      </x:c>
      <x:c r="B395" s="1" t="n">
        <x:v>28</x:v>
      </x:c>
      <x:c r="C395" s="1" t="str">
        <x:v>basic</x:v>
      </x:c>
      <x:c r="D395" s="8" t="n">
        <x:v>9.99</x:v>
      </x:c>
      <x:c r="E395" s="1" t="n">
        <x:v>0</x:v>
      </x:c>
      <x:c r="F395" s="1" t="n">
        <x:v>8</x:v>
      </x:c>
      <x:c r="G395" s="1" t="n">
        <x:v>24</x:v>
      </x:c>
      <x:c r="H395" s="1" t="n">
        <x:v>0</x:v>
      </x:c>
      <x:c r="I395" s="1" t="n">
        <x:v>0</x:v>
      </x:c>
      <x:c r="J395" s="1" t="str">
        <x:v>no</x:v>
      </x:c>
      <x:c r="K395" s="1" t="n">
        <x:f>2*H395+E395+IF(G395&gt;30,2,0)-IF(B395&gt;24,1,0)</x:f>
        <x:v>-1</x:v>
      </x:c>
      <x:c r="L395" s="1" t="str">
        <x:f>IF(K395&gt;=3,"yes","no")</x:f>
        <x:v>no</x:v>
      </x:c>
      <x:c r="M395" s="1"/>
      <x:c r="N395" s="1"/>
      <x:c r="O395" s="1"/>
    </x:row>
    <x:row r="396">
      <x:c r="A396" s="1" t="str">
        <x:v>S0395</x:v>
      </x:c>
      <x:c r="B396" s="1" t="n">
        <x:v>46</x:v>
      </x:c>
      <x:c r="C396" s="1" t="str">
        <x:v>basic</x:v>
      </x:c>
      <x:c r="D396" s="8" t="n">
        <x:v>9.99</x:v>
      </x:c>
      <x:c r="E396" s="1" t="n">
        <x:v>0</x:v>
      </x:c>
      <x:c r="F396" s="1" t="n">
        <x:v>1</x:v>
      </x:c>
      <x:c r="G396" s="1" t="n">
        <x:v>13</x:v>
      </x:c>
      <x:c r="H396" s="1" t="n">
        <x:v>0</x:v>
      </x:c>
      <x:c r="I396" s="1" t="n">
        <x:v>0</x:v>
      </x:c>
      <x:c r="J396" s="1" t="str">
        <x:v>no</x:v>
      </x:c>
      <x:c r="K396" s="1" t="n">
        <x:f>2*H396+E396+IF(G396&gt;30,2,0)-IF(B396&gt;24,1,0)</x:f>
        <x:v>-1</x:v>
      </x:c>
      <x:c r="L396" s="1" t="str">
        <x:f>IF(K396&gt;=3,"yes","no")</x:f>
        <x:v>no</x:v>
      </x:c>
      <x:c r="M396" s="1"/>
      <x:c r="N396" s="1"/>
      <x:c r="O396" s="1"/>
    </x:row>
    <x:row r="397">
      <x:c r="A397" s="1" t="str">
        <x:v>S0396</x:v>
      </x:c>
      <x:c r="B397" s="1" t="n">
        <x:v>7</x:v>
      </x:c>
      <x:c r="C397" s="1" t="str">
        <x:v>basic</x:v>
      </x:c>
      <x:c r="D397" s="8" t="n">
        <x:v>9.99</x:v>
      </x:c>
      <x:c r="E397" s="1" t="n">
        <x:v>0</x:v>
      </x:c>
      <x:c r="F397" s="1" t="n">
        <x:v>27</x:v>
      </x:c>
      <x:c r="G397" s="1" t="n">
        <x:v>8</x:v>
      </x:c>
      <x:c r="H397" s="1" t="n">
        <x:v>0</x:v>
      </x:c>
      <x:c r="I397" s="1" t="n">
        <x:v>0</x:v>
      </x:c>
      <x:c r="J397" s="1" t="str">
        <x:v>no</x:v>
      </x:c>
      <x:c r="K397" s="1" t="n">
        <x:f>2*H397+E397+IF(G397&gt;30,2,0)-IF(B397&gt;24,1,0)</x:f>
        <x:v>0</x:v>
      </x:c>
      <x:c r="L397" s="1" t="str">
        <x:f>IF(K397&gt;=3,"yes","no")</x:f>
        <x:v>no</x:v>
      </x:c>
      <x:c r="M397" s="1"/>
      <x:c r="N397" s="1"/>
      <x:c r="O397" s="1"/>
    </x:row>
    <x:row r="398">
      <x:c r="A398" s="1" t="str">
        <x:v>S0397</x:v>
      </x:c>
      <x:c r="B398" s="1" t="n">
        <x:v>3</x:v>
      </x:c>
      <x:c r="C398" s="1" t="str">
        <x:v>basic</x:v>
      </x:c>
      <x:c r="D398" s="8" t="n">
        <x:v>9.99</x:v>
      </x:c>
      <x:c r="E398" s="1" t="n">
        <x:v>1</x:v>
      </x:c>
      <x:c r="F398" s="1" t="n">
        <x:v>26</x:v>
      </x:c>
      <x:c r="G398" s="1" t="n">
        <x:v>1</x:v>
      </x:c>
      <x:c r="H398" s="1" t="n">
        <x:v>1</x:v>
      </x:c>
      <x:c r="I398" s="1" t="n">
        <x:v>0</x:v>
      </x:c>
      <x:c r="J398" s="1" t="str">
        <x:v>no</x:v>
      </x:c>
      <x:c r="K398" s="1" t="n">
        <x:f>2*H398+E398+IF(G398&gt;30,2,0)-IF(B398&gt;24,1,0)</x:f>
        <x:v>3</x:v>
      </x:c>
      <x:c r="L398" s="1" t="str">
        <x:f>IF(K398&gt;=3,"yes","no")</x:f>
        <x:v>yes</x:v>
      </x:c>
      <x:c r="M398" s="1"/>
      <x:c r="N398" s="1"/>
      <x:c r="O398" s="1"/>
    </x:row>
    <x:row r="399">
      <x:c r="A399" s="1" t="str">
        <x:v>S0398</x:v>
      </x:c>
      <x:c r="B399" s="1" t="n">
        <x:v>22</x:v>
      </x:c>
      <x:c r="C399" s="1" t="str">
        <x:v>basic</x:v>
      </x:c>
      <x:c r="D399" s="8" t="n">
        <x:v>9.99</x:v>
      </x:c>
      <x:c r="E399" s="1" t="n">
        <x:v>0</x:v>
      </x:c>
      <x:c r="F399" s="1" t="n">
        <x:v>17</x:v>
      </x:c>
      <x:c r="G399" s="1" t="n">
        <x:v>11</x:v>
      </x:c>
      <x:c r="H399" s="1" t="n">
        <x:v>0</x:v>
      </x:c>
      <x:c r="I399" s="1" t="n">
        <x:v>0</x:v>
      </x:c>
      <x:c r="J399" s="1" t="str">
        <x:v>no</x:v>
      </x:c>
      <x:c r="K399" s="1" t="n">
        <x:f>2*H399+E399+IF(G399&gt;30,2,0)-IF(B399&gt;24,1,0)</x:f>
        <x:v>0</x:v>
      </x:c>
      <x:c r="L399" s="1" t="str">
        <x:f>IF(K399&gt;=3,"yes","no")</x:f>
        <x:v>no</x:v>
      </x:c>
      <x:c r="M399" s="1"/>
      <x:c r="N399" s="1"/>
      <x:c r="O399" s="1"/>
    </x:row>
    <x:row r="400">
      <x:c r="A400" s="1" t="str">
        <x:v>S0399</x:v>
      </x:c>
      <x:c r="B400" s="1" t="n">
        <x:v>6</x:v>
      </x:c>
      <x:c r="C400" s="1" t="str">
        <x:v>premium</x:v>
      </x:c>
      <x:c r="D400" s="8" t="n">
        <x:v>15.99</x:v>
      </x:c>
      <x:c r="E400" s="1" t="n">
        <x:v>4</x:v>
      </x:c>
      <x:c r="F400" s="1" t="n">
        <x:v>9</x:v>
      </x:c>
      <x:c r="G400" s="1" t="n">
        <x:v>19</x:v>
      </x:c>
      <x:c r="H400" s="1" t="n">
        <x:v>1</x:v>
      </x:c>
      <x:c r="I400" s="1" t="n">
        <x:v>0</x:v>
      </x:c>
      <x:c r="J400" s="1" t="str">
        <x:v>yes</x:v>
      </x:c>
      <x:c r="K400" s="1" t="n">
        <x:f>2*H400+E400+IF(G400&gt;30,2,0)-IF(B400&gt;24,1,0)</x:f>
        <x:v>6</x:v>
      </x:c>
      <x:c r="L400" s="1" t="str">
        <x:f>IF(K400&gt;=3,"yes","no")</x:f>
        <x:v>yes</x:v>
      </x:c>
      <x:c r="M400" s="1"/>
      <x:c r="N400" s="1"/>
      <x:c r="O400" s="1"/>
    </x:row>
    <x:row r="401">
      <x:c r="A401" s="1" t="str">
        <x:v>S0400</x:v>
      </x:c>
      <x:c r="B401" s="1" t="n">
        <x:v>14</x:v>
      </x:c>
      <x:c r="C401" s="1" t="str">
        <x:v>basic</x:v>
      </x:c>
      <x:c r="D401" s="8" t="n">
        <x:v>9.99</x:v>
      </x:c>
      <x:c r="E401" s="1" t="n">
        <x:v>1</x:v>
      </x:c>
      <x:c r="F401" s="1" t="n">
        <x:v>22</x:v>
      </x:c>
      <x:c r="G401" s="1" t="n">
        <x:v>0</x:v>
      </x:c>
      <x:c r="H401" s="1" t="n">
        <x:v>0</x:v>
      </x:c>
      <x:c r="I401" s="1" t="n">
        <x:v>1</x:v>
      </x:c>
      <x:c r="J401" s="1" t="str">
        <x:v>no</x:v>
      </x:c>
      <x:c r="K401" s="1" t="n">
        <x:f>2*H401+E401+IF(G401&gt;30,2,0)-IF(B401&gt;24,1,0)</x:f>
        <x:v>1</x:v>
      </x:c>
      <x:c r="L401" s="1" t="str">
        <x:f>IF(K401&gt;=3,"yes","no")</x:f>
        <x:v>no</x:v>
      </x:c>
      <x:c r="M401" s="1"/>
      <x:c r="N401" s="1"/>
      <x:c r="O401" s="1"/>
    </x:row>
    <x:row r="402">
      <x:c r="A402" s="1" t="str">
        <x:v>S0401</x:v>
      </x:c>
      <x:c r="B402" s="1" t="n">
        <x:v>37</x:v>
      </x:c>
      <x:c r="C402" s="1" t="str">
        <x:v>basic</x:v>
      </x:c>
      <x:c r="D402" s="8" t="n">
        <x:v>9.99</x:v>
      </x:c>
      <x:c r="E402" s="1" t="n">
        <x:v>2</x:v>
      </x:c>
      <x:c r="F402" s="1" t="n">
        <x:v>8</x:v>
      </x:c>
      <x:c r="G402" s="1" t="n">
        <x:v>12</x:v>
      </x:c>
      <x:c r="H402" s="1" t="n">
        <x:v>0</x:v>
      </x:c>
      <x:c r="I402" s="1" t="n">
        <x:v>0</x:v>
      </x:c>
      <x:c r="J402" s="1" t="str">
        <x:v>no</x:v>
      </x:c>
      <x:c r="K402" s="1" t="n">
        <x:f>2*H402+E402+IF(G402&gt;30,2,0)-IF(B402&gt;24,1,0)</x:f>
        <x:v>1</x:v>
      </x:c>
      <x:c r="L402" s="1" t="str">
        <x:f>IF(K402&gt;=3,"yes","no")</x:f>
        <x:v>no</x:v>
      </x:c>
      <x:c r="M402" s="1"/>
      <x:c r="N402" s="1"/>
      <x:c r="O402" s="1"/>
    </x:row>
    <x:row r="403">
      <x:c r="A403" s="1" t="str">
        <x:v>S0402</x:v>
      </x:c>
      <x:c r="B403" s="1" t="n">
        <x:v>6</x:v>
      </x:c>
      <x:c r="C403" s="1" t="str">
        <x:v>premium</x:v>
      </x:c>
      <x:c r="D403" s="8" t="n">
        <x:v>15.99</x:v>
      </x:c>
      <x:c r="E403" s="1" t="n">
        <x:v>0</x:v>
      </x:c>
      <x:c r="F403" s="1" t="n">
        <x:v>19</x:v>
      </x:c>
      <x:c r="G403" s="1" t="n">
        <x:v>20</x:v>
      </x:c>
      <x:c r="H403" s="1" t="n">
        <x:v>1</x:v>
      </x:c>
      <x:c r="I403" s="1" t="n">
        <x:v>0</x:v>
      </x:c>
      <x:c r="J403" s="1" t="str">
        <x:v>no</x:v>
      </x:c>
      <x:c r="K403" s="1" t="n">
        <x:f>2*H403+E403+IF(G403&gt;30,2,0)-IF(B403&gt;24,1,0)</x:f>
        <x:v>2</x:v>
      </x:c>
      <x:c r="L403" s="1" t="str">
        <x:f>IF(K403&gt;=3,"yes","no")</x:f>
        <x:v>no</x:v>
      </x:c>
      <x:c r="M403" s="1"/>
      <x:c r="N403" s="1"/>
      <x:c r="O403" s="1"/>
    </x:row>
    <x:row r="404">
      <x:c r="A404" s="1" t="str">
        <x:v>S0403</x:v>
      </x:c>
      <x:c r="B404" s="1" t="n">
        <x:v>38</x:v>
      </x:c>
      <x:c r="C404" s="1" t="str">
        <x:v>basic</x:v>
      </x:c>
      <x:c r="D404" s="8" t="n">
        <x:v>9.99</x:v>
      </x:c>
      <x:c r="E404" s="1" t="n">
        <x:v>0</x:v>
      </x:c>
      <x:c r="F404" s="1" t="n">
        <x:v>22</x:v>
      </x:c>
      <x:c r="G404" s="1" t="n">
        <x:v>2</x:v>
      </x:c>
      <x:c r="H404" s="1" t="n">
        <x:v>0</x:v>
      </x:c>
      <x:c r="I404" s="1" t="n">
        <x:v>0</x:v>
      </x:c>
      <x:c r="J404" s="1" t="str">
        <x:v>no</x:v>
      </x:c>
      <x:c r="K404" s="1" t="n">
        <x:f>2*H404+E404+IF(G404&gt;30,2,0)-IF(B404&gt;24,1,0)</x:f>
        <x:v>-1</x:v>
      </x:c>
      <x:c r="L404" s="1" t="str">
        <x:f>IF(K404&gt;=3,"yes","no")</x:f>
        <x:v>no</x:v>
      </x:c>
      <x:c r="M404" s="1"/>
      <x:c r="N404" s="1"/>
      <x:c r="O404" s="1"/>
    </x:row>
    <x:row r="405">
      <x:c r="A405" s="1" t="str">
        <x:v>S0404</x:v>
      </x:c>
      <x:c r="B405" s="1" t="n">
        <x:v>46</x:v>
      </x:c>
      <x:c r="C405" s="1" t="str">
        <x:v>premium</x:v>
      </x:c>
      <x:c r="D405" s="8" t="n">
        <x:v>15.99</x:v>
      </x:c>
      <x:c r="E405" s="1" t="n">
        <x:v>0</x:v>
      </x:c>
      <x:c r="F405" s="1" t="n">
        <x:v>16</x:v>
      </x:c>
      <x:c r="G405" s="1" t="n">
        <x:v>12</x:v>
      </x:c>
      <x:c r="H405" s="1" t="n">
        <x:v>1</x:v>
      </x:c>
      <x:c r="I405" s="1" t="n">
        <x:v>0</x:v>
      </x:c>
      <x:c r="J405" s="1" t="str">
        <x:v>no</x:v>
      </x:c>
      <x:c r="K405" s="1" t="n">
        <x:f>2*H405+E405+IF(G405&gt;30,2,0)-IF(B405&gt;24,1,0)</x:f>
        <x:v>1</x:v>
      </x:c>
      <x:c r="L405" s="1" t="str">
        <x:f>IF(K405&gt;=3,"yes","no")</x:f>
        <x:v>no</x:v>
      </x:c>
      <x:c r="M405" s="1"/>
      <x:c r="N405" s="1"/>
      <x:c r="O405" s="1"/>
    </x:row>
    <x:row r="406">
      <x:c r="A406" s="1" t="str">
        <x:v>S0405</x:v>
      </x:c>
      <x:c r="B406" s="1" t="n">
        <x:v>32</x:v>
      </x:c>
      <x:c r="C406" s="1" t="str">
        <x:v>basic</x:v>
      </x:c>
      <x:c r="D406" s="8" t="n">
        <x:v>9.99</x:v>
      </x:c>
      <x:c r="E406" s="1" t="n">
        <x:v>1</x:v>
      </x:c>
      <x:c r="F406" s="1" t="n">
        <x:v>28</x:v>
      </x:c>
      <x:c r="G406" s="1" t="n">
        <x:v>8</x:v>
      </x:c>
      <x:c r="H406" s="1" t="n">
        <x:v>0</x:v>
      </x:c>
      <x:c r="I406" s="1" t="n">
        <x:v>0</x:v>
      </x:c>
      <x:c r="J406" s="1" t="str">
        <x:v>no</x:v>
      </x:c>
      <x:c r="K406" s="1" t="n">
        <x:f>2*H406+E406+IF(G406&gt;30,2,0)-IF(B406&gt;24,1,0)</x:f>
        <x:v>0</x:v>
      </x:c>
      <x:c r="L406" s="1" t="str">
        <x:f>IF(K406&gt;=3,"yes","no")</x:f>
        <x:v>no</x:v>
      </x:c>
      <x:c r="M406" s="1"/>
      <x:c r="N406" s="1"/>
      <x:c r="O406" s="1"/>
    </x:row>
    <x:row r="407">
      <x:c r="A407" s="1" t="str">
        <x:v>S0406</x:v>
      </x:c>
      <x:c r="B407" s="1" t="n">
        <x:v>6</x:v>
      </x:c>
      <x:c r="C407" s="1" t="str">
        <x:v>premium</x:v>
      </x:c>
      <x:c r="D407" s="8" t="n">
        <x:v>15.99</x:v>
      </x:c>
      <x:c r="E407" s="1" t="n">
        <x:v>0</x:v>
      </x:c>
      <x:c r="F407" s="1" t="n">
        <x:v>23</x:v>
      </x:c>
      <x:c r="G407" s="1" t="n">
        <x:v>1</x:v>
      </x:c>
      <x:c r="H407" s="1" t="n">
        <x:v>0</x:v>
      </x:c>
      <x:c r="I407" s="1" t="n">
        <x:v>0</x:v>
      </x:c>
      <x:c r="J407" s="1" t="str">
        <x:v>yes</x:v>
      </x:c>
      <x:c r="K407" s="1" t="n">
        <x:f>2*H407+E407+IF(G407&gt;30,2,0)-IF(B407&gt;24,1,0)</x:f>
        <x:v>0</x:v>
      </x:c>
      <x:c r="L407" s="1" t="str">
        <x:f>IF(K407&gt;=3,"yes","no")</x:f>
        <x:v>no</x:v>
      </x:c>
      <x:c r="M407" s="1"/>
      <x:c r="N407" s="1"/>
      <x:c r="O407" s="1"/>
    </x:row>
    <x:row r="408">
      <x:c r="A408" s="1" t="str">
        <x:v>S0407</x:v>
      </x:c>
      <x:c r="B408" s="1" t="n">
        <x:v>39</x:v>
      </x:c>
      <x:c r="C408" s="1" t="str">
        <x:v>basic</x:v>
      </x:c>
      <x:c r="D408" s="8" t="n">
        <x:v>9.99</x:v>
      </x:c>
      <x:c r="E408" s="1" t="n">
        <x:v>0</x:v>
      </x:c>
      <x:c r="F408" s="1" t="n">
        <x:v>27</x:v>
      </x:c>
      <x:c r="G408" s="1" t="n">
        <x:v>4</x:v>
      </x:c>
      <x:c r="H408" s="1" t="n">
        <x:v>1</x:v>
      </x:c>
      <x:c r="I408" s="1" t="n">
        <x:v>1</x:v>
      </x:c>
      <x:c r="J408" s="1" t="str">
        <x:v>no</x:v>
      </x:c>
      <x:c r="K408" s="1" t="n">
        <x:f>2*H408+E408+IF(G408&gt;30,2,0)-IF(B408&gt;24,1,0)</x:f>
        <x:v>1</x:v>
      </x:c>
      <x:c r="L408" s="1" t="str">
        <x:f>IF(K408&gt;=3,"yes","no")</x:f>
        <x:v>no</x:v>
      </x:c>
      <x:c r="M408" s="1"/>
      <x:c r="N408" s="1"/>
      <x:c r="O408" s="1"/>
    </x:row>
    <x:row r="409">
      <x:c r="A409" s="1" t="str">
        <x:v>S0408</x:v>
      </x:c>
      <x:c r="B409" s="1" t="n">
        <x:v>2</x:v>
      </x:c>
      <x:c r="C409" s="1" t="str">
        <x:v>basic</x:v>
      </x:c>
      <x:c r="D409" s="8" t="n">
        <x:v>9.99</x:v>
      </x:c>
      <x:c r="E409" s="1" t="n">
        <x:v>0</x:v>
      </x:c>
      <x:c r="F409" s="1" t="n">
        <x:v>37</x:v>
      </x:c>
      <x:c r="G409" s="1" t="n">
        <x:v>4</x:v>
      </x:c>
      <x:c r="H409" s="1" t="n">
        <x:v>0</x:v>
      </x:c>
      <x:c r="I409" s="1" t="n">
        <x:v>0</x:v>
      </x:c>
      <x:c r="J409" s="1" t="str">
        <x:v>no</x:v>
      </x:c>
      <x:c r="K409" s="1" t="n">
        <x:f>2*H409+E409+IF(G409&gt;30,2,0)-IF(B409&gt;24,1,0)</x:f>
        <x:v>0</x:v>
      </x:c>
      <x:c r="L409" s="1" t="str">
        <x:f>IF(K409&gt;=3,"yes","no")</x:f>
        <x:v>no</x:v>
      </x:c>
      <x:c r="M409" s="1"/>
      <x:c r="N409" s="1"/>
      <x:c r="O409" s="1"/>
    </x:row>
    <x:row r="410">
      <x:c r="A410" s="1" t="str">
        <x:v>S0409</x:v>
      </x:c>
      <x:c r="B410" s="1" t="n">
        <x:v>2</x:v>
      </x:c>
      <x:c r="C410" s="1" t="str">
        <x:v>basic</x:v>
      </x:c>
      <x:c r="D410" s="8" t="n">
        <x:v>9.99</x:v>
      </x:c>
      <x:c r="E410" s="1" t="n">
        <x:v>0</x:v>
      </x:c>
      <x:c r="F410" s="1" t="n">
        <x:v>0</x:v>
      </x:c>
      <x:c r="G410" s="1" t="n">
        <x:v>48</x:v>
      </x:c>
      <x:c r="H410" s="1" t="n">
        <x:v>0</x:v>
      </x:c>
      <x:c r="I410" s="1" t="n">
        <x:v>0</x:v>
      </x:c>
      <x:c r="J410" s="1" t="str">
        <x:v>no</x:v>
      </x:c>
      <x:c r="K410" s="1" t="n">
        <x:f>2*H410+E410+IF(G410&gt;30,2,0)-IF(B410&gt;24,1,0)</x:f>
        <x:v>2</x:v>
      </x:c>
      <x:c r="L410" s="1" t="str">
        <x:f>IF(K410&gt;=3,"yes","no")</x:f>
        <x:v>no</x:v>
      </x:c>
      <x:c r="M410" s="1"/>
      <x:c r="N410" s="1"/>
      <x:c r="O410" s="1"/>
    </x:row>
    <x:row r="411">
      <x:c r="A411" s="1" t="str">
        <x:v>S0410</x:v>
      </x:c>
      <x:c r="B411" s="1" t="n">
        <x:v>5</x:v>
      </x:c>
      <x:c r="C411" s="1" t="str">
        <x:v>premium</x:v>
      </x:c>
      <x:c r="D411" s="8" t="n">
        <x:v>15.99</x:v>
      </x:c>
      <x:c r="E411" s="1" t="n">
        <x:v>0</x:v>
      </x:c>
      <x:c r="F411" s="1" t="n">
        <x:v>21</x:v>
      </x:c>
      <x:c r="G411" s="1" t="n">
        <x:v>7</x:v>
      </x:c>
      <x:c r="H411" s="1" t="n">
        <x:v>0</x:v>
      </x:c>
      <x:c r="I411" s="1" t="n">
        <x:v>0</x:v>
      </x:c>
      <x:c r="J411" s="1" t="str">
        <x:v>no</x:v>
      </x:c>
      <x:c r="K411" s="1" t="n">
        <x:f>2*H411+E411+IF(G411&gt;30,2,0)-IF(B411&gt;24,1,0)</x:f>
        <x:v>0</x:v>
      </x:c>
      <x:c r="L411" s="1" t="str">
        <x:f>IF(K411&gt;=3,"yes","no")</x:f>
        <x:v>no</x:v>
      </x:c>
      <x:c r="M411" s="1"/>
      <x:c r="N411" s="1"/>
      <x:c r="O411" s="1"/>
    </x:row>
    <x:row r="412">
      <x:c r="A412" s="1" t="str">
        <x:v>S0411</x:v>
      </x:c>
      <x:c r="B412" s="1" t="n">
        <x:v>38</x:v>
      </x:c>
      <x:c r="C412" s="1" t="str">
        <x:v>basic</x:v>
      </x:c>
      <x:c r="D412" s="8" t="n">
        <x:v>9.99</x:v>
      </x:c>
      <x:c r="E412" s="1" t="n">
        <x:v>2</x:v>
      </x:c>
      <x:c r="F412" s="1" t="n">
        <x:v>0</x:v>
      </x:c>
      <x:c r="G412" s="1" t="n">
        <x:v>31</x:v>
      </x:c>
      <x:c r="H412" s="1" t="n">
        <x:v>0</x:v>
      </x:c>
      <x:c r="I412" s="1" t="n">
        <x:v>0</x:v>
      </x:c>
      <x:c r="J412" s="1" t="str">
        <x:v>yes</x:v>
      </x:c>
      <x:c r="K412" s="1" t="n">
        <x:f>2*H412+E412+IF(G412&gt;30,2,0)-IF(B412&gt;24,1,0)</x:f>
        <x:v>3</x:v>
      </x:c>
      <x:c r="L412" s="1" t="str">
        <x:f>IF(K412&gt;=3,"yes","no")</x:f>
        <x:v>yes</x:v>
      </x:c>
      <x:c r="M412" s="1"/>
      <x:c r="N412" s="1"/>
      <x:c r="O412" s="1"/>
    </x:row>
    <x:row r="413">
      <x:c r="A413" s="1" t="str">
        <x:v>S0412</x:v>
      </x:c>
      <x:c r="B413" s="1" t="n">
        <x:v>35</x:v>
      </x:c>
      <x:c r="C413" s="1" t="str">
        <x:v>basic</x:v>
      </x:c>
      <x:c r="D413" s="8" t="n">
        <x:v>9.99</x:v>
      </x:c>
      <x:c r="E413" s="1" t="n">
        <x:v>0</x:v>
      </x:c>
      <x:c r="F413" s="1" t="n">
        <x:v>0</x:v>
      </x:c>
      <x:c r="G413" s="1" t="n">
        <x:v>54</x:v>
      </x:c>
      <x:c r="H413" s="1" t="n">
        <x:v>0</x:v>
      </x:c>
      <x:c r="I413" s="1" t="n">
        <x:v>1</x:v>
      </x:c>
      <x:c r="J413" s="1" t="str">
        <x:v>yes</x:v>
      </x:c>
      <x:c r="K413" s="1" t="n">
        <x:f>2*H413+E413+IF(G413&gt;30,2,0)-IF(B413&gt;24,1,0)</x:f>
        <x:v>1</x:v>
      </x:c>
      <x:c r="L413" s="1" t="str">
        <x:f>IF(K413&gt;=3,"yes","no")</x:f>
        <x:v>no</x:v>
      </x:c>
      <x:c r="M413" s="1"/>
      <x:c r="N413" s="1"/>
      <x:c r="O413" s="1"/>
    </x:row>
    <x:row r="414">
      <x:c r="A414" s="1" t="str">
        <x:v>S0413</x:v>
      </x:c>
      <x:c r="B414" s="1" t="n">
        <x:v>41</x:v>
      </x:c>
      <x:c r="C414" s="1" t="str">
        <x:v>premium</x:v>
      </x:c>
      <x:c r="D414" s="8" t="n">
        <x:v>15.99</x:v>
      </x:c>
      <x:c r="E414" s="1" t="n">
        <x:v>0</x:v>
      </x:c>
      <x:c r="F414" s="1" t="n">
        <x:v>0</x:v>
      </x:c>
      <x:c r="G414" s="1" t="n">
        <x:v>53</x:v>
      </x:c>
      <x:c r="H414" s="1" t="n">
        <x:v>0</x:v>
      </x:c>
      <x:c r="I414" s="1" t="n">
        <x:v>0</x:v>
      </x:c>
      <x:c r="J414" s="1" t="str">
        <x:v>no</x:v>
      </x:c>
      <x:c r="K414" s="1" t="n">
        <x:f>2*H414+E414+IF(G414&gt;30,2,0)-IF(B414&gt;24,1,0)</x:f>
        <x:v>1</x:v>
      </x:c>
      <x:c r="L414" s="1" t="str">
        <x:f>IF(K414&gt;=3,"yes","no")</x:f>
        <x:v>no</x:v>
      </x:c>
      <x:c r="M414" s="1"/>
      <x:c r="N414" s="1"/>
      <x:c r="O414" s="1"/>
    </x:row>
    <x:row r="415">
      <x:c r="A415" s="1" t="str">
        <x:v>S0414</x:v>
      </x:c>
      <x:c r="B415" s="1" t="n">
        <x:v>35</x:v>
      </x:c>
      <x:c r="C415" s="1" t="str">
        <x:v>basic</x:v>
      </x:c>
      <x:c r="D415" s="8" t="n">
        <x:v>9.99</x:v>
      </x:c>
      <x:c r="E415" s="1" t="n">
        <x:v>0</x:v>
      </x:c>
      <x:c r="F415" s="1" t="n">
        <x:v>9</x:v>
      </x:c>
      <x:c r="G415" s="1" t="n">
        <x:v>0</x:v>
      </x:c>
      <x:c r="H415" s="1" t="n">
        <x:v>0</x:v>
      </x:c>
      <x:c r="I415" s="1" t="n">
        <x:v>0</x:v>
      </x:c>
      <x:c r="J415" s="1" t="str">
        <x:v>no</x:v>
      </x:c>
      <x:c r="K415" s="1" t="n">
        <x:f>2*H415+E415+IF(G415&gt;30,2,0)-IF(B415&gt;24,1,0)</x:f>
        <x:v>-1</x:v>
      </x:c>
      <x:c r="L415" s="1" t="str">
        <x:f>IF(K415&gt;=3,"yes","no")</x:f>
        <x:v>no</x:v>
      </x:c>
      <x:c r="M415" s="1"/>
      <x:c r="N415" s="1"/>
      <x:c r="O415" s="1"/>
    </x:row>
    <x:row r="416">
      <x:c r="A416" s="1" t="str">
        <x:v>S0415</x:v>
      </x:c>
      <x:c r="B416" s="1" t="n">
        <x:v>27</x:v>
      </x:c>
      <x:c r="C416" s="1" t="str">
        <x:v>basic</x:v>
      </x:c>
      <x:c r="D416" s="8" t="n">
        <x:v>9.99</x:v>
      </x:c>
      <x:c r="E416" s="1" t="n">
        <x:v>2</x:v>
      </x:c>
      <x:c r="F416" s="1" t="n">
        <x:v>0</x:v>
      </x:c>
      <x:c r="G416" s="1" t="n">
        <x:v>37</x:v>
      </x:c>
      <x:c r="H416" s="1" t="n">
        <x:v>0</x:v>
      </x:c>
      <x:c r="I416" s="1" t="n">
        <x:v>0</x:v>
      </x:c>
      <x:c r="J416" s="1" t="str">
        <x:v>yes</x:v>
      </x:c>
      <x:c r="K416" s="1" t="n">
        <x:f>2*H416+E416+IF(G416&gt;30,2,0)-IF(B416&gt;24,1,0)</x:f>
        <x:v>3</x:v>
      </x:c>
      <x:c r="L416" s="1" t="str">
        <x:f>IF(K416&gt;=3,"yes","no")</x:f>
        <x:v>yes</x:v>
      </x:c>
      <x:c r="M416" s="1"/>
      <x:c r="N416" s="1"/>
      <x:c r="O416" s="1"/>
    </x:row>
    <x:row r="417">
      <x:c r="A417" s="1" t="str">
        <x:v>S0416</x:v>
      </x:c>
      <x:c r="B417" s="1" t="n">
        <x:v>6</x:v>
      </x:c>
      <x:c r="C417" s="1" t="str">
        <x:v>premium</x:v>
      </x:c>
      <x:c r="D417" s="8" t="n">
        <x:v>15.99</x:v>
      </x:c>
      <x:c r="E417" s="1" t="n">
        <x:v>1</x:v>
      </x:c>
      <x:c r="F417" s="1" t="n">
        <x:v>13</x:v>
      </x:c>
      <x:c r="G417" s="1" t="n">
        <x:v>4</x:v>
      </x:c>
      <x:c r="H417" s="1" t="n">
        <x:v>0</x:v>
      </x:c>
      <x:c r="I417" s="1" t="n">
        <x:v>0</x:v>
      </x:c>
      <x:c r="J417" s="1" t="str">
        <x:v>no</x:v>
      </x:c>
      <x:c r="K417" s="1" t="n">
        <x:f>2*H417+E417+IF(G417&gt;30,2,0)-IF(B417&gt;24,1,0)</x:f>
        <x:v>1</x:v>
      </x:c>
      <x:c r="L417" s="1" t="str">
        <x:f>IF(K417&gt;=3,"yes","no")</x:f>
        <x:v>no</x:v>
      </x:c>
      <x:c r="M417" s="1"/>
      <x:c r="N417" s="1"/>
      <x:c r="O417" s="1"/>
    </x:row>
    <x:row r="418">
      <x:c r="A418" s="1" t="str">
        <x:v>S0417</x:v>
      </x:c>
      <x:c r="B418" s="1" t="n">
        <x:v>17</x:v>
      </x:c>
      <x:c r="C418" s="1" t="str">
        <x:v>premium</x:v>
      </x:c>
      <x:c r="D418" s="8" t="n">
        <x:v>15.99</x:v>
      </x:c>
      <x:c r="E418" s="1" t="n">
        <x:v>0</x:v>
      </x:c>
      <x:c r="F418" s="1" t="n">
        <x:v>16</x:v>
      </x:c>
      <x:c r="G418" s="1" t="n">
        <x:v>1</x:v>
      </x:c>
      <x:c r="H418" s="1" t="n">
        <x:v>0</x:v>
      </x:c>
      <x:c r="I418" s="1" t="n">
        <x:v>1</x:v>
      </x:c>
      <x:c r="J418" s="1" t="str">
        <x:v>no</x:v>
      </x:c>
      <x:c r="K418" s="1" t="n">
        <x:f>2*H418+E418+IF(G418&gt;30,2,0)-IF(B418&gt;24,1,0)</x:f>
        <x:v>0</x:v>
      </x:c>
      <x:c r="L418" s="1" t="str">
        <x:f>IF(K418&gt;=3,"yes","no")</x:f>
        <x:v>no</x:v>
      </x:c>
      <x:c r="M418" s="1"/>
      <x:c r="N418" s="1"/>
      <x:c r="O418" s="1"/>
    </x:row>
    <x:row r="419">
      <x:c r="A419" s="1" t="str">
        <x:v>S0418</x:v>
      </x:c>
      <x:c r="B419" s="1" t="n">
        <x:v>17</x:v>
      </x:c>
      <x:c r="C419" s="1" t="str">
        <x:v>premium</x:v>
      </x:c>
      <x:c r="D419" s="8" t="n">
        <x:v>15.99</x:v>
      </x:c>
      <x:c r="E419" s="1" t="n">
        <x:v>0</x:v>
      </x:c>
      <x:c r="F419" s="1" t="n">
        <x:v>40</x:v>
      </x:c>
      <x:c r="G419" s="1" t="n">
        <x:v>1</x:v>
      </x:c>
      <x:c r="H419" s="1" t="n">
        <x:v>0</x:v>
      </x:c>
      <x:c r="I419" s="1" t="n">
        <x:v>0</x:v>
      </x:c>
      <x:c r="J419" s="1" t="str">
        <x:v>no</x:v>
      </x:c>
      <x:c r="K419" s="1" t="n">
        <x:f>2*H419+E419+IF(G419&gt;30,2,0)-IF(B419&gt;24,1,0)</x:f>
        <x:v>0</x:v>
      </x:c>
      <x:c r="L419" s="1" t="str">
        <x:f>IF(K419&gt;=3,"yes","no")</x:f>
        <x:v>no</x:v>
      </x:c>
      <x:c r="M419" s="1"/>
      <x:c r="N419" s="1"/>
      <x:c r="O419" s="1"/>
    </x:row>
    <x:row r="420">
      <x:c r="A420" s="1" t="str">
        <x:v>S0419</x:v>
      </x:c>
      <x:c r="B420" s="1" t="n">
        <x:v>41</x:v>
      </x:c>
      <x:c r="C420" s="1" t="str">
        <x:v>basic</x:v>
      </x:c>
      <x:c r="D420" s="8" t="n">
        <x:v>9.99</x:v>
      </x:c>
      <x:c r="E420" s="1" t="n">
        <x:v>2</x:v>
      </x:c>
      <x:c r="F420" s="1" t="n">
        <x:v>27</x:v>
      </x:c>
      <x:c r="G420" s="1" t="n">
        <x:v>4</x:v>
      </x:c>
      <x:c r="H420" s="1" t="n">
        <x:v>0</x:v>
      </x:c>
      <x:c r="I420" s="1" t="n">
        <x:v>0</x:v>
      </x:c>
      <x:c r="J420" s="1" t="str">
        <x:v>no</x:v>
      </x:c>
      <x:c r="K420" s="1" t="n">
        <x:f>2*H420+E420+IF(G420&gt;30,2,0)-IF(B420&gt;24,1,0)</x:f>
        <x:v>1</x:v>
      </x:c>
      <x:c r="L420" s="1" t="str">
        <x:f>IF(K420&gt;=3,"yes","no")</x:f>
        <x:v>no</x:v>
      </x:c>
      <x:c r="M420" s="1"/>
      <x:c r="N420" s="1"/>
      <x:c r="O420" s="1"/>
    </x:row>
    <x:row r="421">
      <x:c r="A421" s="1" t="str">
        <x:v>S0420</x:v>
      </x:c>
      <x:c r="B421" s="1" t="n">
        <x:v>17</x:v>
      </x:c>
      <x:c r="C421" s="1" t="str">
        <x:v>basic</x:v>
      </x:c>
      <x:c r="D421" s="8" t="n">
        <x:v>9.99</x:v>
      </x:c>
      <x:c r="E421" s="1" t="n">
        <x:v>2</x:v>
      </x:c>
      <x:c r="F421" s="1" t="n">
        <x:v>13</x:v>
      </x:c>
      <x:c r="G421" s="1" t="n">
        <x:v>0</x:v>
      </x:c>
      <x:c r="H421" s="1" t="n">
        <x:v>0</x:v>
      </x:c>
      <x:c r="I421" s="1" t="n">
        <x:v>1</x:v>
      </x:c>
      <x:c r="J421" s="1" t="str">
        <x:v>no</x:v>
      </x:c>
      <x:c r="K421" s="1" t="n">
        <x:f>2*H421+E421+IF(G421&gt;30,2,0)-IF(B421&gt;24,1,0)</x:f>
        <x:v>2</x:v>
      </x:c>
      <x:c r="L421" s="1" t="str">
        <x:f>IF(K421&gt;=3,"yes","no")</x:f>
        <x:v>no</x:v>
      </x:c>
      <x:c r="M421" s="1"/>
      <x:c r="N421" s="1"/>
      <x:c r="O421" s="1"/>
    </x:row>
    <x:row r="422">
      <x:c r="A422" s="1" t="str">
        <x:v>S0421</x:v>
      </x:c>
      <x:c r="B422" s="1" t="n">
        <x:v>17</x:v>
      </x:c>
      <x:c r="C422" s="1" t="str">
        <x:v>basic</x:v>
      </x:c>
      <x:c r="D422" s="8" t="n">
        <x:v>9.99</x:v>
      </x:c>
      <x:c r="E422" s="1" t="n">
        <x:v>0</x:v>
      </x:c>
      <x:c r="F422" s="1" t="n">
        <x:v>0</x:v>
      </x:c>
      <x:c r="G422" s="1" t="n">
        <x:v>49</x:v>
      </x:c>
      <x:c r="H422" s="1" t="n">
        <x:v>1</x:v>
      </x:c>
      <x:c r="I422" s="1" t="n">
        <x:v>0</x:v>
      </x:c>
      <x:c r="J422" s="1" t="str">
        <x:v>yes</x:v>
      </x:c>
      <x:c r="K422" s="1" t="n">
        <x:f>2*H422+E422+IF(G422&gt;30,2,0)-IF(B422&gt;24,1,0)</x:f>
        <x:v>4</x:v>
      </x:c>
      <x:c r="L422" s="1" t="str">
        <x:f>IF(K422&gt;=3,"yes","no")</x:f>
        <x:v>yes</x:v>
      </x:c>
      <x:c r="M422" s="1"/>
      <x:c r="N422" s="1"/>
      <x:c r="O422" s="1"/>
    </x:row>
    <x:row r="423">
      <x:c r="A423" s="1" t="str">
        <x:v>S0422</x:v>
      </x:c>
      <x:c r="B423" s="1" t="n">
        <x:v>1</x:v>
      </x:c>
      <x:c r="C423" s="1" t="str">
        <x:v>basic</x:v>
      </x:c>
      <x:c r="D423" s="8" t="n">
        <x:v>9.99</x:v>
      </x:c>
      <x:c r="E423" s="1" t="n">
        <x:v>2</x:v>
      </x:c>
      <x:c r="F423" s="1" t="n">
        <x:v>26</x:v>
      </x:c>
      <x:c r="G423" s="1" t="n">
        <x:v>2</x:v>
      </x:c>
      <x:c r="H423" s="1" t="n">
        <x:v>0</x:v>
      </x:c>
      <x:c r="I423" s="1" t="n">
        <x:v>0</x:v>
      </x:c>
      <x:c r="J423" s="1" t="str">
        <x:v>yes</x:v>
      </x:c>
      <x:c r="K423" s="1" t="n">
        <x:f>2*H423+E423+IF(G423&gt;30,2,0)-IF(B423&gt;24,1,0)</x:f>
        <x:v>2</x:v>
      </x:c>
      <x:c r="L423" s="1" t="str">
        <x:f>IF(K423&gt;=3,"yes","no")</x:f>
        <x:v>no</x:v>
      </x:c>
      <x:c r="M423" s="1"/>
      <x:c r="N423" s="1"/>
      <x:c r="O423" s="1"/>
    </x:row>
    <x:row r="424">
      <x:c r="A424" s="1" t="str">
        <x:v>S0423</x:v>
      </x:c>
      <x:c r="B424" s="1" t="n">
        <x:v>22</x:v>
      </x:c>
      <x:c r="C424" s="1" t="str">
        <x:v>basic</x:v>
      </x:c>
      <x:c r="D424" s="8" t="n">
        <x:v>9.99</x:v>
      </x:c>
      <x:c r="E424" s="1" t="n">
        <x:v>4</x:v>
      </x:c>
      <x:c r="F424" s="1" t="n">
        <x:v>0</x:v>
      </x:c>
      <x:c r="G424" s="1" t="n">
        <x:v>35</x:v>
      </x:c>
      <x:c r="H424" s="1" t="n">
        <x:v>1</x:v>
      </x:c>
      <x:c r="I424" s="1" t="n">
        <x:v>0</x:v>
      </x:c>
      <x:c r="J424" s="1" t="str">
        <x:v>yes</x:v>
      </x:c>
      <x:c r="K424" s="1" t="n">
        <x:f>2*H424+E424+IF(G424&gt;30,2,0)-IF(B424&gt;24,1,0)</x:f>
        <x:v>8</x:v>
      </x:c>
      <x:c r="L424" s="1" t="str">
        <x:f>IF(K424&gt;=3,"yes","no")</x:f>
        <x:v>yes</x:v>
      </x:c>
      <x:c r="M424" s="1"/>
      <x:c r="N424" s="1"/>
      <x:c r="O424" s="1"/>
    </x:row>
    <x:row r="425">
      <x:c r="A425" s="1" t="str">
        <x:v>S0424</x:v>
      </x:c>
      <x:c r="B425" s="1" t="n">
        <x:v>31</x:v>
      </x:c>
      <x:c r="C425" s="1" t="str">
        <x:v>basic</x:v>
      </x:c>
      <x:c r="D425" s="8" t="n">
        <x:v>9.99</x:v>
      </x:c>
      <x:c r="E425" s="1" t="n">
        <x:v>1</x:v>
      </x:c>
      <x:c r="F425" s="1" t="n">
        <x:v>25</x:v>
      </x:c>
      <x:c r="G425" s="1" t="n">
        <x:v>5</x:v>
      </x:c>
      <x:c r="H425" s="1" t="n">
        <x:v>0</x:v>
      </x:c>
      <x:c r="I425" s="1" t="n">
        <x:v>0</x:v>
      </x:c>
      <x:c r="J425" s="1" t="str">
        <x:v>no</x:v>
      </x:c>
      <x:c r="K425" s="1" t="n">
        <x:f>2*H425+E425+IF(G425&gt;30,2,0)-IF(B425&gt;24,1,0)</x:f>
        <x:v>0</x:v>
      </x:c>
      <x:c r="L425" s="1" t="str">
        <x:f>IF(K425&gt;=3,"yes","no")</x:f>
        <x:v>no</x:v>
      </x:c>
      <x:c r="M425" s="1"/>
      <x:c r="N425" s="1"/>
      <x:c r="O425" s="1"/>
    </x:row>
    <x:row r="426">
      <x:c r="A426" s="1" t="str">
        <x:v>S0425</x:v>
      </x:c>
      <x:c r="B426" s="1" t="n">
        <x:v>28</x:v>
      </x:c>
      <x:c r="C426" s="1" t="str">
        <x:v>premium</x:v>
      </x:c>
      <x:c r="D426" s="8" t="n">
        <x:v>15.99</x:v>
      </x:c>
      <x:c r="E426" s="1" t="n">
        <x:v>0</x:v>
      </x:c>
      <x:c r="F426" s="1" t="n">
        <x:v>30</x:v>
      </x:c>
      <x:c r="G426" s="1" t="n">
        <x:v>5</x:v>
      </x:c>
      <x:c r="H426" s="1" t="n">
        <x:v>0</x:v>
      </x:c>
      <x:c r="I426" s="1" t="n">
        <x:v>1</x:v>
      </x:c>
      <x:c r="J426" s="1" t="str">
        <x:v>no</x:v>
      </x:c>
      <x:c r="K426" s="1" t="n">
        <x:f>2*H426+E426+IF(G426&gt;30,2,0)-IF(B426&gt;24,1,0)</x:f>
        <x:v>-1</x:v>
      </x:c>
      <x:c r="L426" s="1" t="str">
        <x:f>IF(K426&gt;=3,"yes","no")</x:f>
        <x:v>no</x:v>
      </x:c>
      <x:c r="M426" s="1"/>
      <x:c r="N426" s="1"/>
      <x:c r="O426" s="1"/>
    </x:row>
    <x:row r="427">
      <x:c r="A427" s="1" t="str">
        <x:v>S0426</x:v>
      </x:c>
      <x:c r="B427" s="1" t="n">
        <x:v>5</x:v>
      </x:c>
      <x:c r="C427" s="1" t="str">
        <x:v>basic</x:v>
      </x:c>
      <x:c r="D427" s="8" t="n">
        <x:v>9.99</x:v>
      </x:c>
      <x:c r="E427" s="1" t="n">
        <x:v>0</x:v>
      </x:c>
      <x:c r="F427" s="1" t="n">
        <x:v>7</x:v>
      </x:c>
      <x:c r="G427" s="1" t="n">
        <x:v>5</x:v>
      </x:c>
      <x:c r="H427" s="1" t="n">
        <x:v>0</x:v>
      </x:c>
      <x:c r="I427" s="1" t="n">
        <x:v>0</x:v>
      </x:c>
      <x:c r="J427" s="1" t="str">
        <x:v>no</x:v>
      </x:c>
      <x:c r="K427" s="1" t="n">
        <x:f>2*H427+E427+IF(G427&gt;30,2,0)-IF(B427&gt;24,1,0)</x:f>
        <x:v>0</x:v>
      </x:c>
      <x:c r="L427" s="1" t="str">
        <x:f>IF(K427&gt;=3,"yes","no")</x:f>
        <x:v>no</x:v>
      </x:c>
      <x:c r="M427" s="1"/>
      <x:c r="N427" s="1"/>
      <x:c r="O427" s="1"/>
    </x:row>
    <x:row r="428">
      <x:c r="A428" s="1" t="str">
        <x:v>S0427</x:v>
      </x:c>
      <x:c r="B428" s="1" t="n">
        <x:v>35</x:v>
      </x:c>
      <x:c r="C428" s="1" t="str">
        <x:v>basic</x:v>
      </x:c>
      <x:c r="D428" s="8" t="n">
        <x:v>9.99</x:v>
      </x:c>
      <x:c r="E428" s="1" t="n">
        <x:v>3</x:v>
      </x:c>
      <x:c r="F428" s="1" t="n">
        <x:v>18</x:v>
      </x:c>
      <x:c r="G428" s="1" t="n">
        <x:v>3</x:v>
      </x:c>
      <x:c r="H428" s="1" t="n">
        <x:v>0</x:v>
      </x:c>
      <x:c r="I428" s="1" t="n">
        <x:v>0</x:v>
      </x:c>
      <x:c r="J428" s="1" t="str">
        <x:v>no</x:v>
      </x:c>
      <x:c r="K428" s="1" t="n">
        <x:f>2*H428+E428+IF(G428&gt;30,2,0)-IF(B428&gt;24,1,0)</x:f>
        <x:v>2</x:v>
      </x:c>
      <x:c r="L428" s="1" t="str">
        <x:f>IF(K428&gt;=3,"yes","no")</x:f>
        <x:v>no</x:v>
      </x:c>
      <x:c r="M428" s="1"/>
      <x:c r="N428" s="1"/>
      <x:c r="O428" s="1"/>
    </x:row>
    <x:row r="429">
      <x:c r="A429" s="1" t="str">
        <x:v>S0428</x:v>
      </x:c>
      <x:c r="B429" s="1" t="n">
        <x:v>2</x:v>
      </x:c>
      <x:c r="C429" s="1" t="str">
        <x:v>premium</x:v>
      </x:c>
      <x:c r="D429" s="8" t="n">
        <x:v>15.99</x:v>
      </x:c>
      <x:c r="E429" s="1" t="n">
        <x:v>0</x:v>
      </x:c>
      <x:c r="F429" s="1" t="n">
        <x:v>26</x:v>
      </x:c>
      <x:c r="G429" s="1" t="n">
        <x:v>2</x:v>
      </x:c>
      <x:c r="H429" s="1" t="n">
        <x:v>0</x:v>
      </x:c>
      <x:c r="I429" s="1" t="n">
        <x:v>0</x:v>
      </x:c>
      <x:c r="J429" s="1" t="str">
        <x:v>no</x:v>
      </x:c>
      <x:c r="K429" s="1" t="n">
        <x:f>2*H429+E429+IF(G429&gt;30,2,0)-IF(B429&gt;24,1,0)</x:f>
        <x:v>0</x:v>
      </x:c>
      <x:c r="L429" s="1" t="str">
        <x:f>IF(K429&gt;=3,"yes","no")</x:f>
        <x:v>no</x:v>
      </x:c>
      <x:c r="M429" s="1"/>
      <x:c r="N429" s="1"/>
      <x:c r="O429" s="1"/>
    </x:row>
    <x:row r="430">
      <x:c r="A430" s="1" t="str">
        <x:v>S0429</x:v>
      </x:c>
      <x:c r="B430" s="1" t="n">
        <x:v>42</x:v>
      </x:c>
      <x:c r="C430" s="1" t="str">
        <x:v>premium</x:v>
      </x:c>
      <x:c r="D430" s="8" t="n">
        <x:v>15.99</x:v>
      </x:c>
      <x:c r="E430" s="1" t="n">
        <x:v>0</x:v>
      </x:c>
      <x:c r="F430" s="1" t="n">
        <x:v>1</x:v>
      </x:c>
      <x:c r="G430" s="1" t="n">
        <x:v>22</x:v>
      </x:c>
      <x:c r="H430" s="1" t="n">
        <x:v>0</x:v>
      </x:c>
      <x:c r="I430" s="1" t="n">
        <x:v>0</x:v>
      </x:c>
      <x:c r="J430" s="1" t="str">
        <x:v>no</x:v>
      </x:c>
      <x:c r="K430" s="1" t="n">
        <x:f>2*H430+E430+IF(G430&gt;30,2,0)-IF(B430&gt;24,1,0)</x:f>
        <x:v>-1</x:v>
      </x:c>
      <x:c r="L430" s="1" t="str">
        <x:f>IF(K430&gt;=3,"yes","no")</x:f>
        <x:v>no</x:v>
      </x:c>
      <x:c r="M430" s="1"/>
      <x:c r="N430" s="1"/>
      <x:c r="O430" s="1"/>
    </x:row>
    <x:row r="431">
      <x:c r="A431" s="1" t="str">
        <x:v>S0430</x:v>
      </x:c>
      <x:c r="B431" s="1" t="n">
        <x:v>1</x:v>
      </x:c>
      <x:c r="C431" s="1" t="str">
        <x:v>premium</x:v>
      </x:c>
      <x:c r="D431" s="8" t="n">
        <x:v>15.99</x:v>
      </x:c>
      <x:c r="E431" s="1" t="n">
        <x:v>2</x:v>
      </x:c>
      <x:c r="F431" s="1" t="n">
        <x:v>19</x:v>
      </x:c>
      <x:c r="G431" s="1" t="n">
        <x:v>0</x:v>
      </x:c>
      <x:c r="H431" s="1" t="n">
        <x:v>0</x:v>
      </x:c>
      <x:c r="I431" s="1" t="n">
        <x:v>0</x:v>
      </x:c>
      <x:c r="J431" s="1" t="str">
        <x:v>no</x:v>
      </x:c>
      <x:c r="K431" s="1" t="n">
        <x:f>2*H431+E431+IF(G431&gt;30,2,0)-IF(B431&gt;24,1,0)</x:f>
        <x:v>2</x:v>
      </x:c>
      <x:c r="L431" s="1" t="str">
        <x:f>IF(K431&gt;=3,"yes","no")</x:f>
        <x:v>no</x:v>
      </x:c>
      <x:c r="M431" s="1"/>
      <x:c r="N431" s="1"/>
      <x:c r="O431" s="1"/>
    </x:row>
    <x:row r="432">
      <x:c r="A432" s="1" t="str">
        <x:v>S0431</x:v>
      </x:c>
      <x:c r="B432" s="1" t="n">
        <x:v>25</x:v>
      </x:c>
      <x:c r="C432" s="1" t="str">
        <x:v>basic</x:v>
      </x:c>
      <x:c r="D432" s="8" t="n">
        <x:v>9.99</x:v>
      </x:c>
      <x:c r="E432" s="1" t="n">
        <x:v>0</x:v>
      </x:c>
      <x:c r="F432" s="1" t="n">
        <x:v>0</x:v>
      </x:c>
      <x:c r="G432" s="1" t="n">
        <x:v>56</x:v>
      </x:c>
      <x:c r="H432" s="1" t="n">
        <x:v>0</x:v>
      </x:c>
      <x:c r="I432" s="1" t="n">
        <x:v>0</x:v>
      </x:c>
      <x:c r="J432" s="1" t="str">
        <x:v>no</x:v>
      </x:c>
      <x:c r="K432" s="1" t="n">
        <x:f>2*H432+E432+IF(G432&gt;30,2,0)-IF(B432&gt;24,1,0)</x:f>
        <x:v>1</x:v>
      </x:c>
      <x:c r="L432" s="1" t="str">
        <x:f>IF(K432&gt;=3,"yes","no")</x:f>
        <x:v>no</x:v>
      </x:c>
      <x:c r="M432" s="1"/>
      <x:c r="N432" s="1"/>
      <x:c r="O432" s="1"/>
    </x:row>
    <x:row r="433">
      <x:c r="A433" s="1" t="str">
        <x:v>S0432</x:v>
      </x:c>
      <x:c r="B433" s="1" t="n">
        <x:v>47</x:v>
      </x:c>
      <x:c r="C433" s="1" t="str">
        <x:v>premium</x:v>
      </x:c>
      <x:c r="D433" s="8" t="n">
        <x:v>15.99</x:v>
      </x:c>
      <x:c r="E433" s="1" t="n">
        <x:v>1</x:v>
      </x:c>
      <x:c r="F433" s="1" t="n">
        <x:v>19</x:v>
      </x:c>
      <x:c r="G433" s="1" t="n">
        <x:v>6</x:v>
      </x:c>
      <x:c r="H433" s="1" t="n">
        <x:v>0</x:v>
      </x:c>
      <x:c r="I433" s="1" t="n">
        <x:v>1</x:v>
      </x:c>
      <x:c r="J433" s="1" t="str">
        <x:v>no</x:v>
      </x:c>
      <x:c r="K433" s="1" t="n">
        <x:f>2*H433+E433+IF(G433&gt;30,2,0)-IF(B433&gt;24,1,0)</x:f>
        <x:v>0</x:v>
      </x:c>
      <x:c r="L433" s="1" t="str">
        <x:f>IF(K433&gt;=3,"yes","no")</x:f>
        <x:v>no</x:v>
      </x:c>
      <x:c r="M433" s="1"/>
      <x:c r="N433" s="1"/>
      <x:c r="O433" s="1"/>
    </x:row>
    <x:row r="434">
      <x:c r="A434" s="1" t="str">
        <x:v>S0433</x:v>
      </x:c>
      <x:c r="B434" s="1" t="n">
        <x:v>11</x:v>
      </x:c>
      <x:c r="C434" s="1" t="str">
        <x:v>premium</x:v>
      </x:c>
      <x:c r="D434" s="8" t="n">
        <x:v>15.99</x:v>
      </x:c>
      <x:c r="E434" s="1" t="n">
        <x:v>0</x:v>
      </x:c>
      <x:c r="F434" s="1" t="n">
        <x:v>23</x:v>
      </x:c>
      <x:c r="G434" s="1" t="n">
        <x:v>5</x:v>
      </x:c>
      <x:c r="H434" s="1" t="n">
        <x:v>0</x:v>
      </x:c>
      <x:c r="I434" s="1" t="n">
        <x:v>1</x:v>
      </x:c>
      <x:c r="J434" s="1" t="str">
        <x:v>no</x:v>
      </x:c>
      <x:c r="K434" s="1" t="n">
        <x:f>2*H434+E434+IF(G434&gt;30,2,0)-IF(B434&gt;24,1,0)</x:f>
        <x:v>0</x:v>
      </x:c>
      <x:c r="L434" s="1" t="str">
        <x:f>IF(K434&gt;=3,"yes","no")</x:f>
        <x:v>no</x:v>
      </x:c>
      <x:c r="M434" s="1"/>
      <x:c r="N434" s="1"/>
      <x:c r="O434" s="1"/>
    </x:row>
    <x:row r="435">
      <x:c r="A435" s="1" t="str">
        <x:v>S0434</x:v>
      </x:c>
      <x:c r="B435" s="1" t="n">
        <x:v>6</x:v>
      </x:c>
      <x:c r="C435" s="1" t="str">
        <x:v>basic</x:v>
      </x:c>
      <x:c r="D435" s="8" t="n">
        <x:v>9.99</x:v>
      </x:c>
      <x:c r="E435" s="1" t="n">
        <x:v>1</x:v>
      </x:c>
      <x:c r="F435" s="1" t="n">
        <x:v>20</x:v>
      </x:c>
      <x:c r="G435" s="1" t="n">
        <x:v>4</x:v>
      </x:c>
      <x:c r="H435" s="1" t="n">
        <x:v>0</x:v>
      </x:c>
      <x:c r="I435" s="1" t="n">
        <x:v>0</x:v>
      </x:c>
      <x:c r="J435" s="1" t="str">
        <x:v>no</x:v>
      </x:c>
      <x:c r="K435" s="1" t="n">
        <x:f>2*H435+E435+IF(G435&gt;30,2,0)-IF(B435&gt;24,1,0)</x:f>
        <x:v>1</x:v>
      </x:c>
      <x:c r="L435" s="1" t="str">
        <x:f>IF(K435&gt;=3,"yes","no")</x:f>
        <x:v>no</x:v>
      </x:c>
      <x:c r="M435" s="1"/>
      <x:c r="N435" s="1"/>
      <x:c r="O435" s="1"/>
    </x:row>
    <x:row r="436">
      <x:c r="A436" s="1" t="str">
        <x:v>S0435</x:v>
      </x:c>
      <x:c r="B436" s="1" t="n">
        <x:v>24</x:v>
      </x:c>
      <x:c r="C436" s="1" t="str">
        <x:v>basic</x:v>
      </x:c>
      <x:c r="D436" s="8" t="n">
        <x:v>9.99</x:v>
      </x:c>
      <x:c r="E436" s="1" t="n">
        <x:v>0</x:v>
      </x:c>
      <x:c r="F436" s="1" t="n">
        <x:v>5</x:v>
      </x:c>
      <x:c r="G436" s="1" t="n">
        <x:v>19</x:v>
      </x:c>
      <x:c r="H436" s="1" t="n">
        <x:v>0</x:v>
      </x:c>
      <x:c r="I436" s="1" t="n">
        <x:v>1</x:v>
      </x:c>
      <x:c r="J436" s="1" t="str">
        <x:v>no</x:v>
      </x:c>
      <x:c r="K436" s="1" t="n">
        <x:f>2*H436+E436+IF(G436&gt;30,2,0)-IF(B436&gt;24,1,0)</x:f>
        <x:v>0</x:v>
      </x:c>
      <x:c r="L436" s="1" t="str">
        <x:f>IF(K436&gt;=3,"yes","no")</x:f>
        <x:v>no</x:v>
      </x:c>
      <x:c r="M436" s="1"/>
      <x:c r="N436" s="1"/>
      <x:c r="O436" s="1"/>
    </x:row>
    <x:row r="437">
      <x:c r="A437" s="1" t="str">
        <x:v>S0436</x:v>
      </x:c>
      <x:c r="B437" s="1" t="n">
        <x:v>28</x:v>
      </x:c>
      <x:c r="C437" s="1" t="str">
        <x:v>premium</x:v>
      </x:c>
      <x:c r="D437" s="8" t="n">
        <x:v>15.99</x:v>
      </x:c>
      <x:c r="E437" s="1" t="n">
        <x:v>2</x:v>
      </x:c>
      <x:c r="F437" s="1" t="n">
        <x:v>18</x:v>
      </x:c>
      <x:c r="G437" s="1" t="n">
        <x:v>7</x:v>
      </x:c>
      <x:c r="H437" s="1" t="n">
        <x:v>0</x:v>
      </x:c>
      <x:c r="I437" s="1" t="n">
        <x:v>0</x:v>
      </x:c>
      <x:c r="J437" s="1" t="str">
        <x:v>no</x:v>
      </x:c>
      <x:c r="K437" s="1" t="n">
        <x:f>2*H437+E437+IF(G437&gt;30,2,0)-IF(B437&gt;24,1,0)</x:f>
        <x:v>1</x:v>
      </x:c>
      <x:c r="L437" s="1" t="str">
        <x:f>IF(K437&gt;=3,"yes","no")</x:f>
        <x:v>no</x:v>
      </x:c>
      <x:c r="M437" s="1"/>
      <x:c r="N437" s="1"/>
      <x:c r="O437" s="1"/>
    </x:row>
    <x:row r="438">
      <x:c r="A438" s="1" t="str">
        <x:v>S0437</x:v>
      </x:c>
      <x:c r="B438" s="1" t="n">
        <x:v>16</x:v>
      </x:c>
      <x:c r="C438" s="1" t="str">
        <x:v>premium</x:v>
      </x:c>
      <x:c r="D438" s="8" t="n">
        <x:v>15.99</x:v>
      </x:c>
      <x:c r="E438" s="1" t="n">
        <x:v>0</x:v>
      </x:c>
      <x:c r="F438" s="1" t="n">
        <x:v>11</x:v>
      </x:c>
      <x:c r="G438" s="1" t="n">
        <x:v>2</x:v>
      </x:c>
      <x:c r="H438" s="1" t="n">
        <x:v>1</x:v>
      </x:c>
      <x:c r="I438" s="1" t="n">
        <x:v>1</x:v>
      </x:c>
      <x:c r="J438" s="1" t="str">
        <x:v>no</x:v>
      </x:c>
      <x:c r="K438" s="1" t="n">
        <x:f>2*H438+E438+IF(G438&gt;30,2,0)-IF(B438&gt;24,1,0)</x:f>
        <x:v>2</x:v>
      </x:c>
      <x:c r="L438" s="1" t="str">
        <x:f>IF(K438&gt;=3,"yes","no")</x:f>
        <x:v>no</x:v>
      </x:c>
      <x:c r="M438" s="1"/>
      <x:c r="N438" s="1"/>
      <x:c r="O438" s="1"/>
    </x:row>
    <x:row r="439">
      <x:c r="A439" s="1" t="str">
        <x:v>S0438</x:v>
      </x:c>
      <x:c r="B439" s="1" t="n">
        <x:v>12</x:v>
      </x:c>
      <x:c r="C439" s="1" t="str">
        <x:v>basic</x:v>
      </x:c>
      <x:c r="D439" s="8" t="n">
        <x:v>9.99</x:v>
      </x:c>
      <x:c r="E439" s="1" t="n">
        <x:v>0</x:v>
      </x:c>
      <x:c r="F439" s="1" t="n">
        <x:v>7</x:v>
      </x:c>
      <x:c r="G439" s="1" t="n">
        <x:v>17</x:v>
      </x:c>
      <x:c r="H439" s="1" t="n">
        <x:v>0</x:v>
      </x:c>
      <x:c r="I439" s="1" t="n">
        <x:v>0</x:v>
      </x:c>
      <x:c r="J439" s="1" t="str">
        <x:v>no</x:v>
      </x:c>
      <x:c r="K439" s="1" t="n">
        <x:f>2*H439+E439+IF(G439&gt;30,2,0)-IF(B439&gt;24,1,0)</x:f>
        <x:v>0</x:v>
      </x:c>
      <x:c r="L439" s="1" t="str">
        <x:f>IF(K439&gt;=3,"yes","no")</x:f>
        <x:v>no</x:v>
      </x:c>
      <x:c r="M439" s="1"/>
      <x:c r="N439" s="1"/>
      <x:c r="O439" s="1"/>
    </x:row>
    <x:row r="440">
      <x:c r="A440" s="1" t="str">
        <x:v>S0439</x:v>
      </x:c>
      <x:c r="B440" s="1" t="n">
        <x:v>40</x:v>
      </x:c>
      <x:c r="C440" s="1" t="str">
        <x:v>premium</x:v>
      </x:c>
      <x:c r="D440" s="8" t="n">
        <x:v>15.99</x:v>
      </x:c>
      <x:c r="E440" s="1" t="n">
        <x:v>3</x:v>
      </x:c>
      <x:c r="F440" s="1" t="n">
        <x:v>0</x:v>
      </x:c>
      <x:c r="G440" s="1" t="n">
        <x:v>50</x:v>
      </x:c>
      <x:c r="H440" s="1" t="n">
        <x:v>0</x:v>
      </x:c>
      <x:c r="I440" s="1" t="n">
        <x:v>0</x:v>
      </x:c>
      <x:c r="J440" s="1" t="str">
        <x:v>no</x:v>
      </x:c>
      <x:c r="K440" s="1" t="n">
        <x:f>2*H440+E440+IF(G440&gt;30,2,0)-IF(B440&gt;24,1,0)</x:f>
        <x:v>4</x:v>
      </x:c>
      <x:c r="L440" s="1" t="str">
        <x:f>IF(K440&gt;=3,"yes","no")</x:f>
        <x:v>yes</x:v>
      </x:c>
      <x:c r="M440" s="1"/>
      <x:c r="N440" s="1"/>
      <x:c r="O440" s="1"/>
    </x:row>
    <x:row r="441">
      <x:c r="A441" s="1" t="str">
        <x:v>S0440</x:v>
      </x:c>
      <x:c r="B441" s="1" t="n">
        <x:v>8</x:v>
      </x:c>
      <x:c r="C441" s="1" t="str">
        <x:v>basic</x:v>
      </x:c>
      <x:c r="D441" s="8" t="n">
        <x:v>9.99</x:v>
      </x:c>
      <x:c r="E441" s="1" t="n">
        <x:v>1</x:v>
      </x:c>
      <x:c r="F441" s="1" t="n">
        <x:v>15</x:v>
      </x:c>
      <x:c r="G441" s="1" t="n">
        <x:v>18</x:v>
      </x:c>
      <x:c r="H441" s="1" t="n">
        <x:v>0</x:v>
      </x:c>
      <x:c r="I441" s="1" t="n">
        <x:v>1</x:v>
      </x:c>
      <x:c r="J441" s="1" t="str">
        <x:v>yes</x:v>
      </x:c>
      <x:c r="K441" s="1" t="n">
        <x:f>2*H441+E441+IF(G441&gt;30,2,0)-IF(B441&gt;24,1,0)</x:f>
        <x:v>1</x:v>
      </x:c>
      <x:c r="L441" s="1" t="str">
        <x:f>IF(K441&gt;=3,"yes","no")</x:f>
        <x:v>no</x:v>
      </x:c>
      <x:c r="M441" s="1"/>
      <x:c r="N441" s="1"/>
      <x:c r="O441" s="1"/>
    </x:row>
    <x:row r="442">
      <x:c r="A442" s="1" t="str">
        <x:v>S0441</x:v>
      </x:c>
      <x:c r="B442" s="1" t="n">
        <x:v>23</x:v>
      </x:c>
      <x:c r="C442" s="1" t="str">
        <x:v>premium</x:v>
      </x:c>
      <x:c r="D442" s="8" t="n">
        <x:v>15.99</x:v>
      </x:c>
      <x:c r="E442" s="1" t="n">
        <x:v>0</x:v>
      </x:c>
      <x:c r="F442" s="1" t="n">
        <x:v>30</x:v>
      </x:c>
      <x:c r="G442" s="1" t="n">
        <x:v>2</x:v>
      </x:c>
      <x:c r="H442" s="1" t="n">
        <x:v>0</x:v>
      </x:c>
      <x:c r="I442" s="1" t="n">
        <x:v>0</x:v>
      </x:c>
      <x:c r="J442" s="1" t="str">
        <x:v>no</x:v>
      </x:c>
      <x:c r="K442" s="1" t="n">
        <x:f>2*H442+E442+IF(G442&gt;30,2,0)-IF(B442&gt;24,1,0)</x:f>
        <x:v>0</x:v>
      </x:c>
      <x:c r="L442" s="1" t="str">
        <x:f>IF(K442&gt;=3,"yes","no")</x:f>
        <x:v>no</x:v>
      </x:c>
      <x:c r="M442" s="1"/>
      <x:c r="N442" s="1"/>
      <x:c r="O442" s="1"/>
    </x:row>
    <x:row r="443">
      <x:c r="A443" s="1" t="str">
        <x:v>S0442</x:v>
      </x:c>
      <x:c r="B443" s="1" t="n">
        <x:v>14</x:v>
      </x:c>
      <x:c r="C443" s="1" t="str">
        <x:v>basic</x:v>
      </x:c>
      <x:c r="D443" s="8" t="n">
        <x:v>9.99</x:v>
      </x:c>
      <x:c r="E443" s="1" t="n">
        <x:v>0</x:v>
      </x:c>
      <x:c r="F443" s="1" t="n">
        <x:v>0</x:v>
      </x:c>
      <x:c r="G443" s="1" t="n">
        <x:v>34</x:v>
      </x:c>
      <x:c r="H443" s="1" t="n">
        <x:v>0</x:v>
      </x:c>
      <x:c r="I443" s="1" t="n">
        <x:v>0</x:v>
      </x:c>
      <x:c r="J443" s="1" t="str">
        <x:v>no</x:v>
      </x:c>
      <x:c r="K443" s="1" t="n">
        <x:f>2*H443+E443+IF(G443&gt;30,2,0)-IF(B443&gt;24,1,0)</x:f>
        <x:v>2</x:v>
      </x:c>
      <x:c r="L443" s="1" t="str">
        <x:f>IF(K443&gt;=3,"yes","no")</x:f>
        <x:v>no</x:v>
      </x:c>
      <x:c r="M443" s="1"/>
      <x:c r="N443" s="1"/>
      <x:c r="O443" s="1"/>
    </x:row>
    <x:row r="444">
      <x:c r="A444" s="1" t="str">
        <x:v>S0443</x:v>
      </x:c>
      <x:c r="B444" s="1" t="n">
        <x:v>40</x:v>
      </x:c>
      <x:c r="C444" s="1" t="str">
        <x:v>premium</x:v>
      </x:c>
      <x:c r="D444" s="8" t="n">
        <x:v>15.99</x:v>
      </x:c>
      <x:c r="E444" s="1" t="n">
        <x:v>0</x:v>
      </x:c>
      <x:c r="F444" s="1" t="n">
        <x:v>6</x:v>
      </x:c>
      <x:c r="G444" s="1" t="n">
        <x:v>21</x:v>
      </x:c>
      <x:c r="H444" s="1" t="n">
        <x:v>2</x:v>
      </x:c>
      <x:c r="I444" s="1" t="n">
        <x:v>1</x:v>
      </x:c>
      <x:c r="J444" s="1" t="str">
        <x:v>no</x:v>
      </x:c>
      <x:c r="K444" s="1" t="n">
        <x:f>2*H444+E444+IF(G444&gt;30,2,0)-IF(B444&gt;24,1,0)</x:f>
        <x:v>3</x:v>
      </x:c>
      <x:c r="L444" s="1" t="str">
        <x:f>IF(K444&gt;=3,"yes","no")</x:f>
        <x:v>yes</x:v>
      </x:c>
      <x:c r="M444" s="1"/>
      <x:c r="N444" s="1"/>
      <x:c r="O444" s="1"/>
    </x:row>
    <x:row r="445">
      <x:c r="A445" s="1" t="str">
        <x:v>S0444</x:v>
      </x:c>
      <x:c r="B445" s="1" t="n">
        <x:v>33</x:v>
      </x:c>
      <x:c r="C445" s="1" t="str">
        <x:v>basic</x:v>
      </x:c>
      <x:c r="D445" s="8" t="n">
        <x:v>9.99</x:v>
      </x:c>
      <x:c r="E445" s="1" t="n">
        <x:v>0</x:v>
      </x:c>
      <x:c r="F445" s="1" t="n">
        <x:v>0</x:v>
      </x:c>
      <x:c r="G445" s="1" t="n">
        <x:v>36</x:v>
      </x:c>
      <x:c r="H445" s="1" t="n">
        <x:v>0</x:v>
      </x:c>
      <x:c r="I445" s="1" t="n">
        <x:v>0</x:v>
      </x:c>
      <x:c r="J445" s="1" t="str">
        <x:v>no</x:v>
      </x:c>
      <x:c r="K445" s="1" t="n">
        <x:f>2*H445+E445+IF(G445&gt;30,2,0)-IF(B445&gt;24,1,0)</x:f>
        <x:v>1</x:v>
      </x:c>
      <x:c r="L445" s="1" t="str">
        <x:f>IF(K445&gt;=3,"yes","no")</x:f>
        <x:v>no</x:v>
      </x:c>
      <x:c r="M445" s="1"/>
      <x:c r="N445" s="1"/>
      <x:c r="O445" s="1"/>
    </x:row>
    <x:row r="446">
      <x:c r="A446" s="1" t="str">
        <x:v>S0445</x:v>
      </x:c>
      <x:c r="B446" s="1" t="n">
        <x:v>29</x:v>
      </x:c>
      <x:c r="C446" s="1" t="str">
        <x:v>basic</x:v>
      </x:c>
      <x:c r="D446" s="8" t="n">
        <x:v>9.99</x:v>
      </x:c>
      <x:c r="E446" s="1" t="n">
        <x:v>0</x:v>
      </x:c>
      <x:c r="F446" s="1" t="n">
        <x:v>25</x:v>
      </x:c>
      <x:c r="G446" s="1" t="n">
        <x:v>5</x:v>
      </x:c>
      <x:c r="H446" s="1" t="n">
        <x:v>1</x:v>
      </x:c>
      <x:c r="I446" s="1" t="n">
        <x:v>1</x:v>
      </x:c>
      <x:c r="J446" s="1" t="str">
        <x:v>no</x:v>
      </x:c>
      <x:c r="K446" s="1" t="n">
        <x:f>2*H446+E446+IF(G446&gt;30,2,0)-IF(B446&gt;24,1,0)</x:f>
        <x:v>1</x:v>
      </x:c>
      <x:c r="L446" s="1" t="str">
        <x:f>IF(K446&gt;=3,"yes","no")</x:f>
        <x:v>no</x:v>
      </x:c>
      <x:c r="M446" s="1"/>
      <x:c r="N446" s="1"/>
      <x:c r="O446" s="1"/>
    </x:row>
    <x:row r="447">
      <x:c r="A447" s="1" t="str">
        <x:v>S0446</x:v>
      </x:c>
      <x:c r="B447" s="1" t="n">
        <x:v>45</x:v>
      </x:c>
      <x:c r="C447" s="1" t="str">
        <x:v>premium</x:v>
      </x:c>
      <x:c r="D447" s="8" t="n">
        <x:v>15.99</x:v>
      </x:c>
      <x:c r="E447" s="1" t="n">
        <x:v>0</x:v>
      </x:c>
      <x:c r="F447" s="1" t="n">
        <x:v>0</x:v>
      </x:c>
      <x:c r="G447" s="1" t="n">
        <x:v>47</x:v>
      </x:c>
      <x:c r="H447" s="1" t="n">
        <x:v>0</x:v>
      </x:c>
      <x:c r="I447" s="1" t="n">
        <x:v>0</x:v>
      </x:c>
      <x:c r="J447" s="1" t="str">
        <x:v>no</x:v>
      </x:c>
      <x:c r="K447" s="1" t="n">
        <x:f>2*H447+E447+IF(G447&gt;30,2,0)-IF(B447&gt;24,1,0)</x:f>
        <x:v>1</x:v>
      </x:c>
      <x:c r="L447" s="1" t="str">
        <x:f>IF(K447&gt;=3,"yes","no")</x:f>
        <x:v>no</x:v>
      </x:c>
      <x:c r="M447" s="1"/>
      <x:c r="N447" s="1"/>
      <x:c r="O447" s="1"/>
    </x:row>
    <x:row r="448">
      <x:c r="A448" s="1" t="str">
        <x:v>S0447</x:v>
      </x:c>
      <x:c r="B448" s="1" t="n">
        <x:v>46</x:v>
      </x:c>
      <x:c r="C448" s="1" t="str">
        <x:v>premium</x:v>
      </x:c>
      <x:c r="D448" s="8" t="n">
        <x:v>15.99</x:v>
      </x:c>
      <x:c r="E448" s="1" t="n">
        <x:v>0</x:v>
      </x:c>
      <x:c r="F448" s="1" t="n">
        <x:v>0</x:v>
      </x:c>
      <x:c r="G448" s="1" t="n">
        <x:v>38</x:v>
      </x:c>
      <x:c r="H448" s="1" t="n">
        <x:v>0</x:v>
      </x:c>
      <x:c r="I448" s="1" t="n">
        <x:v>1</x:v>
      </x:c>
      <x:c r="J448" s="1" t="str">
        <x:v>no</x:v>
      </x:c>
      <x:c r="K448" s="1" t="n">
        <x:f>2*H448+E448+IF(G448&gt;30,2,0)-IF(B448&gt;24,1,0)</x:f>
        <x:v>1</x:v>
      </x:c>
      <x:c r="L448" s="1" t="str">
        <x:f>IF(K448&gt;=3,"yes","no")</x:f>
        <x:v>no</x:v>
      </x:c>
      <x:c r="M448" s="1"/>
      <x:c r="N448" s="1"/>
      <x:c r="O448" s="1"/>
    </x:row>
    <x:row r="449">
      <x:c r="A449" s="1" t="str">
        <x:v>S0448</x:v>
      </x:c>
      <x:c r="B449" s="1" t="n">
        <x:v>35</x:v>
      </x:c>
      <x:c r="C449" s="1" t="str">
        <x:v>premium</x:v>
      </x:c>
      <x:c r="D449" s="8" t="n">
        <x:v>15.99</x:v>
      </x:c>
      <x:c r="E449" s="1" t="n">
        <x:v>0</x:v>
      </x:c>
      <x:c r="F449" s="1" t="n">
        <x:v>20</x:v>
      </x:c>
      <x:c r="G449" s="1" t="n">
        <x:v>8</x:v>
      </x:c>
      <x:c r="H449" s="1" t="n">
        <x:v>0</x:v>
      </x:c>
      <x:c r="I449" s="1" t="n">
        <x:v>0</x:v>
      </x:c>
      <x:c r="J449" s="1" t="str">
        <x:v>no</x:v>
      </x:c>
      <x:c r="K449" s="1" t="n">
        <x:f>2*H449+E449+IF(G449&gt;30,2,0)-IF(B449&gt;24,1,0)</x:f>
        <x:v>-1</x:v>
      </x:c>
      <x:c r="L449" s="1" t="str">
        <x:f>IF(K449&gt;=3,"yes","no")</x:f>
        <x:v>no</x:v>
      </x:c>
      <x:c r="M449" s="1"/>
      <x:c r="N449" s="1"/>
      <x:c r="O449" s="1"/>
    </x:row>
    <x:row r="450">
      <x:c r="A450" s="1" t="str">
        <x:v>S0449</x:v>
      </x:c>
      <x:c r="B450" s="1" t="n">
        <x:v>17</x:v>
      </x:c>
      <x:c r="C450" s="1" t="str">
        <x:v>basic</x:v>
      </x:c>
      <x:c r="D450" s="8" t="n">
        <x:v>9.99</x:v>
      </x:c>
      <x:c r="E450" s="1" t="n">
        <x:v>0</x:v>
      </x:c>
      <x:c r="F450" s="1" t="n">
        <x:v>0</x:v>
      </x:c>
      <x:c r="G450" s="1" t="n">
        <x:v>52</x:v>
      </x:c>
      <x:c r="H450" s="1" t="n">
        <x:v>0</x:v>
      </x:c>
      <x:c r="I450" s="1" t="n">
        <x:v>0</x:v>
      </x:c>
      <x:c r="J450" s="1" t="str">
        <x:v>yes</x:v>
      </x:c>
      <x:c r="K450" s="1" t="n">
        <x:f>2*H450+E450+IF(G450&gt;30,2,0)-IF(B450&gt;24,1,0)</x:f>
        <x:v>2</x:v>
      </x:c>
      <x:c r="L450" s="1" t="str">
        <x:f>IF(K450&gt;=3,"yes","no")</x:f>
        <x:v>no</x:v>
      </x:c>
      <x:c r="M450" s="1"/>
      <x:c r="N450" s="1"/>
      <x:c r="O450" s="1"/>
    </x:row>
    <x:row r="451">
      <x:c r="A451" s="1" t="str">
        <x:v>S0450</x:v>
      </x:c>
      <x:c r="B451" s="1" t="n">
        <x:v>43</x:v>
      </x:c>
      <x:c r="C451" s="1" t="str">
        <x:v>basic</x:v>
      </x:c>
      <x:c r="D451" s="8" t="n">
        <x:v>9.99</x:v>
      </x:c>
      <x:c r="E451" s="1" t="n">
        <x:v>3</x:v>
      </x:c>
      <x:c r="F451" s="1" t="n">
        <x:v>17</x:v>
      </x:c>
      <x:c r="G451" s="1" t="n">
        <x:v>9</x:v>
      </x:c>
      <x:c r="H451" s="1" t="n">
        <x:v>0</x:v>
      </x:c>
      <x:c r="I451" s="1" t="n">
        <x:v>0</x:v>
      </x:c>
      <x:c r="J451" s="1" t="str">
        <x:v>no</x:v>
      </x:c>
      <x:c r="K451" s="1" t="n">
        <x:f>2*H451+E451+IF(G451&gt;30,2,0)-IF(B451&gt;24,1,0)</x:f>
        <x:v>2</x:v>
      </x:c>
      <x:c r="L451" s="1" t="str">
        <x:f>IF(K451&gt;=3,"yes","no")</x:f>
        <x:v>no</x:v>
      </x:c>
      <x:c r="M451" s="1"/>
      <x:c r="N451" s="1"/>
      <x:c r="O451" s="1"/>
    </x:row>
    <x:row r="452">
      <x:c r="A452" s="1" t="str">
        <x:v>S0451</x:v>
      </x:c>
      <x:c r="B452" s="1" t="n">
        <x:v>5</x:v>
      </x:c>
      <x:c r="C452" s="1" t="str">
        <x:v>premium</x:v>
      </x:c>
      <x:c r="D452" s="8" t="n">
        <x:v>15.99</x:v>
      </x:c>
      <x:c r="E452" s="1" t="n">
        <x:v>4</x:v>
      </x:c>
      <x:c r="F452" s="1" t="n">
        <x:v>15</x:v>
      </x:c>
      <x:c r="G452" s="1" t="n">
        <x:v>20</x:v>
      </x:c>
      <x:c r="H452" s="1" t="n">
        <x:v>2</x:v>
      </x:c>
      <x:c r="I452" s="1" t="n">
        <x:v>0</x:v>
      </x:c>
      <x:c r="J452" s="1" t="str">
        <x:v>yes</x:v>
      </x:c>
      <x:c r="K452" s="1" t="n">
        <x:f>2*H452+E452+IF(G452&gt;30,2,0)-IF(B452&gt;24,1,0)</x:f>
        <x:v>8</x:v>
      </x:c>
      <x:c r="L452" s="1" t="str">
        <x:f>IF(K452&gt;=3,"yes","no")</x:f>
        <x:v>yes</x:v>
      </x:c>
      <x:c r="M452" s="1"/>
      <x:c r="N452" s="1"/>
      <x:c r="O452" s="1"/>
    </x:row>
    <x:row r="453">
      <x:c r="A453" s="1" t="str">
        <x:v>S0452</x:v>
      </x:c>
      <x:c r="B453" s="1" t="n">
        <x:v>6</x:v>
      </x:c>
      <x:c r="C453" s="1" t="str">
        <x:v>premium</x:v>
      </x:c>
      <x:c r="D453" s="8" t="n">
        <x:v>15.99</x:v>
      </x:c>
      <x:c r="E453" s="1" t="n">
        <x:v>0</x:v>
      </x:c>
      <x:c r="F453" s="1" t="n">
        <x:v>6</x:v>
      </x:c>
      <x:c r="G453" s="1" t="n">
        <x:v>26</x:v>
      </x:c>
      <x:c r="H453" s="1" t="n">
        <x:v>1</x:v>
      </x:c>
      <x:c r="I453" s="1" t="n">
        <x:v>1</x:v>
      </x:c>
      <x:c r="J453" s="1" t="str">
        <x:v>yes</x:v>
      </x:c>
      <x:c r="K453" s="1" t="n">
        <x:f>2*H453+E453+IF(G453&gt;30,2,0)-IF(B453&gt;24,1,0)</x:f>
        <x:v>2</x:v>
      </x:c>
      <x:c r="L453" s="1" t="str">
        <x:f>IF(K453&gt;=3,"yes","no")</x:f>
        <x:v>no</x:v>
      </x:c>
      <x:c r="M453" s="1"/>
      <x:c r="N453" s="1"/>
      <x:c r="O453" s="1"/>
    </x:row>
    <x:row r="454">
      <x:c r="A454" s="1" t="str">
        <x:v>S0453</x:v>
      </x:c>
      <x:c r="B454" s="1" t="n">
        <x:v>19</x:v>
      </x:c>
      <x:c r="C454" s="1" t="str">
        <x:v>basic</x:v>
      </x:c>
      <x:c r="D454" s="8" t="n">
        <x:v>9.99</x:v>
      </x:c>
      <x:c r="E454" s="1" t="n">
        <x:v>1</x:v>
      </x:c>
      <x:c r="F454" s="1" t="n">
        <x:v>24</x:v>
      </x:c>
      <x:c r="G454" s="1" t="n">
        <x:v>10</x:v>
      </x:c>
      <x:c r="H454" s="1" t="n">
        <x:v>0</x:v>
      </x:c>
      <x:c r="I454" s="1" t="n">
        <x:v>0</x:v>
      </x:c>
      <x:c r="J454" s="1" t="str">
        <x:v>no</x:v>
      </x:c>
      <x:c r="K454" s="1" t="n">
        <x:f>2*H454+E454+IF(G454&gt;30,2,0)-IF(B454&gt;24,1,0)</x:f>
        <x:v>1</x:v>
      </x:c>
      <x:c r="L454" s="1" t="str">
        <x:f>IF(K454&gt;=3,"yes","no")</x:f>
        <x:v>no</x:v>
      </x:c>
      <x:c r="M454" s="1"/>
      <x:c r="N454" s="1"/>
      <x:c r="O454" s="1"/>
    </x:row>
    <x:row r="455">
      <x:c r="A455" s="1" t="str">
        <x:v>S0454</x:v>
      </x:c>
      <x:c r="B455" s="1" t="n">
        <x:v>40</x:v>
      </x:c>
      <x:c r="C455" s="1" t="str">
        <x:v>basic</x:v>
      </x:c>
      <x:c r="D455" s="8" t="n">
        <x:v>9.99</x:v>
      </x:c>
      <x:c r="E455" s="1" t="n">
        <x:v>0</x:v>
      </x:c>
      <x:c r="F455" s="1" t="n">
        <x:v>16</x:v>
      </x:c>
      <x:c r="G455" s="1" t="n">
        <x:v>16</x:v>
      </x:c>
      <x:c r="H455" s="1" t="n">
        <x:v>0</x:v>
      </x:c>
      <x:c r="I455" s="1" t="n">
        <x:v>0</x:v>
      </x:c>
      <x:c r="J455" s="1" t="str">
        <x:v>no</x:v>
      </x:c>
      <x:c r="K455" s="1" t="n">
        <x:f>2*H455+E455+IF(G455&gt;30,2,0)-IF(B455&gt;24,1,0)</x:f>
        <x:v>-1</x:v>
      </x:c>
      <x:c r="L455" s="1" t="str">
        <x:f>IF(K455&gt;=3,"yes","no")</x:f>
        <x:v>no</x:v>
      </x:c>
      <x:c r="M455" s="1"/>
      <x:c r="N455" s="1"/>
      <x:c r="O455" s="1"/>
    </x:row>
    <x:row r="456">
      <x:c r="A456" s="1" t="str">
        <x:v>S0455</x:v>
      </x:c>
      <x:c r="B456" s="1" t="n">
        <x:v>26</x:v>
      </x:c>
      <x:c r="C456" s="1" t="str">
        <x:v>basic</x:v>
      </x:c>
      <x:c r="D456" s="8" t="n">
        <x:v>9.99</x:v>
      </x:c>
      <x:c r="E456" s="1" t="n">
        <x:v>2</x:v>
      </x:c>
      <x:c r="F456" s="1" t="n">
        <x:v>29</x:v>
      </x:c>
      <x:c r="G456" s="1" t="n">
        <x:v>5</x:v>
      </x:c>
      <x:c r="H456" s="1" t="n">
        <x:v>0</x:v>
      </x:c>
      <x:c r="I456" s="1" t="n">
        <x:v>1</x:v>
      </x:c>
      <x:c r="J456" s="1" t="str">
        <x:v>no</x:v>
      </x:c>
      <x:c r="K456" s="1" t="n">
        <x:f>2*H456+E456+IF(G456&gt;30,2,0)-IF(B456&gt;24,1,0)</x:f>
        <x:v>1</x:v>
      </x:c>
      <x:c r="L456" s="1" t="str">
        <x:f>IF(K456&gt;=3,"yes","no")</x:f>
        <x:v>no</x:v>
      </x:c>
      <x:c r="M456" s="1"/>
      <x:c r="N456" s="1"/>
      <x:c r="O456" s="1"/>
    </x:row>
    <x:row r="457">
      <x:c r="A457" s="1" t="str">
        <x:v>S0456</x:v>
      </x:c>
      <x:c r="B457" s="1" t="n">
        <x:v>4</x:v>
      </x:c>
      <x:c r="C457" s="1" t="str">
        <x:v>basic</x:v>
      </x:c>
      <x:c r="D457" s="8" t="n">
        <x:v>9.99</x:v>
      </x:c>
      <x:c r="E457" s="1" t="n">
        <x:v>0</x:v>
      </x:c>
      <x:c r="F457" s="1" t="n">
        <x:v>11</x:v>
      </x:c>
      <x:c r="G457" s="1" t="n">
        <x:v>30</x:v>
      </x:c>
      <x:c r="H457" s="1" t="n">
        <x:v>0</x:v>
      </x:c>
      <x:c r="I457" s="1" t="n">
        <x:v>0</x:v>
      </x:c>
      <x:c r="J457" s="1" t="str">
        <x:v>no</x:v>
      </x:c>
      <x:c r="K457" s="1" t="n">
        <x:f>2*H457+E457+IF(G457&gt;30,2,0)-IF(B457&gt;24,1,0)</x:f>
        <x:v>0</x:v>
      </x:c>
      <x:c r="L457" s="1" t="str">
        <x:f>IF(K457&gt;=3,"yes","no")</x:f>
        <x:v>no</x:v>
      </x:c>
      <x:c r="M457" s="1"/>
      <x:c r="N457" s="1"/>
      <x:c r="O457" s="1"/>
    </x:row>
    <x:row r="458">
      <x:c r="A458" s="1" t="str">
        <x:v>S0457</x:v>
      </x:c>
      <x:c r="B458" s="1" t="n">
        <x:v>1</x:v>
      </x:c>
      <x:c r="C458" s="1" t="str">
        <x:v>basic</x:v>
      </x:c>
      <x:c r="D458" s="8" t="n">
        <x:v>9.99</x:v>
      </x:c>
      <x:c r="E458" s="1" t="n">
        <x:v>0</x:v>
      </x:c>
      <x:c r="F458" s="1" t="n">
        <x:v>7</x:v>
      </x:c>
      <x:c r="G458" s="1" t="n">
        <x:v>29</x:v>
      </x:c>
      <x:c r="H458" s="1" t="n">
        <x:v>1</x:v>
      </x:c>
      <x:c r="I458" s="1" t="n">
        <x:v>1</x:v>
      </x:c>
      <x:c r="J458" s="1" t="str">
        <x:v>yes</x:v>
      </x:c>
      <x:c r="K458" s="1" t="n">
        <x:f>2*H458+E458+IF(G458&gt;30,2,0)-IF(B458&gt;24,1,0)</x:f>
        <x:v>2</x:v>
      </x:c>
      <x:c r="L458" s="1" t="str">
        <x:f>IF(K458&gt;=3,"yes","no")</x:f>
        <x:v>no</x:v>
      </x:c>
      <x:c r="M458" s="1"/>
      <x:c r="N458" s="1"/>
      <x:c r="O458" s="1"/>
    </x:row>
    <x:row r="459">
      <x:c r="A459" s="1" t="str">
        <x:v>S0458</x:v>
      </x:c>
      <x:c r="B459" s="1" t="n">
        <x:v>35</x:v>
      </x:c>
      <x:c r="C459" s="1" t="str">
        <x:v>basic</x:v>
      </x:c>
      <x:c r="D459" s="8" t="n">
        <x:v>9.99</x:v>
      </x:c>
      <x:c r="E459" s="1" t="n">
        <x:v>1</x:v>
      </x:c>
      <x:c r="F459" s="1" t="n">
        <x:v>22</x:v>
      </x:c>
      <x:c r="G459" s="1" t="n">
        <x:v>4</x:v>
      </x:c>
      <x:c r="H459" s="1" t="n">
        <x:v>0</x:v>
      </x:c>
      <x:c r="I459" s="1" t="n">
        <x:v>0</x:v>
      </x:c>
      <x:c r="J459" s="1" t="str">
        <x:v>no</x:v>
      </x:c>
      <x:c r="K459" s="1" t="n">
        <x:f>2*H459+E459+IF(G459&gt;30,2,0)-IF(B459&gt;24,1,0)</x:f>
        <x:v>0</x:v>
      </x:c>
      <x:c r="L459" s="1" t="str">
        <x:f>IF(K459&gt;=3,"yes","no")</x:f>
        <x:v>no</x:v>
      </x:c>
      <x:c r="M459" s="1"/>
      <x:c r="N459" s="1"/>
      <x:c r="O459" s="1"/>
    </x:row>
    <x:row r="460">
      <x:c r="A460" s="1" t="str">
        <x:v>S0459</x:v>
      </x:c>
      <x:c r="B460" s="1" t="n">
        <x:v>5</x:v>
      </x:c>
      <x:c r="C460" s="1" t="str">
        <x:v>basic</x:v>
      </x:c>
      <x:c r="D460" s="8" t="n">
        <x:v>9.99</x:v>
      </x:c>
      <x:c r="E460" s="1" t="n">
        <x:v>0</x:v>
      </x:c>
      <x:c r="F460" s="1" t="n">
        <x:v>9</x:v>
      </x:c>
      <x:c r="G460" s="1" t="n">
        <x:v>18</x:v>
      </x:c>
      <x:c r="H460" s="1" t="n">
        <x:v>0</x:v>
      </x:c>
      <x:c r="I460" s="1" t="n">
        <x:v>0</x:v>
      </x:c>
      <x:c r="J460" s="1" t="str">
        <x:v>yes</x:v>
      </x:c>
      <x:c r="K460" s="1" t="n">
        <x:f>2*H460+E460+IF(G460&gt;30,2,0)-IF(B460&gt;24,1,0)</x:f>
        <x:v>0</x:v>
      </x:c>
      <x:c r="L460" s="1" t="str">
        <x:f>IF(K460&gt;=3,"yes","no")</x:f>
        <x:v>no</x:v>
      </x:c>
      <x:c r="M460" s="1"/>
      <x:c r="N460" s="1"/>
      <x:c r="O460" s="1"/>
    </x:row>
    <x:row r="461">
      <x:c r="A461" s="1" t="str">
        <x:v>S0460</x:v>
      </x:c>
      <x:c r="B461" s="1" t="n">
        <x:v>18</x:v>
      </x:c>
      <x:c r="C461" s="1" t="str">
        <x:v>premium</x:v>
      </x:c>
      <x:c r="D461" s="8" t="n">
        <x:v>15.99</x:v>
      </x:c>
      <x:c r="E461" s="1" t="n">
        <x:v>0</x:v>
      </x:c>
      <x:c r="F461" s="1" t="n">
        <x:v>0</x:v>
      </x:c>
      <x:c r="G461" s="1" t="n">
        <x:v>53</x:v>
      </x:c>
      <x:c r="H461" s="1" t="n">
        <x:v>0</x:v>
      </x:c>
      <x:c r="I461" s="1" t="n">
        <x:v>0</x:v>
      </x:c>
      <x:c r="J461" s="1" t="str">
        <x:v>yes</x:v>
      </x:c>
      <x:c r="K461" s="1" t="n">
        <x:f>2*H461+E461+IF(G461&gt;30,2,0)-IF(B461&gt;24,1,0)</x:f>
        <x:v>2</x:v>
      </x:c>
      <x:c r="L461" s="1" t="str">
        <x:f>IF(K461&gt;=3,"yes","no")</x:f>
        <x:v>no</x:v>
      </x:c>
      <x:c r="M461" s="1"/>
      <x:c r="N461" s="1"/>
      <x:c r="O461" s="1"/>
    </x:row>
    <x:row r="462">
      <x:c r="A462" s="1" t="str">
        <x:v>S0461</x:v>
      </x:c>
      <x:c r="B462" s="1" t="n">
        <x:v>2</x:v>
      </x:c>
      <x:c r="C462" s="1" t="str">
        <x:v>basic</x:v>
      </x:c>
      <x:c r="D462" s="8" t="n">
        <x:v>9.99</x:v>
      </x:c>
      <x:c r="E462" s="1" t="n">
        <x:v>0</x:v>
      </x:c>
      <x:c r="F462" s="1" t="n">
        <x:v>26</x:v>
      </x:c>
      <x:c r="G462" s="1" t="n">
        <x:v>4</x:v>
      </x:c>
      <x:c r="H462" s="1" t="n">
        <x:v>0</x:v>
      </x:c>
      <x:c r="I462" s="1" t="n">
        <x:v>0</x:v>
      </x:c>
      <x:c r="J462" s="1" t="str">
        <x:v>no</x:v>
      </x:c>
      <x:c r="K462" s="1" t="n">
        <x:f>2*H462+E462+IF(G462&gt;30,2,0)-IF(B462&gt;24,1,0)</x:f>
        <x:v>0</x:v>
      </x:c>
      <x:c r="L462" s="1" t="str">
        <x:f>IF(K462&gt;=3,"yes","no")</x:f>
        <x:v>no</x:v>
      </x:c>
      <x:c r="M462" s="1"/>
      <x:c r="N462" s="1"/>
      <x:c r="O462" s="1"/>
    </x:row>
    <x:row r="463">
      <x:c r="A463" s="1" t="str">
        <x:v>S0462</x:v>
      </x:c>
      <x:c r="B463" s="1" t="n">
        <x:v>40</x:v>
      </x:c>
      <x:c r="C463" s="1" t="str">
        <x:v>premium</x:v>
      </x:c>
      <x:c r="D463" s="8" t="n">
        <x:v>15.99</x:v>
      </x:c>
      <x:c r="E463" s="1" t="n">
        <x:v>1</x:v>
      </x:c>
      <x:c r="F463" s="1" t="n">
        <x:v>5</x:v>
      </x:c>
      <x:c r="G463" s="1" t="n">
        <x:v>28</x:v>
      </x:c>
      <x:c r="H463" s="1" t="n">
        <x:v>1</x:v>
      </x:c>
      <x:c r="I463" s="1" t="n">
        <x:v>0</x:v>
      </x:c>
      <x:c r="J463" s="1" t="str">
        <x:v>yes</x:v>
      </x:c>
      <x:c r="K463" s="1" t="n">
        <x:f>2*H463+E463+IF(G463&gt;30,2,0)-IF(B463&gt;24,1,0)</x:f>
        <x:v>2</x:v>
      </x:c>
      <x:c r="L463" s="1" t="str">
        <x:f>IF(K463&gt;=3,"yes","no")</x:f>
        <x:v>no</x:v>
      </x:c>
      <x:c r="M463" s="1"/>
      <x:c r="N463" s="1"/>
      <x:c r="O463" s="1"/>
    </x:row>
    <x:row r="464">
      <x:c r="A464" s="1" t="str">
        <x:v>S0463</x:v>
      </x:c>
      <x:c r="B464" s="1" t="n">
        <x:v>44</x:v>
      </x:c>
      <x:c r="C464" s="1" t="str">
        <x:v>basic</x:v>
      </x:c>
      <x:c r="D464" s="8" t="n">
        <x:v>9.99</x:v>
      </x:c>
      <x:c r="E464" s="1" t="n">
        <x:v>1</x:v>
      </x:c>
      <x:c r="F464" s="1" t="n">
        <x:v>22</x:v>
      </x:c>
      <x:c r="G464" s="1" t="n">
        <x:v>3</x:v>
      </x:c>
      <x:c r="H464" s="1" t="n">
        <x:v>0</x:v>
      </x:c>
      <x:c r="I464" s="1" t="n">
        <x:v>0</x:v>
      </x:c>
      <x:c r="J464" s="1" t="str">
        <x:v>no</x:v>
      </x:c>
      <x:c r="K464" s="1" t="n">
        <x:f>2*H464+E464+IF(G464&gt;30,2,0)-IF(B464&gt;24,1,0)</x:f>
        <x:v>0</x:v>
      </x:c>
      <x:c r="L464" s="1" t="str">
        <x:f>IF(K464&gt;=3,"yes","no")</x:f>
        <x:v>no</x:v>
      </x:c>
      <x:c r="M464" s="1"/>
      <x:c r="N464" s="1"/>
      <x:c r="O464" s="1"/>
    </x:row>
    <x:row r="465">
      <x:c r="A465" s="1" t="str">
        <x:v>S0464</x:v>
      </x:c>
      <x:c r="B465" s="1" t="n">
        <x:v>43</x:v>
      </x:c>
      <x:c r="C465" s="1" t="str">
        <x:v>premium</x:v>
      </x:c>
      <x:c r="D465" s="8" t="n">
        <x:v>15.99</x:v>
      </x:c>
      <x:c r="E465" s="1" t="n">
        <x:v>1</x:v>
      </x:c>
      <x:c r="F465" s="1" t="n">
        <x:v>22</x:v>
      </x:c>
      <x:c r="G465" s="1" t="n">
        <x:v>7</x:v>
      </x:c>
      <x:c r="H465" s="1" t="n">
        <x:v>0</x:v>
      </x:c>
      <x:c r="I465" s="1" t="n">
        <x:v>0</x:v>
      </x:c>
      <x:c r="J465" s="1" t="str">
        <x:v>no</x:v>
      </x:c>
      <x:c r="K465" s="1" t="n">
        <x:f>2*H465+E465+IF(G465&gt;30,2,0)-IF(B465&gt;24,1,0)</x:f>
        <x:v>0</x:v>
      </x:c>
      <x:c r="L465" s="1" t="str">
        <x:f>IF(K465&gt;=3,"yes","no")</x:f>
        <x:v>no</x:v>
      </x:c>
      <x:c r="M465" s="1"/>
      <x:c r="N465" s="1"/>
      <x:c r="O465" s="1"/>
    </x:row>
    <x:row r="466">
      <x:c r="A466" s="1" t="str">
        <x:v>S0465</x:v>
      </x:c>
      <x:c r="B466" s="1" t="n">
        <x:v>5</x:v>
      </x:c>
      <x:c r="C466" s="1" t="str">
        <x:v>premium</x:v>
      </x:c>
      <x:c r="D466" s="8" t="n">
        <x:v>15.99</x:v>
      </x:c>
      <x:c r="E466" s="1" t="n">
        <x:v>3</x:v>
      </x:c>
      <x:c r="F466" s="1" t="n">
        <x:v>17</x:v>
      </x:c>
      <x:c r="G466" s="1" t="n">
        <x:v>6</x:v>
      </x:c>
      <x:c r="H466" s="1" t="n">
        <x:v>0</x:v>
      </x:c>
      <x:c r="I466" s="1" t="n">
        <x:v>0</x:v>
      </x:c>
      <x:c r="J466" s="1" t="str">
        <x:v>no</x:v>
      </x:c>
      <x:c r="K466" s="1" t="n">
        <x:f>2*H466+E466+IF(G466&gt;30,2,0)-IF(B466&gt;24,1,0)</x:f>
        <x:v>3</x:v>
      </x:c>
      <x:c r="L466" s="1" t="str">
        <x:f>IF(K466&gt;=3,"yes","no")</x:f>
        <x:v>yes</x:v>
      </x:c>
      <x:c r="M466" s="1"/>
      <x:c r="N466" s="1"/>
      <x:c r="O466" s="1"/>
    </x:row>
    <x:row r="467">
      <x:c r="A467" s="1" t="str">
        <x:v>S0466</x:v>
      </x:c>
      <x:c r="B467" s="1" t="n">
        <x:v>33</x:v>
      </x:c>
      <x:c r="C467" s="1" t="str">
        <x:v>premium</x:v>
      </x:c>
      <x:c r="D467" s="8" t="n">
        <x:v>15.99</x:v>
      </x:c>
      <x:c r="E467" s="1" t="n">
        <x:v>2</x:v>
      </x:c>
      <x:c r="F467" s="1" t="n">
        <x:v>9</x:v>
      </x:c>
      <x:c r="G467" s="1" t="n">
        <x:v>14</x:v>
      </x:c>
      <x:c r="H467" s="1" t="n">
        <x:v>1</x:v>
      </x:c>
      <x:c r="I467" s="1" t="n">
        <x:v>1</x:v>
      </x:c>
      <x:c r="J467" s="1" t="str">
        <x:v>yes</x:v>
      </x:c>
      <x:c r="K467" s="1" t="n">
        <x:f>2*H467+E467+IF(G467&gt;30,2,0)-IF(B467&gt;24,1,0)</x:f>
        <x:v>3</x:v>
      </x:c>
      <x:c r="L467" s="1" t="str">
        <x:f>IF(K467&gt;=3,"yes","no")</x:f>
        <x:v>yes</x:v>
      </x:c>
      <x:c r="M467" s="1"/>
      <x:c r="N467" s="1"/>
      <x:c r="O467" s="1"/>
    </x:row>
    <x:row r="468">
      <x:c r="A468" s="1" t="str">
        <x:v>S0467</x:v>
      </x:c>
      <x:c r="B468" s="1" t="n">
        <x:v>23</x:v>
      </x:c>
      <x:c r="C468" s="1" t="str">
        <x:v>basic</x:v>
      </x:c>
      <x:c r="D468" s="8" t="n">
        <x:v>9.99</x:v>
      </x:c>
      <x:c r="E468" s="1" t="n">
        <x:v>0</x:v>
      </x:c>
      <x:c r="F468" s="1" t="n">
        <x:v>12</x:v>
      </x:c>
      <x:c r="G468" s="1" t="n">
        <x:v>7</x:v>
      </x:c>
      <x:c r="H468" s="1" t="n">
        <x:v>0</x:v>
      </x:c>
      <x:c r="I468" s="1" t="n">
        <x:v>0</x:v>
      </x:c>
      <x:c r="J468" s="1" t="str">
        <x:v>no</x:v>
      </x:c>
      <x:c r="K468" s="1" t="n">
        <x:f>2*H468+E468+IF(G468&gt;30,2,0)-IF(B468&gt;24,1,0)</x:f>
        <x:v>0</x:v>
      </x:c>
      <x:c r="L468" s="1" t="str">
        <x:f>IF(K468&gt;=3,"yes","no")</x:f>
        <x:v>no</x:v>
      </x:c>
      <x:c r="M468" s="1"/>
      <x:c r="N468" s="1"/>
      <x:c r="O468" s="1"/>
    </x:row>
    <x:row r="469">
      <x:c r="A469" s="1" t="str">
        <x:v>S0468</x:v>
      </x:c>
      <x:c r="B469" s="1" t="n">
        <x:v>18</x:v>
      </x:c>
      <x:c r="C469" s="1" t="str">
        <x:v>basic</x:v>
      </x:c>
      <x:c r="D469" s="8" t="n">
        <x:v>9.99</x:v>
      </x:c>
      <x:c r="E469" s="1" t="n">
        <x:v>0</x:v>
      </x:c>
      <x:c r="F469" s="1" t="n">
        <x:v>31</x:v>
      </x:c>
      <x:c r="G469" s="1" t="n">
        <x:v>2</x:v>
      </x:c>
      <x:c r="H469" s="1" t="n">
        <x:v>1</x:v>
      </x:c>
      <x:c r="I469" s="1" t="n">
        <x:v>0</x:v>
      </x:c>
      <x:c r="J469" s="1" t="str">
        <x:v>no</x:v>
      </x:c>
      <x:c r="K469" s="1" t="n">
        <x:f>2*H469+E469+IF(G469&gt;30,2,0)-IF(B469&gt;24,1,0)</x:f>
        <x:v>2</x:v>
      </x:c>
      <x:c r="L469" s="1" t="str">
        <x:f>IF(K469&gt;=3,"yes","no")</x:f>
        <x:v>no</x:v>
      </x:c>
      <x:c r="M469" s="1"/>
      <x:c r="N469" s="1"/>
      <x:c r="O469" s="1"/>
    </x:row>
    <x:row r="470">
      <x:c r="A470" s="1" t="str">
        <x:v>S0469</x:v>
      </x:c>
      <x:c r="B470" s="1" t="n">
        <x:v>36</x:v>
      </x:c>
      <x:c r="C470" s="1" t="str">
        <x:v>premium</x:v>
      </x:c>
      <x:c r="D470" s="8" t="n">
        <x:v>15.99</x:v>
      </x:c>
      <x:c r="E470" s="1" t="n">
        <x:v>0</x:v>
      </x:c>
      <x:c r="F470" s="1" t="n">
        <x:v>11</x:v>
      </x:c>
      <x:c r="G470" s="1" t="n">
        <x:v>14</x:v>
      </x:c>
      <x:c r="H470" s="1" t="n">
        <x:v>0</x:v>
      </x:c>
      <x:c r="I470" s="1" t="n">
        <x:v>0</x:v>
      </x:c>
      <x:c r="J470" s="1" t="str">
        <x:v>no</x:v>
      </x:c>
      <x:c r="K470" s="1" t="n">
        <x:f>2*H470+E470+IF(G470&gt;30,2,0)-IF(B470&gt;24,1,0)</x:f>
        <x:v>-1</x:v>
      </x:c>
      <x:c r="L470" s="1" t="str">
        <x:f>IF(K470&gt;=3,"yes","no")</x:f>
        <x:v>no</x:v>
      </x:c>
      <x:c r="M470" s="1"/>
      <x:c r="N470" s="1"/>
      <x:c r="O470" s="1"/>
    </x:row>
    <x:row r="471">
      <x:c r="A471" s="1" t="str">
        <x:v>S0470</x:v>
      </x:c>
      <x:c r="B471" s="1" t="n">
        <x:v>28</x:v>
      </x:c>
      <x:c r="C471" s="1" t="str">
        <x:v>basic</x:v>
      </x:c>
      <x:c r="D471" s="8" t="n">
        <x:v>9.99</x:v>
      </x:c>
      <x:c r="E471" s="1" t="n">
        <x:v>1</x:v>
      </x:c>
      <x:c r="F471" s="1" t="n">
        <x:v>25</x:v>
      </x:c>
      <x:c r="G471" s="1" t="n">
        <x:v>6</x:v>
      </x:c>
      <x:c r="H471" s="1" t="n">
        <x:v>0</x:v>
      </x:c>
      <x:c r="I471" s="1" t="n">
        <x:v>0</x:v>
      </x:c>
      <x:c r="J471" s="1" t="str">
        <x:v>no</x:v>
      </x:c>
      <x:c r="K471" s="1" t="n">
        <x:f>2*H471+E471+IF(G471&gt;30,2,0)-IF(B471&gt;24,1,0)</x:f>
        <x:v>0</x:v>
      </x:c>
      <x:c r="L471" s="1" t="str">
        <x:f>IF(K471&gt;=3,"yes","no")</x:f>
        <x:v>no</x:v>
      </x:c>
      <x:c r="M471" s="1"/>
      <x:c r="N471" s="1"/>
      <x:c r="O471" s="1"/>
    </x:row>
    <x:row r="472">
      <x:c r="A472" s="1" t="str">
        <x:v>S0471</x:v>
      </x:c>
      <x:c r="B472" s="1" t="n">
        <x:v>37</x:v>
      </x:c>
      <x:c r="C472" s="1" t="str">
        <x:v>basic</x:v>
      </x:c>
      <x:c r="D472" s="8" t="n">
        <x:v>9.99</x:v>
      </x:c>
      <x:c r="E472" s="1" t="n">
        <x:v>2</x:v>
      </x:c>
      <x:c r="F472" s="1" t="n">
        <x:v>11</x:v>
      </x:c>
      <x:c r="G472" s="1" t="n">
        <x:v>5</x:v>
      </x:c>
      <x:c r="H472" s="1" t="n">
        <x:v>0</x:v>
      </x:c>
      <x:c r="I472" s="1" t="n">
        <x:v>1</x:v>
      </x:c>
      <x:c r="J472" s="1" t="str">
        <x:v>no</x:v>
      </x:c>
      <x:c r="K472" s="1" t="n">
        <x:f>2*H472+E472+IF(G472&gt;30,2,0)-IF(B472&gt;24,1,0)</x:f>
        <x:v>1</x:v>
      </x:c>
      <x:c r="L472" s="1" t="str">
        <x:f>IF(K472&gt;=3,"yes","no")</x:f>
        <x:v>no</x:v>
      </x:c>
      <x:c r="M472" s="1"/>
      <x:c r="N472" s="1"/>
      <x:c r="O472" s="1"/>
    </x:row>
    <x:row r="473">
      <x:c r="A473" s="1" t="str">
        <x:v>S0472</x:v>
      </x:c>
      <x:c r="B473" s="1" t="n">
        <x:v>7</x:v>
      </x:c>
      <x:c r="C473" s="1" t="str">
        <x:v>basic</x:v>
      </x:c>
      <x:c r="D473" s="8" t="n">
        <x:v>9.99</x:v>
      </x:c>
      <x:c r="E473" s="1" t="n">
        <x:v>0</x:v>
      </x:c>
      <x:c r="F473" s="1" t="n">
        <x:v>15</x:v>
      </x:c>
      <x:c r="G473" s="1" t="n">
        <x:v>0</x:v>
      </x:c>
      <x:c r="H473" s="1" t="n">
        <x:v>1</x:v>
      </x:c>
      <x:c r="I473" s="1" t="n">
        <x:v>1</x:v>
      </x:c>
      <x:c r="J473" s="1" t="str">
        <x:v>no</x:v>
      </x:c>
      <x:c r="K473" s="1" t="n">
        <x:f>2*H473+E473+IF(G473&gt;30,2,0)-IF(B473&gt;24,1,0)</x:f>
        <x:v>2</x:v>
      </x:c>
      <x:c r="L473" s="1" t="str">
        <x:f>IF(K473&gt;=3,"yes","no")</x:f>
        <x:v>no</x:v>
      </x:c>
      <x:c r="M473" s="1"/>
      <x:c r="N473" s="1"/>
      <x:c r="O473" s="1"/>
    </x:row>
    <x:row r="474">
      <x:c r="A474" s="1" t="str">
        <x:v>S0473</x:v>
      </x:c>
      <x:c r="B474" s="1" t="n">
        <x:v>4</x:v>
      </x:c>
      <x:c r="C474" s="1" t="str">
        <x:v>basic</x:v>
      </x:c>
      <x:c r="D474" s="8" t="n">
        <x:v>9.99</x:v>
      </x:c>
      <x:c r="E474" s="1" t="n">
        <x:v>1</x:v>
      </x:c>
      <x:c r="F474" s="1" t="n">
        <x:v>15</x:v>
      </x:c>
      <x:c r="G474" s="1" t="n">
        <x:v>2</x:v>
      </x:c>
      <x:c r="H474" s="1" t="n">
        <x:v>0</x:v>
      </x:c>
      <x:c r="I474" s="1" t="n">
        <x:v>0</x:v>
      </x:c>
      <x:c r="J474" s="1" t="str">
        <x:v>no</x:v>
      </x:c>
      <x:c r="K474" s="1" t="n">
        <x:f>2*H474+E474+IF(G474&gt;30,2,0)-IF(B474&gt;24,1,0)</x:f>
        <x:v>1</x:v>
      </x:c>
      <x:c r="L474" s="1" t="str">
        <x:f>IF(K474&gt;=3,"yes","no")</x:f>
        <x:v>no</x:v>
      </x:c>
      <x:c r="M474" s="1"/>
      <x:c r="N474" s="1"/>
      <x:c r="O474" s="1"/>
    </x:row>
    <x:row r="475">
      <x:c r="A475" s="1" t="str">
        <x:v>S0474</x:v>
      </x:c>
      <x:c r="B475" s="1" t="n">
        <x:v>31</x:v>
      </x:c>
      <x:c r="C475" s="1" t="str">
        <x:v>basic</x:v>
      </x:c>
      <x:c r="D475" s="8" t="n">
        <x:v>9.99</x:v>
      </x:c>
      <x:c r="E475" s="1" t="n">
        <x:v>0</x:v>
      </x:c>
      <x:c r="F475" s="1" t="n">
        <x:v>37</x:v>
      </x:c>
      <x:c r="G475" s="1" t="n">
        <x:v>3</x:v>
      </x:c>
      <x:c r="H475" s="1" t="n">
        <x:v>0</x:v>
      </x:c>
      <x:c r="I475" s="1" t="n">
        <x:v>0</x:v>
      </x:c>
      <x:c r="J475" s="1" t="str">
        <x:v>no</x:v>
      </x:c>
      <x:c r="K475" s="1" t="n">
        <x:f>2*H475+E475+IF(G475&gt;30,2,0)-IF(B475&gt;24,1,0)</x:f>
        <x:v>-1</x:v>
      </x:c>
      <x:c r="L475" s="1" t="str">
        <x:f>IF(K475&gt;=3,"yes","no")</x:f>
        <x:v>no</x:v>
      </x:c>
      <x:c r="M475" s="1"/>
      <x:c r="N475" s="1"/>
      <x:c r="O475" s="1"/>
    </x:row>
    <x:row r="476">
      <x:c r="A476" s="1" t="str">
        <x:v>S0475</x:v>
      </x:c>
      <x:c r="B476" s="1" t="n">
        <x:v>21</x:v>
      </x:c>
      <x:c r="C476" s="1" t="str">
        <x:v>basic</x:v>
      </x:c>
      <x:c r="D476" s="8" t="n">
        <x:v>9.99</x:v>
      </x:c>
      <x:c r="E476" s="1" t="n">
        <x:v>1</x:v>
      </x:c>
      <x:c r="F476" s="1" t="n">
        <x:v>30</x:v>
      </x:c>
      <x:c r="G476" s="1" t="n">
        <x:v>3</x:v>
      </x:c>
      <x:c r="H476" s="1" t="n">
        <x:v>0</x:v>
      </x:c>
      <x:c r="I476" s="1" t="n">
        <x:v>0</x:v>
      </x:c>
      <x:c r="J476" s="1" t="str">
        <x:v>no</x:v>
      </x:c>
      <x:c r="K476" s="1" t="n">
        <x:f>2*H476+E476+IF(G476&gt;30,2,0)-IF(B476&gt;24,1,0)</x:f>
        <x:v>1</x:v>
      </x:c>
      <x:c r="L476" s="1" t="str">
        <x:f>IF(K476&gt;=3,"yes","no")</x:f>
        <x:v>no</x:v>
      </x:c>
      <x:c r="M476" s="1"/>
      <x:c r="N476" s="1"/>
      <x:c r="O476" s="1"/>
    </x:row>
    <x:row r="477">
      <x:c r="A477" s="1" t="str">
        <x:v>S0476</x:v>
      </x:c>
      <x:c r="B477" s="1" t="n">
        <x:v>22</x:v>
      </x:c>
      <x:c r="C477" s="1" t="str">
        <x:v>premium</x:v>
      </x:c>
      <x:c r="D477" s="8" t="n">
        <x:v>15.99</x:v>
      </x:c>
      <x:c r="E477" s="1" t="n">
        <x:v>0</x:v>
      </x:c>
      <x:c r="F477" s="1" t="n">
        <x:v>33</x:v>
      </x:c>
      <x:c r="G477" s="1" t="n">
        <x:v>3</x:v>
      </x:c>
      <x:c r="H477" s="1" t="n">
        <x:v>0</x:v>
      </x:c>
      <x:c r="I477" s="1" t="n">
        <x:v>1</x:v>
      </x:c>
      <x:c r="J477" s="1" t="str">
        <x:v>no</x:v>
      </x:c>
      <x:c r="K477" s="1" t="n">
        <x:f>2*H477+E477+IF(G477&gt;30,2,0)-IF(B477&gt;24,1,0)</x:f>
        <x:v>0</x:v>
      </x:c>
      <x:c r="L477" s="1" t="str">
        <x:f>IF(K477&gt;=3,"yes","no")</x:f>
        <x:v>no</x:v>
      </x:c>
      <x:c r="M477" s="1"/>
      <x:c r="N477" s="1"/>
      <x:c r="O477" s="1"/>
    </x:row>
    <x:row r="478">
      <x:c r="A478" s="1" t="str">
        <x:v>S0477</x:v>
      </x:c>
      <x:c r="B478" s="1" t="n">
        <x:v>38</x:v>
      </x:c>
      <x:c r="C478" s="1" t="str">
        <x:v>basic</x:v>
      </x:c>
      <x:c r="D478" s="8" t="n">
        <x:v>9.99</x:v>
      </x:c>
      <x:c r="E478" s="1" t="n">
        <x:v>0</x:v>
      </x:c>
      <x:c r="F478" s="1" t="n">
        <x:v>0</x:v>
      </x:c>
      <x:c r="G478" s="1" t="n">
        <x:v>59</x:v>
      </x:c>
      <x:c r="H478" s="1" t="n">
        <x:v>0</x:v>
      </x:c>
      <x:c r="I478" s="1" t="n">
        <x:v>1</x:v>
      </x:c>
      <x:c r="J478" s="1" t="str">
        <x:v>no</x:v>
      </x:c>
      <x:c r="K478" s="1" t="n">
        <x:f>2*H478+E478+IF(G478&gt;30,2,0)-IF(B478&gt;24,1,0)</x:f>
        <x:v>1</x:v>
      </x:c>
      <x:c r="L478" s="1" t="str">
        <x:f>IF(K478&gt;=3,"yes","no")</x:f>
        <x:v>no</x:v>
      </x:c>
      <x:c r="M478" s="1"/>
      <x:c r="N478" s="1"/>
      <x:c r="O478" s="1"/>
    </x:row>
    <x:row r="479">
      <x:c r="A479" s="1" t="str">
        <x:v>S0478</x:v>
      </x:c>
      <x:c r="B479" s="1" t="n">
        <x:v>26</x:v>
      </x:c>
      <x:c r="C479" s="1" t="str">
        <x:v>basic</x:v>
      </x:c>
      <x:c r="D479" s="8" t="n">
        <x:v>9.99</x:v>
      </x:c>
      <x:c r="E479" s="1" t="n">
        <x:v>3</x:v>
      </x:c>
      <x:c r="F479" s="1" t="n">
        <x:v>0</x:v>
      </x:c>
      <x:c r="G479" s="1" t="n">
        <x:v>42</x:v>
      </x:c>
      <x:c r="H479" s="1" t="n">
        <x:v>0</x:v>
      </x:c>
      <x:c r="I479" s="1" t="n">
        <x:v>1</x:v>
      </x:c>
      <x:c r="J479" s="1" t="str">
        <x:v>no</x:v>
      </x:c>
      <x:c r="K479" s="1" t="n">
        <x:f>2*H479+E479+IF(G479&gt;30,2,0)-IF(B479&gt;24,1,0)</x:f>
        <x:v>4</x:v>
      </x:c>
      <x:c r="L479" s="1" t="str">
        <x:f>IF(K479&gt;=3,"yes","no")</x:f>
        <x:v>yes</x:v>
      </x:c>
      <x:c r="M479" s="1"/>
      <x:c r="N479" s="1"/>
      <x:c r="O479" s="1"/>
    </x:row>
    <x:row r="480">
      <x:c r="A480" s="1" t="str">
        <x:v>S0479</x:v>
      </x:c>
      <x:c r="B480" s="1" t="n">
        <x:v>32</x:v>
      </x:c>
      <x:c r="C480" s="1" t="str">
        <x:v>basic</x:v>
      </x:c>
      <x:c r="D480" s="8" t="n">
        <x:v>9.99</x:v>
      </x:c>
      <x:c r="E480" s="1" t="n">
        <x:v>0</x:v>
      </x:c>
      <x:c r="F480" s="1" t="n">
        <x:v>18</x:v>
      </x:c>
      <x:c r="G480" s="1" t="n">
        <x:v>19</x:v>
      </x:c>
      <x:c r="H480" s="1" t="n">
        <x:v>0</x:v>
      </x:c>
      <x:c r="I480" s="1" t="n">
        <x:v>1</x:v>
      </x:c>
      <x:c r="J480" s="1" t="str">
        <x:v>no</x:v>
      </x:c>
      <x:c r="K480" s="1" t="n">
        <x:f>2*H480+E480+IF(G480&gt;30,2,0)-IF(B480&gt;24,1,0)</x:f>
        <x:v>-1</x:v>
      </x:c>
      <x:c r="L480" s="1" t="str">
        <x:f>IF(K480&gt;=3,"yes","no")</x:f>
        <x:v>no</x:v>
      </x:c>
      <x:c r="M480" s="1"/>
      <x:c r="N480" s="1"/>
      <x:c r="O480" s="1"/>
    </x:row>
    <x:row r="481">
      <x:c r="A481" s="1" t="str">
        <x:v>S0480</x:v>
      </x:c>
      <x:c r="B481" s="1" t="n">
        <x:v>3</x:v>
      </x:c>
      <x:c r="C481" s="1" t="str">
        <x:v>basic</x:v>
      </x:c>
      <x:c r="D481" s="8" t="n">
        <x:v>9.99</x:v>
      </x:c>
      <x:c r="E481" s="1" t="n">
        <x:v>1</x:v>
      </x:c>
      <x:c r="F481" s="1" t="n">
        <x:v>9</x:v>
      </x:c>
      <x:c r="G481" s="1" t="n">
        <x:v>4</x:v>
      </x:c>
      <x:c r="H481" s="1" t="n">
        <x:v>1</x:v>
      </x:c>
      <x:c r="I481" s="1" t="n">
        <x:v>0</x:v>
      </x:c>
      <x:c r="J481" s="1" t="str">
        <x:v>no</x:v>
      </x:c>
      <x:c r="K481" s="1" t="n">
        <x:f>2*H481+E481+IF(G481&gt;30,2,0)-IF(B481&gt;24,1,0)</x:f>
        <x:v>3</x:v>
      </x:c>
      <x:c r="L481" s="1" t="str">
        <x:f>IF(K481&gt;=3,"yes","no")</x:f>
        <x:v>yes</x:v>
      </x:c>
      <x:c r="M481" s="1"/>
      <x:c r="N481" s="1"/>
      <x:c r="O481" s="1"/>
    </x:row>
    <x:row r="482">
      <x:c r="A482" s="1" t="str">
        <x:v>S0481</x:v>
      </x:c>
      <x:c r="B482" s="1" t="n">
        <x:v>12</x:v>
      </x:c>
      <x:c r="C482" s="1" t="str">
        <x:v>basic</x:v>
      </x:c>
      <x:c r="D482" s="8" t="n">
        <x:v>9.99</x:v>
      </x:c>
      <x:c r="E482" s="1" t="n">
        <x:v>1</x:v>
      </x:c>
      <x:c r="F482" s="1" t="n">
        <x:v>30</x:v>
      </x:c>
      <x:c r="G482" s="1" t="n">
        <x:v>1</x:v>
      </x:c>
      <x:c r="H482" s="1" t="n">
        <x:v>0</x:v>
      </x:c>
      <x:c r="I482" s="1" t="n">
        <x:v>0</x:v>
      </x:c>
      <x:c r="J482" s="1" t="str">
        <x:v>no</x:v>
      </x:c>
      <x:c r="K482" s="1" t="n">
        <x:f>2*H482+E482+IF(G482&gt;30,2,0)-IF(B482&gt;24,1,0)</x:f>
        <x:v>1</x:v>
      </x:c>
      <x:c r="L482" s="1" t="str">
        <x:f>IF(K482&gt;=3,"yes","no")</x:f>
        <x:v>no</x:v>
      </x:c>
      <x:c r="M482" s="1"/>
      <x:c r="N482" s="1"/>
      <x:c r="O482" s="1"/>
    </x:row>
    <x:row r="483">
      <x:c r="A483" s="1" t="str">
        <x:v>S0482</x:v>
      </x:c>
      <x:c r="B483" s="1" t="n">
        <x:v>15</x:v>
      </x:c>
      <x:c r="C483" s="1" t="str">
        <x:v>basic</x:v>
      </x:c>
      <x:c r="D483" s="8" t="n">
        <x:v>9.99</x:v>
      </x:c>
      <x:c r="E483" s="1" t="n">
        <x:v>0</x:v>
      </x:c>
      <x:c r="F483" s="1" t="n">
        <x:v>1</x:v>
      </x:c>
      <x:c r="G483" s="1" t="n">
        <x:v>16</x:v>
      </x:c>
      <x:c r="H483" s="1" t="n">
        <x:v>0</x:v>
      </x:c>
      <x:c r="I483" s="1" t="n">
        <x:v>0</x:v>
      </x:c>
      <x:c r="J483" s="1" t="str">
        <x:v>yes</x:v>
      </x:c>
      <x:c r="K483" s="1" t="n">
        <x:f>2*H483+E483+IF(G483&gt;30,2,0)-IF(B483&gt;24,1,0)</x:f>
        <x:v>0</x:v>
      </x:c>
      <x:c r="L483" s="1" t="str">
        <x:f>IF(K483&gt;=3,"yes","no")</x:f>
        <x:v>no</x:v>
      </x:c>
      <x:c r="M483" s="1"/>
      <x:c r="N483" s="1"/>
      <x:c r="O483" s="1"/>
    </x:row>
    <x:row r="484">
      <x:c r="A484" s="1" t="str">
        <x:v>S0483</x:v>
      </x:c>
      <x:c r="B484" s="1" t="n">
        <x:v>29</x:v>
      </x:c>
      <x:c r="C484" s="1" t="str">
        <x:v>premium</x:v>
      </x:c>
      <x:c r="D484" s="8" t="n">
        <x:v>15.99</x:v>
      </x:c>
      <x:c r="E484" s="1" t="n">
        <x:v>1</x:v>
      </x:c>
      <x:c r="F484" s="1" t="n">
        <x:v>16</x:v>
      </x:c>
      <x:c r="G484" s="1" t="n">
        <x:v>18</x:v>
      </x:c>
      <x:c r="H484" s="1" t="n">
        <x:v>0</x:v>
      </x:c>
      <x:c r="I484" s="1" t="n">
        <x:v>0</x:v>
      </x:c>
      <x:c r="J484" s="1" t="str">
        <x:v>no</x:v>
      </x:c>
      <x:c r="K484" s="1" t="n">
        <x:f>2*H484+E484+IF(G484&gt;30,2,0)-IF(B484&gt;24,1,0)</x:f>
        <x:v>0</x:v>
      </x:c>
      <x:c r="L484" s="1" t="str">
        <x:f>IF(K484&gt;=3,"yes","no")</x:f>
        <x:v>no</x:v>
      </x:c>
      <x:c r="M484" s="1"/>
      <x:c r="N484" s="1"/>
      <x:c r="O484" s="1"/>
    </x:row>
    <x:row r="485">
      <x:c r="A485" s="1" t="str">
        <x:v>S0484</x:v>
      </x:c>
      <x:c r="B485" s="1" t="n">
        <x:v>7</x:v>
      </x:c>
      <x:c r="C485" s="1" t="str">
        <x:v>premium</x:v>
      </x:c>
      <x:c r="D485" s="8" t="n">
        <x:v>15.99</x:v>
      </x:c>
      <x:c r="E485" s="1" t="n">
        <x:v>2</x:v>
      </x:c>
      <x:c r="F485" s="1" t="n">
        <x:v>16</x:v>
      </x:c>
      <x:c r="G485" s="1" t="n">
        <x:v>4</x:v>
      </x:c>
      <x:c r="H485" s="1" t="n">
        <x:v>0</x:v>
      </x:c>
      <x:c r="I485" s="1" t="n">
        <x:v>1</x:v>
      </x:c>
      <x:c r="J485" s="1" t="str">
        <x:v>no</x:v>
      </x:c>
      <x:c r="K485" s="1" t="n">
        <x:f>2*H485+E485+IF(G485&gt;30,2,0)-IF(B485&gt;24,1,0)</x:f>
        <x:v>2</x:v>
      </x:c>
      <x:c r="L485" s="1" t="str">
        <x:f>IF(K485&gt;=3,"yes","no")</x:f>
        <x:v>no</x:v>
      </x:c>
      <x:c r="M485" s="1"/>
      <x:c r="N485" s="1"/>
      <x:c r="O485" s="1"/>
    </x:row>
    <x:row r="486">
      <x:c r="A486" s="1" t="str">
        <x:v>S0485</x:v>
      </x:c>
      <x:c r="B486" s="1" t="n">
        <x:v>45</x:v>
      </x:c>
      <x:c r="C486" s="1" t="str">
        <x:v>premium</x:v>
      </x:c>
      <x:c r="D486" s="8" t="n">
        <x:v>15.99</x:v>
      </x:c>
      <x:c r="E486" s="1" t="n">
        <x:v>2</x:v>
      </x:c>
      <x:c r="F486" s="1" t="n">
        <x:v>8</x:v>
      </x:c>
      <x:c r="G486" s="1" t="n">
        <x:v>24</x:v>
      </x:c>
      <x:c r="H486" s="1" t="n">
        <x:v>0</x:v>
      </x:c>
      <x:c r="I486" s="1" t="n">
        <x:v>0</x:v>
      </x:c>
      <x:c r="J486" s="1" t="str">
        <x:v>no</x:v>
      </x:c>
      <x:c r="K486" s="1" t="n">
        <x:f>2*H486+E486+IF(G486&gt;30,2,0)-IF(B486&gt;24,1,0)</x:f>
        <x:v>1</x:v>
      </x:c>
      <x:c r="L486" s="1" t="str">
        <x:f>IF(K486&gt;=3,"yes","no")</x:f>
        <x:v>no</x:v>
      </x:c>
      <x:c r="M486" s="1"/>
      <x:c r="N486" s="1"/>
      <x:c r="O486" s="1"/>
    </x:row>
    <x:row r="487">
      <x:c r="A487" s="1" t="str">
        <x:v>S0486</x:v>
      </x:c>
      <x:c r="B487" s="1" t="n">
        <x:v>39</x:v>
      </x:c>
      <x:c r="C487" s="1" t="str">
        <x:v>basic</x:v>
      </x:c>
      <x:c r="D487" s="8" t="n">
        <x:v>9.99</x:v>
      </x:c>
      <x:c r="E487" s="1" t="n">
        <x:v>2</x:v>
      </x:c>
      <x:c r="F487" s="1" t="n">
        <x:v>17</x:v>
      </x:c>
      <x:c r="G487" s="1" t="n">
        <x:v>7</x:v>
      </x:c>
      <x:c r="H487" s="1" t="n">
        <x:v>0</x:v>
      </x:c>
      <x:c r="I487" s="1" t="n">
        <x:v>0</x:v>
      </x:c>
      <x:c r="J487" s="1" t="str">
        <x:v>no</x:v>
      </x:c>
      <x:c r="K487" s="1" t="n">
        <x:f>2*H487+E487+IF(G487&gt;30,2,0)-IF(B487&gt;24,1,0)</x:f>
        <x:v>1</x:v>
      </x:c>
      <x:c r="L487" s="1" t="str">
        <x:f>IF(K487&gt;=3,"yes","no")</x:f>
        <x:v>no</x:v>
      </x:c>
      <x:c r="M487" s="1"/>
      <x:c r="N487" s="1"/>
      <x:c r="O487" s="1"/>
    </x:row>
    <x:row r="488">
      <x:c r="A488" s="1" t="str">
        <x:v>S0487</x:v>
      </x:c>
      <x:c r="B488" s="1" t="n">
        <x:v>26</x:v>
      </x:c>
      <x:c r="C488" s="1" t="str">
        <x:v>basic</x:v>
      </x:c>
      <x:c r="D488" s="8" t="n">
        <x:v>9.99</x:v>
      </x:c>
      <x:c r="E488" s="1" t="n">
        <x:v>2</x:v>
      </x:c>
      <x:c r="F488" s="1" t="n">
        <x:v>0</x:v>
      </x:c>
      <x:c r="G488" s="1" t="n">
        <x:v>59</x:v>
      </x:c>
      <x:c r="H488" s="1" t="n">
        <x:v>1</x:v>
      </x:c>
      <x:c r="I488" s="1" t="n">
        <x:v>1</x:v>
      </x:c>
      <x:c r="J488" s="1" t="str">
        <x:v>yes</x:v>
      </x:c>
      <x:c r="K488" s="1" t="n">
        <x:f>2*H488+E488+IF(G488&gt;30,2,0)-IF(B488&gt;24,1,0)</x:f>
        <x:v>5</x:v>
      </x:c>
      <x:c r="L488" s="1" t="str">
        <x:f>IF(K488&gt;=3,"yes","no")</x:f>
        <x:v>yes</x:v>
      </x:c>
      <x:c r="M488" s="1"/>
      <x:c r="N488" s="1"/>
      <x:c r="O488" s="1"/>
    </x:row>
    <x:row r="489">
      <x:c r="A489" s="1" t="str">
        <x:v>S0488</x:v>
      </x:c>
      <x:c r="B489" s="1" t="n">
        <x:v>27</x:v>
      </x:c>
      <x:c r="C489" s="1" t="str">
        <x:v>basic</x:v>
      </x:c>
      <x:c r="D489" s="8" t="n">
        <x:v>9.99</x:v>
      </x:c>
      <x:c r="E489" s="1" t="n">
        <x:v>0</x:v>
      </x:c>
      <x:c r="F489" s="1" t="n">
        <x:v>26</x:v>
      </x:c>
      <x:c r="G489" s="1" t="n">
        <x:v>4</x:v>
      </x:c>
      <x:c r="H489" s="1" t="n">
        <x:v>0</x:v>
      </x:c>
      <x:c r="I489" s="1" t="n">
        <x:v>0</x:v>
      </x:c>
      <x:c r="J489" s="1" t="str">
        <x:v>no</x:v>
      </x:c>
      <x:c r="K489" s="1" t="n">
        <x:f>2*H489+E489+IF(G489&gt;30,2,0)-IF(B489&gt;24,1,0)</x:f>
        <x:v>-1</x:v>
      </x:c>
      <x:c r="L489" s="1" t="str">
        <x:f>IF(K489&gt;=3,"yes","no")</x:f>
        <x:v>no</x:v>
      </x:c>
      <x:c r="M489" s="1"/>
      <x:c r="N489" s="1"/>
      <x:c r="O489" s="1"/>
    </x:row>
    <x:row r="490">
      <x:c r="A490" s="1" t="str">
        <x:v>S0489</x:v>
      </x:c>
      <x:c r="B490" s="1" t="n">
        <x:v>35</x:v>
      </x:c>
      <x:c r="C490" s="1" t="str">
        <x:v>basic</x:v>
      </x:c>
      <x:c r="D490" s="8" t="n">
        <x:v>9.99</x:v>
      </x:c>
      <x:c r="E490" s="1" t="n">
        <x:v>2</x:v>
      </x:c>
      <x:c r="F490" s="1" t="n">
        <x:v>21</x:v>
      </x:c>
      <x:c r="G490" s="1" t="n">
        <x:v>11</x:v>
      </x:c>
      <x:c r="H490" s="1" t="n">
        <x:v>2</x:v>
      </x:c>
      <x:c r="I490" s="1" t="n">
        <x:v>0</x:v>
      </x:c>
      <x:c r="J490" s="1" t="str">
        <x:v>no</x:v>
      </x:c>
      <x:c r="K490" s="1" t="n">
        <x:f>2*H490+E490+IF(G490&gt;30,2,0)-IF(B490&gt;24,1,0)</x:f>
        <x:v>5</x:v>
      </x:c>
      <x:c r="L490" s="1" t="str">
        <x:f>IF(K490&gt;=3,"yes","no")</x:f>
        <x:v>yes</x:v>
      </x:c>
      <x:c r="M490" s="1"/>
      <x:c r="N490" s="1"/>
      <x:c r="O490" s="1"/>
    </x:row>
    <x:row r="491">
      <x:c r="A491" s="1" t="str">
        <x:v>S0490</x:v>
      </x:c>
      <x:c r="B491" s="1" t="n">
        <x:v>29</x:v>
      </x:c>
      <x:c r="C491" s="1" t="str">
        <x:v>basic</x:v>
      </x:c>
      <x:c r="D491" s="8" t="n">
        <x:v>9.99</x:v>
      </x:c>
      <x:c r="E491" s="1" t="n">
        <x:v>2</x:v>
      </x:c>
      <x:c r="F491" s="1" t="n">
        <x:v>20</x:v>
      </x:c>
      <x:c r="G491" s="1" t="n">
        <x:v>0</x:v>
      </x:c>
      <x:c r="H491" s="1" t="n">
        <x:v>0</x:v>
      </x:c>
      <x:c r="I491" s="1" t="n">
        <x:v>1</x:v>
      </x:c>
      <x:c r="J491" s="1" t="str">
        <x:v>no</x:v>
      </x:c>
      <x:c r="K491" s="1" t="n">
        <x:f>2*H491+E491+IF(G491&gt;30,2,0)-IF(B491&gt;24,1,0)</x:f>
        <x:v>1</x:v>
      </x:c>
      <x:c r="L491" s="1" t="str">
        <x:f>IF(K491&gt;=3,"yes","no")</x:f>
        <x:v>no</x:v>
      </x:c>
      <x:c r="M491" s="1"/>
      <x:c r="N491" s="1"/>
      <x:c r="O491" s="1"/>
    </x:row>
    <x:row r="492">
      <x:c r="A492" s="1" t="str">
        <x:v>S0491</x:v>
      </x:c>
      <x:c r="B492" s="1" t="n">
        <x:v>4</x:v>
      </x:c>
      <x:c r="C492" s="1" t="str">
        <x:v>basic</x:v>
      </x:c>
      <x:c r="D492" s="8" t="n">
        <x:v>9.99</x:v>
      </x:c>
      <x:c r="E492" s="1" t="n">
        <x:v>0</x:v>
      </x:c>
      <x:c r="F492" s="1" t="n">
        <x:v>26</x:v>
      </x:c>
      <x:c r="G492" s="1" t="n">
        <x:v>5</x:v>
      </x:c>
      <x:c r="H492" s="1" t="n">
        <x:v>1</x:v>
      </x:c>
      <x:c r="I492" s="1" t="n">
        <x:v>0</x:v>
      </x:c>
      <x:c r="J492" s="1" t="str">
        <x:v>no</x:v>
      </x:c>
      <x:c r="K492" s="1" t="n">
        <x:f>2*H492+E492+IF(G492&gt;30,2,0)-IF(B492&gt;24,1,0)</x:f>
        <x:v>2</x:v>
      </x:c>
      <x:c r="L492" s="1" t="str">
        <x:f>IF(K492&gt;=3,"yes","no")</x:f>
        <x:v>no</x:v>
      </x:c>
      <x:c r="M492" s="1"/>
      <x:c r="N492" s="1"/>
      <x:c r="O492" s="1"/>
    </x:row>
    <x:row r="493">
      <x:c r="A493" s="1" t="str">
        <x:v>S0492</x:v>
      </x:c>
      <x:c r="B493" s="1" t="n">
        <x:v>23</x:v>
      </x:c>
      <x:c r="C493" s="1" t="str">
        <x:v>basic</x:v>
      </x:c>
      <x:c r="D493" s="8" t="n">
        <x:v>9.99</x:v>
      </x:c>
      <x:c r="E493" s="1" t="n">
        <x:v>3</x:v>
      </x:c>
      <x:c r="F493" s="1" t="n">
        <x:v>12</x:v>
      </x:c>
      <x:c r="G493" s="1" t="n">
        <x:v>6</x:v>
      </x:c>
      <x:c r="H493" s="1" t="n">
        <x:v>0</x:v>
      </x:c>
      <x:c r="I493" s="1" t="n">
        <x:v>1</x:v>
      </x:c>
      <x:c r="J493" s="1" t="str">
        <x:v>no</x:v>
      </x:c>
      <x:c r="K493" s="1" t="n">
        <x:f>2*H493+E493+IF(G493&gt;30,2,0)-IF(B493&gt;24,1,0)</x:f>
        <x:v>3</x:v>
      </x:c>
      <x:c r="L493" s="1" t="str">
        <x:f>IF(K493&gt;=3,"yes","no")</x:f>
        <x:v>yes</x:v>
      </x:c>
      <x:c r="M493" s="1"/>
      <x:c r="N493" s="1"/>
      <x:c r="O493" s="1"/>
    </x:row>
    <x:row r="494">
      <x:c r="A494" s="1" t="str">
        <x:v>S0493</x:v>
      </x:c>
      <x:c r="B494" s="1" t="n">
        <x:v>14</x:v>
      </x:c>
      <x:c r="C494" s="1" t="str">
        <x:v>basic</x:v>
      </x:c>
      <x:c r="D494" s="8" t="n">
        <x:v>9.99</x:v>
      </x:c>
      <x:c r="E494" s="1" t="n">
        <x:v>0</x:v>
      </x:c>
      <x:c r="F494" s="1" t="n">
        <x:v>10</x:v>
      </x:c>
      <x:c r="G494" s="1" t="n">
        <x:v>6</x:v>
      </x:c>
      <x:c r="H494" s="1" t="n">
        <x:v>0</x:v>
      </x:c>
      <x:c r="I494" s="1" t="n">
        <x:v>0</x:v>
      </x:c>
      <x:c r="J494" s="1" t="str">
        <x:v>yes</x:v>
      </x:c>
      <x:c r="K494" s="1" t="n">
        <x:f>2*H494+E494+IF(G494&gt;30,2,0)-IF(B494&gt;24,1,0)</x:f>
        <x:v>0</x:v>
      </x:c>
      <x:c r="L494" s="1" t="str">
        <x:f>IF(K494&gt;=3,"yes","no")</x:f>
        <x:v>no</x:v>
      </x:c>
      <x:c r="M494" s="1"/>
      <x:c r="N494" s="1"/>
      <x:c r="O494" s="1"/>
    </x:row>
    <x:row r="495">
      <x:c r="A495" s="1" t="str">
        <x:v>S0494</x:v>
      </x:c>
      <x:c r="B495" s="1" t="n">
        <x:v>44</x:v>
      </x:c>
      <x:c r="C495" s="1" t="str">
        <x:v>basic</x:v>
      </x:c>
      <x:c r="D495" s="8" t="n">
        <x:v>9.99</x:v>
      </x:c>
      <x:c r="E495" s="1" t="n">
        <x:v>0</x:v>
      </x:c>
      <x:c r="F495" s="1" t="n">
        <x:v>6</x:v>
      </x:c>
      <x:c r="G495" s="1" t="n">
        <x:v>28</x:v>
      </x:c>
      <x:c r="H495" s="1" t="n">
        <x:v>0</x:v>
      </x:c>
      <x:c r="I495" s="1" t="n">
        <x:v>0</x:v>
      </x:c>
      <x:c r="J495" s="1" t="str">
        <x:v>no</x:v>
      </x:c>
      <x:c r="K495" s="1" t="n">
        <x:f>2*H495+E495+IF(G495&gt;30,2,0)-IF(B495&gt;24,1,0)</x:f>
        <x:v>-1</x:v>
      </x:c>
      <x:c r="L495" s="1" t="str">
        <x:f>IF(K495&gt;=3,"yes","no")</x:f>
        <x:v>no</x:v>
      </x:c>
      <x:c r="M495" s="1"/>
      <x:c r="N495" s="1"/>
      <x:c r="O495" s="1"/>
    </x:row>
    <x:row r="496">
      <x:c r="A496" s="1" t="str">
        <x:v>S0495</x:v>
      </x:c>
      <x:c r="B496" s="1" t="n">
        <x:v>48</x:v>
      </x:c>
      <x:c r="C496" s="1" t="str">
        <x:v>basic</x:v>
      </x:c>
      <x:c r="D496" s="8" t="n">
        <x:v>9.99</x:v>
      </x:c>
      <x:c r="E496" s="1" t="n">
        <x:v>3</x:v>
      </x:c>
      <x:c r="F496" s="1" t="n">
        <x:v>17</x:v>
      </x:c>
      <x:c r="G496" s="1" t="n">
        <x:v>19</x:v>
      </x:c>
      <x:c r="H496" s="1" t="n">
        <x:v>0</x:v>
      </x:c>
      <x:c r="I496" s="1" t="n">
        <x:v>0</x:v>
      </x:c>
      <x:c r="J496" s="1" t="str">
        <x:v>no</x:v>
      </x:c>
      <x:c r="K496" s="1" t="n">
        <x:f>2*H496+E496+IF(G496&gt;30,2,0)-IF(B496&gt;24,1,0)</x:f>
        <x:v>2</x:v>
      </x:c>
      <x:c r="L496" s="1" t="str">
        <x:f>IF(K496&gt;=3,"yes","no")</x:f>
        <x:v>no</x:v>
      </x:c>
      <x:c r="M496" s="1"/>
      <x:c r="N496" s="1"/>
      <x:c r="O496" s="1"/>
    </x:row>
    <x:row r="497">
      <x:c r="A497" s="1" t="str">
        <x:v>S0496</x:v>
      </x:c>
      <x:c r="B497" s="1" t="n">
        <x:v>2</x:v>
      </x:c>
      <x:c r="C497" s="1" t="str">
        <x:v>basic</x:v>
      </x:c>
      <x:c r="D497" s="8" t="n">
        <x:v>9.99</x:v>
      </x:c>
      <x:c r="E497" s="1" t="n">
        <x:v>0</x:v>
      </x:c>
      <x:c r="F497" s="1" t="n">
        <x:v>23</x:v>
      </x:c>
      <x:c r="G497" s="1" t="n">
        <x:v>0</x:v>
      </x:c>
      <x:c r="H497" s="1" t="n">
        <x:v>0</x:v>
      </x:c>
      <x:c r="I497" s="1" t="n">
        <x:v>0</x:v>
      </x:c>
      <x:c r="J497" s="1" t="str">
        <x:v>no</x:v>
      </x:c>
      <x:c r="K497" s="1" t="n">
        <x:f>2*H497+E497+IF(G497&gt;30,2,0)-IF(B497&gt;24,1,0)</x:f>
        <x:v>0</x:v>
      </x:c>
      <x:c r="L497" s="1" t="str">
        <x:f>IF(K497&gt;=3,"yes","no")</x:f>
        <x:v>no</x:v>
      </x:c>
      <x:c r="M497" s="1"/>
      <x:c r="N497" s="1"/>
      <x:c r="O497" s="1"/>
    </x:row>
    <x:row r="498">
      <x:c r="A498" s="1" t="str">
        <x:v>S0497</x:v>
      </x:c>
      <x:c r="B498" s="1" t="n">
        <x:v>41</x:v>
      </x:c>
      <x:c r="C498" s="1" t="str">
        <x:v>premium</x:v>
      </x:c>
      <x:c r="D498" s="8" t="n">
        <x:v>15.99</x:v>
      </x:c>
      <x:c r="E498" s="1" t="n">
        <x:v>2</x:v>
      </x:c>
      <x:c r="F498" s="1" t="n">
        <x:v>20</x:v>
      </x:c>
      <x:c r="G498" s="1" t="n">
        <x:v>7</x:v>
      </x:c>
      <x:c r="H498" s="1" t="n">
        <x:v>2</x:v>
      </x:c>
      <x:c r="I498" s="1" t="n">
        <x:v>0</x:v>
      </x:c>
      <x:c r="J498" s="1" t="str">
        <x:v>yes</x:v>
      </x:c>
      <x:c r="K498" s="1" t="n">
        <x:f>2*H498+E498+IF(G498&gt;30,2,0)-IF(B498&gt;24,1,0)</x:f>
        <x:v>5</x:v>
      </x:c>
      <x:c r="L498" s="1" t="str">
        <x:f>IF(K498&gt;=3,"yes","no")</x:f>
        <x:v>yes</x:v>
      </x:c>
      <x:c r="M498" s="1"/>
      <x:c r="N498" s="1"/>
      <x:c r="O498" s="1"/>
    </x:row>
    <x:row r="499">
      <x:c r="A499" s="1" t="str">
        <x:v>S0498</x:v>
      </x:c>
      <x:c r="B499" s="1" t="n">
        <x:v>3</x:v>
      </x:c>
      <x:c r="C499" s="1" t="str">
        <x:v>premium</x:v>
      </x:c>
      <x:c r="D499" s="8" t="n">
        <x:v>15.99</x:v>
      </x:c>
      <x:c r="E499" s="1" t="n">
        <x:v>3</x:v>
      </x:c>
      <x:c r="F499" s="1" t="n">
        <x:v>0</x:v>
      </x:c>
      <x:c r="G499" s="1" t="n">
        <x:v>51</x:v>
      </x:c>
      <x:c r="H499" s="1" t="n">
        <x:v>0</x:v>
      </x:c>
      <x:c r="I499" s="1" t="n">
        <x:v>0</x:v>
      </x:c>
      <x:c r="J499" s="1" t="str">
        <x:v>yes</x:v>
      </x:c>
      <x:c r="K499" s="1" t="n">
        <x:f>2*H499+E499+IF(G499&gt;30,2,0)-IF(B499&gt;24,1,0)</x:f>
        <x:v>5</x:v>
      </x:c>
      <x:c r="L499" s="1" t="str">
        <x:f>IF(K499&gt;=3,"yes","no")</x:f>
        <x:v>yes</x:v>
      </x:c>
      <x:c r="M499" s="1"/>
      <x:c r="N499" s="1"/>
      <x:c r="O499" s="1"/>
    </x:row>
    <x:row r="500">
      <x:c r="A500" s="1" t="str">
        <x:v>S0499</x:v>
      </x:c>
      <x:c r="B500" s="1" t="n">
        <x:v>48</x:v>
      </x:c>
      <x:c r="C500" s="1" t="str">
        <x:v>basic</x:v>
      </x:c>
      <x:c r="D500" s="8" t="n">
        <x:v>9.99</x:v>
      </x:c>
      <x:c r="E500" s="1" t="n">
        <x:v>1</x:v>
      </x:c>
      <x:c r="F500" s="1" t="n">
        <x:v>10</x:v>
      </x:c>
      <x:c r="G500" s="1" t="n">
        <x:v>8</x:v>
      </x:c>
      <x:c r="H500" s="1" t="n">
        <x:v>0</x:v>
      </x:c>
      <x:c r="I500" s="1" t="n">
        <x:v>0</x:v>
      </x:c>
      <x:c r="J500" s="1" t="str">
        <x:v>no</x:v>
      </x:c>
      <x:c r="K500" s="1" t="n">
        <x:f>2*H500+E500+IF(G500&gt;30,2,0)-IF(B500&gt;24,1,0)</x:f>
        <x:v>0</x:v>
      </x:c>
      <x:c r="L500" s="1" t="str">
        <x:f>IF(K500&gt;=3,"yes","no")</x:f>
        <x:v>no</x:v>
      </x:c>
      <x:c r="M500" s="1"/>
      <x:c r="N500" s="1"/>
      <x:c r="O500" s="1"/>
    </x:row>
    <x:row r="501">
      <x:c r="A501" s="1" t="str">
        <x:v>S0500</x:v>
      </x:c>
      <x:c r="B501" s="1" t="n">
        <x:v>41</x:v>
      </x:c>
      <x:c r="C501" s="1" t="str">
        <x:v>premium</x:v>
      </x:c>
      <x:c r="D501" s="8" t="n">
        <x:v>15.99</x:v>
      </x:c>
      <x:c r="E501" s="1" t="n">
        <x:v>1</x:v>
      </x:c>
      <x:c r="F501" s="1" t="n">
        <x:v>12</x:v>
      </x:c>
      <x:c r="G501" s="1" t="n">
        <x:v>7</x:v>
      </x:c>
      <x:c r="H501" s="1" t="n">
        <x:v>0</x:v>
      </x:c>
      <x:c r="I501" s="1" t="n">
        <x:v>0</x:v>
      </x:c>
      <x:c r="J501" s="1" t="str">
        <x:v>no</x:v>
      </x:c>
      <x:c r="K501" s="1" t="n">
        <x:f>2*H501+E501+IF(G501&gt;30,2,0)-IF(B501&gt;24,1,0)</x:f>
        <x:v>0</x:v>
      </x:c>
      <x:c r="L501" s="1" t="str">
        <x:f>IF(K501&gt;=3,"yes","no")</x:f>
        <x:v>no</x:v>
      </x:c>
      <x:c r="M501" s="1"/>
      <x:c r="N501" s="1"/>
      <x:c r="O501" s="1"/>
    </x:row>
    <x:row r="502">
      <x:c r="A502" s="1" t="str">
        <x:v>S0501</x:v>
      </x:c>
      <x:c r="B502" s="1" t="n">
        <x:v>2</x:v>
      </x:c>
      <x:c r="C502" s="1" t="str">
        <x:v>basic</x:v>
      </x:c>
      <x:c r="D502" s="8" t="n">
        <x:v>9.99</x:v>
      </x:c>
      <x:c r="E502" s="1" t="n">
        <x:v>1</x:v>
      </x:c>
      <x:c r="F502" s="1" t="n">
        <x:v>19</x:v>
      </x:c>
      <x:c r="G502" s="1" t="n">
        <x:v>19</x:v>
      </x:c>
      <x:c r="H502" s="1" t="n">
        <x:v>1</x:v>
      </x:c>
      <x:c r="I502" s="1" t="n">
        <x:v>0</x:v>
      </x:c>
      <x:c r="J502" s="1" t="str">
        <x:v>yes</x:v>
      </x:c>
      <x:c r="K502" s="1" t="n">
        <x:f>2*H502+E502+IF(G502&gt;30,2,0)-IF(B502&gt;24,1,0)</x:f>
        <x:v>3</x:v>
      </x:c>
      <x:c r="L502" s="1" t="str">
        <x:f>IF(K502&gt;=3,"yes","no")</x:f>
        <x:v>yes</x:v>
      </x:c>
      <x:c r="M502" s="1"/>
      <x:c r="N502" s="1"/>
      <x:c r="O502" s="1"/>
    </x:row>
    <x:row r="503">
      <x:c r="A503" s="1" t="str">
        <x:v>S0502</x:v>
      </x:c>
      <x:c r="B503" s="1" t="n">
        <x:v>9</x:v>
      </x:c>
      <x:c r="C503" s="1" t="str">
        <x:v>premium</x:v>
      </x:c>
      <x:c r="D503" s="8" t="n">
        <x:v>15.99</x:v>
      </x:c>
      <x:c r="E503" s="1" t="n">
        <x:v>1</x:v>
      </x:c>
      <x:c r="F503" s="1" t="n">
        <x:v>23</x:v>
      </x:c>
      <x:c r="G503" s="1" t="n">
        <x:v>2</x:v>
      </x:c>
      <x:c r="H503" s="1" t="n">
        <x:v>0</x:v>
      </x:c>
      <x:c r="I503" s="1" t="n">
        <x:v>1</x:v>
      </x:c>
      <x:c r="J503" s="1" t="str">
        <x:v>no</x:v>
      </x:c>
      <x:c r="K503" s="1" t="n">
        <x:f>2*H503+E503+IF(G503&gt;30,2,0)-IF(B503&gt;24,1,0)</x:f>
        <x:v>1</x:v>
      </x:c>
      <x:c r="L503" s="1" t="str">
        <x:f>IF(K503&gt;=3,"yes","no")</x:f>
        <x:v>no</x:v>
      </x:c>
      <x:c r="M503" s="1"/>
      <x:c r="N503" s="1"/>
      <x:c r="O503" s="1"/>
    </x:row>
    <x:row r="504">
      <x:c r="A504" s="1" t="str">
        <x:v>S0503</x:v>
      </x:c>
      <x:c r="B504" s="1" t="n">
        <x:v>36</x:v>
      </x:c>
      <x:c r="C504" s="1" t="str">
        <x:v>basic</x:v>
      </x:c>
      <x:c r="D504" s="8" t="n">
        <x:v>9.99</x:v>
      </x:c>
      <x:c r="E504" s="1" t="n">
        <x:v>1</x:v>
      </x:c>
      <x:c r="F504" s="1" t="n">
        <x:v>22</x:v>
      </x:c>
      <x:c r="G504" s="1" t="n">
        <x:v>4</x:v>
      </x:c>
      <x:c r="H504" s="1" t="n">
        <x:v>0</x:v>
      </x:c>
      <x:c r="I504" s="1" t="n">
        <x:v>0</x:v>
      </x:c>
      <x:c r="J504" s="1" t="str">
        <x:v>no</x:v>
      </x:c>
      <x:c r="K504" s="1" t="n">
        <x:f>2*H504+E504+IF(G504&gt;30,2,0)-IF(B504&gt;24,1,0)</x:f>
        <x:v>0</x:v>
      </x:c>
      <x:c r="L504" s="1" t="str">
        <x:f>IF(K504&gt;=3,"yes","no")</x:f>
        <x:v>no</x:v>
      </x:c>
      <x:c r="M504" s="1"/>
      <x:c r="N504" s="1"/>
      <x:c r="O504" s="1"/>
    </x:row>
    <x:row r="505">
      <x:c r="A505" s="1" t="str">
        <x:v>S0504</x:v>
      </x:c>
      <x:c r="B505" s="1" t="n">
        <x:v>7</x:v>
      </x:c>
      <x:c r="C505" s="1" t="str">
        <x:v>premium</x:v>
      </x:c>
      <x:c r="D505" s="8" t="n">
        <x:v>15.99</x:v>
      </x:c>
      <x:c r="E505" s="1" t="n">
        <x:v>0</x:v>
      </x:c>
      <x:c r="F505" s="1" t="n">
        <x:v>11</x:v>
      </x:c>
      <x:c r="G505" s="1" t="n">
        <x:v>29</x:v>
      </x:c>
      <x:c r="H505" s="1" t="n">
        <x:v>0</x:v>
      </x:c>
      <x:c r="I505" s="1" t="n">
        <x:v>1</x:v>
      </x:c>
      <x:c r="J505" s="1" t="str">
        <x:v>yes</x:v>
      </x:c>
      <x:c r="K505" s="1" t="n">
        <x:f>2*H505+E505+IF(G505&gt;30,2,0)-IF(B505&gt;24,1,0)</x:f>
        <x:v>0</x:v>
      </x:c>
      <x:c r="L505" s="1" t="str">
        <x:f>IF(K505&gt;=3,"yes","no")</x:f>
        <x:v>no</x:v>
      </x:c>
      <x:c r="M505" s="1"/>
      <x:c r="N505" s="1"/>
      <x:c r="O505" s="1"/>
    </x:row>
    <x:row r="506">
      <x:c r="A506" s="1" t="str">
        <x:v>S0505</x:v>
      </x:c>
      <x:c r="B506" s="1" t="n">
        <x:v>32</x:v>
      </x:c>
      <x:c r="C506" s="1" t="str">
        <x:v>basic</x:v>
      </x:c>
      <x:c r="D506" s="8" t="n">
        <x:v>9.99</x:v>
      </x:c>
      <x:c r="E506" s="1" t="n">
        <x:v>0</x:v>
      </x:c>
      <x:c r="F506" s="1" t="n">
        <x:v>13</x:v>
      </x:c>
      <x:c r="G506" s="1" t="n">
        <x:v>2</x:v>
      </x:c>
      <x:c r="H506" s="1" t="n">
        <x:v>0</x:v>
      </x:c>
      <x:c r="I506" s="1" t="n">
        <x:v>1</x:v>
      </x:c>
      <x:c r="J506" s="1" t="str">
        <x:v>no</x:v>
      </x:c>
      <x:c r="K506" s="1" t="n">
        <x:f>2*H506+E506+IF(G506&gt;30,2,0)-IF(B506&gt;24,1,0)</x:f>
        <x:v>-1</x:v>
      </x:c>
      <x:c r="L506" s="1" t="str">
        <x:f>IF(K506&gt;=3,"yes","no")</x:f>
        <x:v>no</x:v>
      </x:c>
      <x:c r="M506" s="1"/>
      <x:c r="N506" s="1"/>
      <x:c r="O506" s="1"/>
    </x:row>
    <x:row r="507">
      <x:c r="A507" s="1" t="str">
        <x:v>S0506</x:v>
      </x:c>
      <x:c r="B507" s="1" t="n">
        <x:v>30</x:v>
      </x:c>
      <x:c r="C507" s="1" t="str">
        <x:v>basic</x:v>
      </x:c>
      <x:c r="D507" s="8" t="n">
        <x:v>9.99</x:v>
      </x:c>
      <x:c r="E507" s="1" t="n">
        <x:v>0</x:v>
      </x:c>
      <x:c r="F507" s="1" t="n">
        <x:v>22</x:v>
      </x:c>
      <x:c r="G507" s="1" t="n">
        <x:v>5</x:v>
      </x:c>
      <x:c r="H507" s="1" t="n">
        <x:v>0</x:v>
      </x:c>
      <x:c r="I507" s="1" t="n">
        <x:v>1</x:v>
      </x:c>
      <x:c r="J507" s="1" t="str">
        <x:v>no</x:v>
      </x:c>
      <x:c r="K507" s="1" t="n">
        <x:f>2*H507+E507+IF(G507&gt;30,2,0)-IF(B507&gt;24,1,0)</x:f>
        <x:v>-1</x:v>
      </x:c>
      <x:c r="L507" s="1" t="str">
        <x:f>IF(K507&gt;=3,"yes","no")</x:f>
        <x:v>no</x:v>
      </x:c>
      <x:c r="M507" s="1"/>
      <x:c r="N507" s="1"/>
      <x:c r="O507" s="1"/>
    </x:row>
    <x:row r="508">
      <x:c r="A508" s="1" t="str">
        <x:v>S0507</x:v>
      </x:c>
      <x:c r="B508" s="1" t="n">
        <x:v>24</x:v>
      </x:c>
      <x:c r="C508" s="1" t="str">
        <x:v>basic</x:v>
      </x:c>
      <x:c r="D508" s="8" t="n">
        <x:v>9.99</x:v>
      </x:c>
      <x:c r="E508" s="1" t="n">
        <x:v>1</x:v>
      </x:c>
      <x:c r="F508" s="1" t="n">
        <x:v>1</x:v>
      </x:c>
      <x:c r="G508" s="1" t="n">
        <x:v>28</x:v>
      </x:c>
      <x:c r="H508" s="1" t="n">
        <x:v>0</x:v>
      </x:c>
      <x:c r="I508" s="1" t="n">
        <x:v>0</x:v>
      </x:c>
      <x:c r="J508" s="1" t="str">
        <x:v>yes</x:v>
      </x:c>
      <x:c r="K508" s="1" t="n">
        <x:f>2*H508+E508+IF(G508&gt;30,2,0)-IF(B508&gt;24,1,0)</x:f>
        <x:v>1</x:v>
      </x:c>
      <x:c r="L508" s="1" t="str">
        <x:f>IF(K508&gt;=3,"yes","no")</x:f>
        <x:v>no</x:v>
      </x:c>
      <x:c r="M508" s="1"/>
      <x:c r="N508" s="1"/>
      <x:c r="O508" s="1"/>
    </x:row>
    <x:row r="509">
      <x:c r="A509" s="1" t="str">
        <x:v>S0508</x:v>
      </x:c>
      <x:c r="B509" s="1" t="n">
        <x:v>10</x:v>
      </x:c>
      <x:c r="C509" s="1" t="str">
        <x:v>premium</x:v>
      </x:c>
      <x:c r="D509" s="8" t="n">
        <x:v>15.99</x:v>
      </x:c>
      <x:c r="E509" s="1" t="n">
        <x:v>3</x:v>
      </x:c>
      <x:c r="F509" s="1" t="n">
        <x:v>14</x:v>
      </x:c>
      <x:c r="G509" s="1" t="n">
        <x:v>12</x:v>
      </x:c>
      <x:c r="H509" s="1" t="n">
        <x:v>0</x:v>
      </x:c>
      <x:c r="I509" s="1" t="n">
        <x:v>1</x:v>
      </x:c>
      <x:c r="J509" s="1" t="str">
        <x:v>yes</x:v>
      </x:c>
      <x:c r="K509" s="1" t="n">
        <x:f>2*H509+E509+IF(G509&gt;30,2,0)-IF(B509&gt;24,1,0)</x:f>
        <x:v>3</x:v>
      </x:c>
      <x:c r="L509" s="1" t="str">
        <x:f>IF(K509&gt;=3,"yes","no")</x:f>
        <x:v>yes</x:v>
      </x:c>
      <x:c r="M509" s="1"/>
      <x:c r="N509" s="1"/>
      <x:c r="O509" s="1"/>
    </x:row>
    <x:row r="510">
      <x:c r="A510" s="1" t="str">
        <x:v>S0509</x:v>
      </x:c>
      <x:c r="B510" s="1" t="n">
        <x:v>4</x:v>
      </x:c>
      <x:c r="C510" s="1" t="str">
        <x:v>basic</x:v>
      </x:c>
      <x:c r="D510" s="8" t="n">
        <x:v>9.99</x:v>
      </x:c>
      <x:c r="E510" s="1" t="n">
        <x:v>0</x:v>
      </x:c>
      <x:c r="F510" s="1" t="n">
        <x:v>32</x:v>
      </x:c>
      <x:c r="G510" s="1" t="n">
        <x:v>4</x:v>
      </x:c>
      <x:c r="H510" s="1" t="n">
        <x:v>0</x:v>
      </x:c>
      <x:c r="I510" s="1" t="n">
        <x:v>1</x:v>
      </x:c>
      <x:c r="J510" s="1" t="str">
        <x:v>no</x:v>
      </x:c>
      <x:c r="K510" s="1" t="n">
        <x:f>2*H510+E510+IF(G510&gt;30,2,0)-IF(B510&gt;24,1,0)</x:f>
        <x:v>0</x:v>
      </x:c>
      <x:c r="L510" s="1" t="str">
        <x:f>IF(K510&gt;=3,"yes","no")</x:f>
        <x:v>no</x:v>
      </x:c>
      <x:c r="M510" s="1"/>
      <x:c r="N510" s="1"/>
      <x:c r="O510" s="1"/>
    </x:row>
    <x:row r="511">
      <x:c r="A511" s="1" t="str">
        <x:v>S0510</x:v>
      </x:c>
      <x:c r="B511" s="1" t="n">
        <x:v>18</x:v>
      </x:c>
      <x:c r="C511" s="1" t="str">
        <x:v>premium</x:v>
      </x:c>
      <x:c r="D511" s="8" t="n">
        <x:v>15.99</x:v>
      </x:c>
      <x:c r="E511" s="1" t="n">
        <x:v>3</x:v>
      </x:c>
      <x:c r="F511" s="1" t="n">
        <x:v>11</x:v>
      </x:c>
      <x:c r="G511" s="1" t="n">
        <x:v>7</x:v>
      </x:c>
      <x:c r="H511" s="1" t="n">
        <x:v>1</x:v>
      </x:c>
      <x:c r="I511" s="1" t="n">
        <x:v>0</x:v>
      </x:c>
      <x:c r="J511" s="1" t="str">
        <x:v>no</x:v>
      </x:c>
      <x:c r="K511" s="1" t="n">
        <x:f>2*H511+E511+IF(G511&gt;30,2,0)-IF(B511&gt;24,1,0)</x:f>
        <x:v>5</x:v>
      </x:c>
      <x:c r="L511" s="1" t="str">
        <x:f>IF(K511&gt;=3,"yes","no")</x:f>
        <x:v>yes</x:v>
      </x:c>
      <x:c r="M511" s="1"/>
      <x:c r="N511" s="1"/>
      <x:c r="O511" s="1"/>
    </x:row>
    <x:row r="512">
      <x:c r="A512" s="1" t="str">
        <x:v>S0511</x:v>
      </x:c>
      <x:c r="B512" s="1" t="n">
        <x:v>9</x:v>
      </x:c>
      <x:c r="C512" s="1" t="str">
        <x:v>premium</x:v>
      </x:c>
      <x:c r="D512" s="8" t="n">
        <x:v>15.99</x:v>
      </x:c>
      <x:c r="E512" s="1" t="n">
        <x:v>3</x:v>
      </x:c>
      <x:c r="F512" s="1" t="n">
        <x:v>16</x:v>
      </x:c>
      <x:c r="G512" s="1" t="n">
        <x:v>7</x:v>
      </x:c>
      <x:c r="H512" s="1" t="n">
        <x:v>0</x:v>
      </x:c>
      <x:c r="I512" s="1" t="n">
        <x:v>0</x:v>
      </x:c>
      <x:c r="J512" s="1" t="str">
        <x:v>no</x:v>
      </x:c>
      <x:c r="K512" s="1" t="n">
        <x:f>2*H512+E512+IF(G512&gt;30,2,0)-IF(B512&gt;24,1,0)</x:f>
        <x:v>3</x:v>
      </x:c>
      <x:c r="L512" s="1" t="str">
        <x:f>IF(K512&gt;=3,"yes","no")</x:f>
        <x:v>yes</x:v>
      </x:c>
      <x:c r="M512" s="1"/>
      <x:c r="N512" s="1"/>
      <x:c r="O512" s="1"/>
    </x:row>
    <x:row r="513">
      <x:c r="A513" s="1" t="str">
        <x:v>S0512</x:v>
      </x:c>
      <x:c r="B513" s="1" t="n">
        <x:v>9</x:v>
      </x:c>
      <x:c r="C513" s="1" t="str">
        <x:v>basic</x:v>
      </x:c>
      <x:c r="D513" s="8" t="n">
        <x:v>9.99</x:v>
      </x:c>
      <x:c r="E513" s="1" t="n">
        <x:v>0</x:v>
      </x:c>
      <x:c r="F513" s="1" t="n">
        <x:v>14</x:v>
      </x:c>
      <x:c r="G513" s="1" t="n">
        <x:v>7</x:v>
      </x:c>
      <x:c r="H513" s="1" t="n">
        <x:v>0</x:v>
      </x:c>
      <x:c r="I513" s="1" t="n">
        <x:v>0</x:v>
      </x:c>
      <x:c r="J513" s="1" t="str">
        <x:v>no</x:v>
      </x:c>
      <x:c r="K513" s="1" t="n">
        <x:f>2*H513+E513+IF(G513&gt;30,2,0)-IF(B513&gt;24,1,0)</x:f>
        <x:v>0</x:v>
      </x:c>
      <x:c r="L513" s="1" t="str">
        <x:f>IF(K513&gt;=3,"yes","no")</x:f>
        <x:v>no</x:v>
      </x:c>
      <x:c r="M513" s="1"/>
      <x:c r="N513" s="1"/>
      <x:c r="O513" s="1"/>
    </x:row>
    <x:row r="514">
      <x:c r="A514" s="1" t="str">
        <x:v>S0513</x:v>
      </x:c>
      <x:c r="B514" s="1" t="n">
        <x:v>1</x:v>
      </x:c>
      <x:c r="C514" s="1" t="str">
        <x:v>basic</x:v>
      </x:c>
      <x:c r="D514" s="8" t="n">
        <x:v>9.99</x:v>
      </x:c>
      <x:c r="E514" s="1" t="n">
        <x:v>0</x:v>
      </x:c>
      <x:c r="F514" s="1" t="n">
        <x:v>7</x:v>
      </x:c>
      <x:c r="G514" s="1" t="n">
        <x:v>27</x:v>
      </x:c>
      <x:c r="H514" s="1" t="n">
        <x:v>1</x:v>
      </x:c>
      <x:c r="I514" s="1" t="n">
        <x:v>0</x:v>
      </x:c>
      <x:c r="J514" s="1" t="str">
        <x:v>no</x:v>
      </x:c>
      <x:c r="K514" s="1" t="n">
        <x:f>2*H514+E514+IF(G514&gt;30,2,0)-IF(B514&gt;24,1,0)</x:f>
        <x:v>2</x:v>
      </x:c>
      <x:c r="L514" s="1" t="str">
        <x:f>IF(K514&gt;=3,"yes","no")</x:f>
        <x:v>no</x:v>
      </x:c>
      <x:c r="M514" s="1"/>
      <x:c r="N514" s="1"/>
      <x:c r="O514" s="1"/>
    </x:row>
    <x:row r="515">
      <x:c r="A515" s="1" t="str">
        <x:v>S0514</x:v>
      </x:c>
      <x:c r="B515" s="1" t="n">
        <x:v>11</x:v>
      </x:c>
      <x:c r="C515" s="1" t="str">
        <x:v>premium</x:v>
      </x:c>
      <x:c r="D515" s="8" t="n">
        <x:v>15.99</x:v>
      </x:c>
      <x:c r="E515" s="1" t="n">
        <x:v>3</x:v>
      </x:c>
      <x:c r="F515" s="1" t="n">
        <x:v>0</x:v>
      </x:c>
      <x:c r="G515" s="1" t="n">
        <x:v>31</x:v>
      </x:c>
      <x:c r="H515" s="1" t="n">
        <x:v>0</x:v>
      </x:c>
      <x:c r="I515" s="1" t="n">
        <x:v>1</x:v>
      </x:c>
      <x:c r="J515" s="1" t="str">
        <x:v>yes</x:v>
      </x:c>
      <x:c r="K515" s="1" t="n">
        <x:f>2*H515+E515+IF(G515&gt;30,2,0)-IF(B515&gt;24,1,0)</x:f>
        <x:v>5</x:v>
      </x:c>
      <x:c r="L515" s="1" t="str">
        <x:f>IF(K515&gt;=3,"yes","no")</x:f>
        <x:v>yes</x:v>
      </x:c>
      <x:c r="M515" s="1"/>
      <x:c r="N515" s="1"/>
      <x:c r="O515" s="1"/>
    </x:row>
    <x:row r="516">
      <x:c r="A516" s="1" t="str">
        <x:v>S0515</x:v>
      </x:c>
      <x:c r="B516" s="1" t="n">
        <x:v>31</x:v>
      </x:c>
      <x:c r="C516" s="1" t="str">
        <x:v>basic</x:v>
      </x:c>
      <x:c r="D516" s="8" t="n">
        <x:v>9.99</x:v>
      </x:c>
      <x:c r="E516" s="1" t="n">
        <x:v>0</x:v>
      </x:c>
      <x:c r="F516" s="1" t="n">
        <x:v>11</x:v>
      </x:c>
      <x:c r="G516" s="1" t="n">
        <x:v>4</x:v>
      </x:c>
      <x:c r="H516" s="1" t="n">
        <x:v>0</x:v>
      </x:c>
      <x:c r="I516" s="1" t="n">
        <x:v>0</x:v>
      </x:c>
      <x:c r="J516" s="1" t="str">
        <x:v>no</x:v>
      </x:c>
      <x:c r="K516" s="1" t="n">
        <x:f>2*H516+E516+IF(G516&gt;30,2,0)-IF(B516&gt;24,1,0)</x:f>
        <x:v>-1</x:v>
      </x:c>
      <x:c r="L516" s="1" t="str">
        <x:f>IF(K516&gt;=3,"yes","no")</x:f>
        <x:v>no</x:v>
      </x:c>
      <x:c r="M516" s="1"/>
      <x:c r="N516" s="1"/>
      <x:c r="O516" s="1"/>
    </x:row>
    <x:row r="517">
      <x:c r="A517" s="1" t="str">
        <x:v>S0516</x:v>
      </x:c>
      <x:c r="B517" s="1" t="n">
        <x:v>35</x:v>
      </x:c>
      <x:c r="C517" s="1" t="str">
        <x:v>basic</x:v>
      </x:c>
      <x:c r="D517" s="8" t="n">
        <x:v>9.99</x:v>
      </x:c>
      <x:c r="E517" s="1" t="n">
        <x:v>1</x:v>
      </x:c>
      <x:c r="F517" s="1" t="n">
        <x:v>23</x:v>
      </x:c>
      <x:c r="G517" s="1" t="n">
        <x:v>14</x:v>
      </x:c>
      <x:c r="H517" s="1" t="n">
        <x:v>0</x:v>
      </x:c>
      <x:c r="I517" s="1" t="n">
        <x:v>0</x:v>
      </x:c>
      <x:c r="J517" s="1" t="str">
        <x:v>no</x:v>
      </x:c>
      <x:c r="K517" s="1" t="n">
        <x:f>2*H517+E517+IF(G517&gt;30,2,0)-IF(B517&gt;24,1,0)</x:f>
        <x:v>0</x:v>
      </x:c>
      <x:c r="L517" s="1" t="str">
        <x:f>IF(K517&gt;=3,"yes","no")</x:f>
        <x:v>no</x:v>
      </x:c>
      <x:c r="M517" s="1"/>
      <x:c r="N517" s="1"/>
      <x:c r="O517" s="1"/>
    </x:row>
    <x:row r="518">
      <x:c r="A518" s="1" t="str">
        <x:v>S0517</x:v>
      </x:c>
      <x:c r="B518" s="1" t="n">
        <x:v>1</x:v>
      </x:c>
      <x:c r="C518" s="1" t="str">
        <x:v>basic</x:v>
      </x:c>
      <x:c r="D518" s="8" t="n">
        <x:v>9.99</x:v>
      </x:c>
      <x:c r="E518" s="1" t="n">
        <x:v>0</x:v>
      </x:c>
      <x:c r="F518" s="1" t="n">
        <x:v>8</x:v>
      </x:c>
      <x:c r="G518" s="1" t="n">
        <x:v>3</x:v>
      </x:c>
      <x:c r="H518" s="1" t="n">
        <x:v>0</x:v>
      </x:c>
      <x:c r="I518" s="1" t="n">
        <x:v>1</x:v>
      </x:c>
      <x:c r="J518" s="1" t="str">
        <x:v>no</x:v>
      </x:c>
      <x:c r="K518" s="1" t="n">
        <x:f>2*H518+E518+IF(G518&gt;30,2,0)-IF(B518&gt;24,1,0)</x:f>
        <x:v>0</x:v>
      </x:c>
      <x:c r="L518" s="1" t="str">
        <x:f>IF(K518&gt;=3,"yes","no")</x:f>
        <x:v>no</x:v>
      </x:c>
      <x:c r="M518" s="1"/>
      <x:c r="N518" s="1"/>
      <x:c r="O518" s="1"/>
    </x:row>
    <x:row r="519">
      <x:c r="A519" s="1" t="str">
        <x:v>S0518</x:v>
      </x:c>
      <x:c r="B519" s="1" t="n">
        <x:v>40</x:v>
      </x:c>
      <x:c r="C519" s="1" t="str">
        <x:v>basic</x:v>
      </x:c>
      <x:c r="D519" s="8" t="n">
        <x:v>9.99</x:v>
      </x:c>
      <x:c r="E519" s="1" t="n">
        <x:v>0</x:v>
      </x:c>
      <x:c r="F519" s="1" t="n">
        <x:v>9</x:v>
      </x:c>
      <x:c r="G519" s="1" t="n">
        <x:v>13</x:v>
      </x:c>
      <x:c r="H519" s="1" t="n">
        <x:v>0</x:v>
      </x:c>
      <x:c r="I519" s="1" t="n">
        <x:v>0</x:v>
      </x:c>
      <x:c r="J519" s="1" t="str">
        <x:v>no</x:v>
      </x:c>
      <x:c r="K519" s="1" t="n">
        <x:f>2*H519+E519+IF(G519&gt;30,2,0)-IF(B519&gt;24,1,0)</x:f>
        <x:v>-1</x:v>
      </x:c>
      <x:c r="L519" s="1" t="str">
        <x:f>IF(K519&gt;=3,"yes","no")</x:f>
        <x:v>no</x:v>
      </x:c>
      <x:c r="M519" s="1"/>
      <x:c r="N519" s="1"/>
      <x:c r="O519" s="1"/>
    </x:row>
    <x:row r="520">
      <x:c r="A520" s="1" t="str">
        <x:v>S0519</x:v>
      </x:c>
      <x:c r="B520" s="1" t="n">
        <x:v>10</x:v>
      </x:c>
      <x:c r="C520" s="1" t="str">
        <x:v>basic</x:v>
      </x:c>
      <x:c r="D520" s="8" t="n">
        <x:v>9.99</x:v>
      </x:c>
      <x:c r="E520" s="1" t="n">
        <x:v>2</x:v>
      </x:c>
      <x:c r="F520" s="1" t="n">
        <x:v>0</x:v>
      </x:c>
      <x:c r="G520" s="1" t="n">
        <x:v>56</x:v>
      </x:c>
      <x:c r="H520" s="1" t="n">
        <x:v>0</x:v>
      </x:c>
      <x:c r="I520" s="1" t="n">
        <x:v>0</x:v>
      </x:c>
      <x:c r="J520" s="1" t="str">
        <x:v>yes</x:v>
      </x:c>
      <x:c r="K520" s="1" t="n">
        <x:f>2*H520+E520+IF(G520&gt;30,2,0)-IF(B520&gt;24,1,0)</x:f>
        <x:v>4</x:v>
      </x:c>
      <x:c r="L520" s="1" t="str">
        <x:f>IF(K520&gt;=3,"yes","no")</x:f>
        <x:v>yes</x:v>
      </x:c>
      <x:c r="M520" s="1"/>
      <x:c r="N520" s="1"/>
      <x:c r="O520" s="1"/>
    </x:row>
    <x:row r="521">
      <x:c r="A521" s="1" t="str">
        <x:v>S0520</x:v>
      </x:c>
      <x:c r="B521" s="1" t="n">
        <x:v>6</x:v>
      </x:c>
      <x:c r="C521" s="1" t="str">
        <x:v>basic</x:v>
      </x:c>
      <x:c r="D521" s="8" t="n">
        <x:v>9.99</x:v>
      </x:c>
      <x:c r="E521" s="1" t="n">
        <x:v>0</x:v>
      </x:c>
      <x:c r="F521" s="1" t="n">
        <x:v>27</x:v>
      </x:c>
      <x:c r="G521" s="1" t="n">
        <x:v>1</x:v>
      </x:c>
      <x:c r="H521" s="1" t="n">
        <x:v>1</x:v>
      </x:c>
      <x:c r="I521" s="1" t="n">
        <x:v>0</x:v>
      </x:c>
      <x:c r="J521" s="1" t="str">
        <x:v>no</x:v>
      </x:c>
      <x:c r="K521" s="1" t="n">
        <x:f>2*H521+E521+IF(G521&gt;30,2,0)-IF(B521&gt;24,1,0)</x:f>
        <x:v>2</x:v>
      </x:c>
      <x:c r="L521" s="1" t="str">
        <x:f>IF(K521&gt;=3,"yes","no")</x:f>
        <x:v>no</x:v>
      </x:c>
      <x:c r="M521" s="1"/>
      <x:c r="N521" s="1"/>
      <x:c r="O521" s="1"/>
    </x:row>
    <x:row r="522">
      <x:c r="A522" s="1" t="str">
        <x:v>S0521</x:v>
      </x:c>
      <x:c r="B522" s="1" t="n">
        <x:v>46</x:v>
      </x:c>
      <x:c r="C522" s="1" t="str">
        <x:v>premium</x:v>
      </x:c>
      <x:c r="D522" s="8" t="n">
        <x:v>15.99</x:v>
      </x:c>
      <x:c r="E522" s="1" t="n">
        <x:v>0</x:v>
      </x:c>
      <x:c r="F522" s="1" t="n">
        <x:v>10</x:v>
      </x:c>
      <x:c r="G522" s="1" t="n">
        <x:v>7</x:v>
      </x:c>
      <x:c r="H522" s="1" t="n">
        <x:v>0</x:v>
      </x:c>
      <x:c r="I522" s="1" t="n">
        <x:v>0</x:v>
      </x:c>
      <x:c r="J522" s="1" t="str">
        <x:v>no</x:v>
      </x:c>
      <x:c r="K522" s="1" t="n">
        <x:f>2*H522+E522+IF(G522&gt;30,2,0)-IF(B522&gt;24,1,0)</x:f>
        <x:v>-1</x:v>
      </x:c>
      <x:c r="L522" s="1" t="str">
        <x:f>IF(K522&gt;=3,"yes","no")</x:f>
        <x:v>no</x:v>
      </x:c>
      <x:c r="M522" s="1"/>
      <x:c r="N522" s="1"/>
      <x:c r="O522" s="1"/>
    </x:row>
    <x:row r="523">
      <x:c r="A523" s="1" t="str">
        <x:v>S0522</x:v>
      </x:c>
      <x:c r="B523" s="1" t="n">
        <x:v>10</x:v>
      </x:c>
      <x:c r="C523" s="1" t="str">
        <x:v>basic</x:v>
      </x:c>
      <x:c r="D523" s="8" t="n">
        <x:v>9.99</x:v>
      </x:c>
      <x:c r="E523" s="1" t="n">
        <x:v>3</x:v>
      </x:c>
      <x:c r="F523" s="1" t="n">
        <x:v>13</x:v>
      </x:c>
      <x:c r="G523" s="1" t="n">
        <x:v>11</x:v>
      </x:c>
      <x:c r="H523" s="1" t="n">
        <x:v>0</x:v>
      </x:c>
      <x:c r="I523" s="1" t="n">
        <x:v>0</x:v>
      </x:c>
      <x:c r="J523" s="1" t="str">
        <x:v>yes</x:v>
      </x:c>
      <x:c r="K523" s="1" t="n">
        <x:f>2*H523+E523+IF(G523&gt;30,2,0)-IF(B523&gt;24,1,0)</x:f>
        <x:v>3</x:v>
      </x:c>
      <x:c r="L523" s="1" t="str">
        <x:f>IF(K523&gt;=3,"yes","no")</x:f>
        <x:v>yes</x:v>
      </x:c>
      <x:c r="M523" s="1"/>
      <x:c r="N523" s="1"/>
      <x:c r="O523" s="1"/>
    </x:row>
    <x:row r="524">
      <x:c r="A524" s="1" t="str">
        <x:v>S0523</x:v>
      </x:c>
      <x:c r="B524" s="1" t="n">
        <x:v>27</x:v>
      </x:c>
      <x:c r="C524" s="1" t="str">
        <x:v>premium</x:v>
      </x:c>
      <x:c r="D524" s="8" t="n">
        <x:v>15.99</x:v>
      </x:c>
      <x:c r="E524" s="1" t="n">
        <x:v>0</x:v>
      </x:c>
      <x:c r="F524" s="1" t="n">
        <x:v>23</x:v>
      </x:c>
      <x:c r="G524" s="1" t="n">
        <x:v>3</x:v>
      </x:c>
      <x:c r="H524" s="1" t="n">
        <x:v>0</x:v>
      </x:c>
      <x:c r="I524" s="1" t="n">
        <x:v>0</x:v>
      </x:c>
      <x:c r="J524" s="1" t="str">
        <x:v>no</x:v>
      </x:c>
      <x:c r="K524" s="1" t="n">
        <x:f>2*H524+E524+IF(G524&gt;30,2,0)-IF(B524&gt;24,1,0)</x:f>
        <x:v>-1</x:v>
      </x:c>
      <x:c r="L524" s="1" t="str">
        <x:f>IF(K524&gt;=3,"yes","no")</x:f>
        <x:v>no</x:v>
      </x:c>
      <x:c r="M524" s="1"/>
      <x:c r="N524" s="1"/>
      <x:c r="O524" s="1"/>
    </x:row>
    <x:row r="525">
      <x:c r="A525" s="1" t="str">
        <x:v>S0524</x:v>
      </x:c>
      <x:c r="B525" s="1" t="n">
        <x:v>3</x:v>
      </x:c>
      <x:c r="C525" s="1" t="str">
        <x:v>basic</x:v>
      </x:c>
      <x:c r="D525" s="8" t="n">
        <x:v>9.99</x:v>
      </x:c>
      <x:c r="E525" s="1" t="n">
        <x:v>0</x:v>
      </x:c>
      <x:c r="F525" s="1" t="n">
        <x:v>11</x:v>
      </x:c>
      <x:c r="G525" s="1" t="n">
        <x:v>4</x:v>
      </x:c>
      <x:c r="H525" s="1" t="n">
        <x:v>1</x:v>
      </x:c>
      <x:c r="I525" s="1" t="n">
        <x:v>0</x:v>
      </x:c>
      <x:c r="J525" s="1" t="str">
        <x:v>no</x:v>
      </x:c>
      <x:c r="K525" s="1" t="n">
        <x:f>2*H525+E525+IF(G525&gt;30,2,0)-IF(B525&gt;24,1,0)</x:f>
        <x:v>2</x:v>
      </x:c>
      <x:c r="L525" s="1" t="str">
        <x:f>IF(K525&gt;=3,"yes","no")</x:f>
        <x:v>no</x:v>
      </x:c>
      <x:c r="M525" s="1"/>
      <x:c r="N525" s="1"/>
      <x:c r="O525" s="1"/>
    </x:row>
    <x:row r="526">
      <x:c r="A526" s="1" t="str">
        <x:v>S0525</x:v>
      </x:c>
      <x:c r="B526" s="1" t="n">
        <x:v>22</x:v>
      </x:c>
      <x:c r="C526" s="1" t="str">
        <x:v>basic</x:v>
      </x:c>
      <x:c r="D526" s="8" t="n">
        <x:v>9.99</x:v>
      </x:c>
      <x:c r="E526" s="1" t="n">
        <x:v>1</x:v>
      </x:c>
      <x:c r="F526" s="1" t="n">
        <x:v>17</x:v>
      </x:c>
      <x:c r="G526" s="1" t="n">
        <x:v>3</x:v>
      </x:c>
      <x:c r="H526" s="1" t="n">
        <x:v>0</x:v>
      </x:c>
      <x:c r="I526" s="1" t="n">
        <x:v>0</x:v>
      </x:c>
      <x:c r="J526" s="1" t="str">
        <x:v>no</x:v>
      </x:c>
      <x:c r="K526" s="1" t="n">
        <x:f>2*H526+E526+IF(G526&gt;30,2,0)-IF(B526&gt;24,1,0)</x:f>
        <x:v>1</x:v>
      </x:c>
      <x:c r="L526" s="1" t="str">
        <x:f>IF(K526&gt;=3,"yes","no")</x:f>
        <x:v>no</x:v>
      </x:c>
      <x:c r="M526" s="1"/>
      <x:c r="N526" s="1"/>
      <x:c r="O526" s="1"/>
    </x:row>
    <x:row r="527">
      <x:c r="A527" s="1" t="str">
        <x:v>S0526</x:v>
      </x:c>
      <x:c r="B527" s="1" t="n">
        <x:v>6</x:v>
      </x:c>
      <x:c r="C527" s="1" t="str">
        <x:v>premium</x:v>
      </x:c>
      <x:c r="D527" s="8" t="n">
        <x:v>15.99</x:v>
      </x:c>
      <x:c r="E527" s="1" t="n">
        <x:v>0</x:v>
      </x:c>
      <x:c r="F527" s="1" t="n">
        <x:v>17</x:v>
      </x:c>
      <x:c r="G527" s="1" t="n">
        <x:v>3</x:v>
      </x:c>
      <x:c r="H527" s="1" t="n">
        <x:v>0</x:v>
      </x:c>
      <x:c r="I527" s="1" t="n">
        <x:v>0</x:v>
      </x:c>
      <x:c r="J527" s="1" t="str">
        <x:v>no</x:v>
      </x:c>
      <x:c r="K527" s="1" t="n">
        <x:f>2*H527+E527+IF(G527&gt;30,2,0)-IF(B527&gt;24,1,0)</x:f>
        <x:v>0</x:v>
      </x:c>
      <x:c r="L527" s="1" t="str">
        <x:f>IF(K527&gt;=3,"yes","no")</x:f>
        <x:v>no</x:v>
      </x:c>
      <x:c r="M527" s="1"/>
      <x:c r="N527" s="1"/>
      <x:c r="O527" s="1"/>
    </x:row>
    <x:row r="528">
      <x:c r="A528" s="1" t="str">
        <x:v>S0527</x:v>
      </x:c>
      <x:c r="B528" s="1" t="n">
        <x:v>9</x:v>
      </x:c>
      <x:c r="C528" s="1" t="str">
        <x:v>basic</x:v>
      </x:c>
      <x:c r="D528" s="8" t="n">
        <x:v>9.99</x:v>
      </x:c>
      <x:c r="E528" s="1" t="n">
        <x:v>0</x:v>
      </x:c>
      <x:c r="F528" s="1" t="n">
        <x:v>20</x:v>
      </x:c>
      <x:c r="G528" s="1" t="n">
        <x:v>0</x:v>
      </x:c>
      <x:c r="H528" s="1" t="n">
        <x:v>0</x:v>
      </x:c>
      <x:c r="I528" s="1" t="n">
        <x:v>0</x:v>
      </x:c>
      <x:c r="J528" s="1" t="str">
        <x:v>no</x:v>
      </x:c>
      <x:c r="K528" s="1" t="n">
        <x:f>2*H528+E528+IF(G528&gt;30,2,0)-IF(B528&gt;24,1,0)</x:f>
        <x:v>0</x:v>
      </x:c>
      <x:c r="L528" s="1" t="str">
        <x:f>IF(K528&gt;=3,"yes","no")</x:f>
        <x:v>no</x:v>
      </x:c>
      <x:c r="M528" s="1"/>
      <x:c r="N528" s="1"/>
      <x:c r="O528" s="1"/>
    </x:row>
    <x:row r="529">
      <x:c r="A529" s="1" t="str">
        <x:v>S0528</x:v>
      </x:c>
      <x:c r="B529" s="1" t="n">
        <x:v>8</x:v>
      </x:c>
      <x:c r="C529" s="1" t="str">
        <x:v>basic</x:v>
      </x:c>
      <x:c r="D529" s="8" t="n">
        <x:v>9.99</x:v>
      </x:c>
      <x:c r="E529" s="1" t="n">
        <x:v>0</x:v>
      </x:c>
      <x:c r="F529" s="1" t="n">
        <x:v>10</x:v>
      </x:c>
      <x:c r="G529" s="1" t="n">
        <x:v>30</x:v>
      </x:c>
      <x:c r="H529" s="1" t="n">
        <x:v>0</x:v>
      </x:c>
      <x:c r="I529" s="1" t="n">
        <x:v>0</x:v>
      </x:c>
      <x:c r="J529" s="1" t="str">
        <x:v>no</x:v>
      </x:c>
      <x:c r="K529" s="1" t="n">
        <x:f>2*H529+E529+IF(G529&gt;30,2,0)-IF(B529&gt;24,1,0)</x:f>
        <x:v>0</x:v>
      </x:c>
      <x:c r="L529" s="1" t="str">
        <x:f>IF(K529&gt;=3,"yes","no")</x:f>
        <x:v>no</x:v>
      </x:c>
      <x:c r="M529" s="1"/>
      <x:c r="N529" s="1"/>
      <x:c r="O529" s="1"/>
    </x:row>
    <x:row r="530">
      <x:c r="A530" s="1" t="str">
        <x:v>S0529</x:v>
      </x:c>
      <x:c r="B530" s="1" t="n">
        <x:v>8</x:v>
      </x:c>
      <x:c r="C530" s="1" t="str">
        <x:v>basic</x:v>
      </x:c>
      <x:c r="D530" s="8" t="n">
        <x:v>9.99</x:v>
      </x:c>
      <x:c r="E530" s="1" t="n">
        <x:v>0</x:v>
      </x:c>
      <x:c r="F530" s="1" t="n">
        <x:v>3</x:v>
      </x:c>
      <x:c r="G530" s="1" t="n">
        <x:v>21</x:v>
      </x:c>
      <x:c r="H530" s="1" t="n">
        <x:v>1</x:v>
      </x:c>
      <x:c r="I530" s="1" t="n">
        <x:v>1</x:v>
      </x:c>
      <x:c r="J530" s="1" t="str">
        <x:v>yes</x:v>
      </x:c>
      <x:c r="K530" s="1" t="n">
        <x:f>2*H530+E530+IF(G530&gt;30,2,0)-IF(B530&gt;24,1,0)</x:f>
        <x:v>2</x:v>
      </x:c>
      <x:c r="L530" s="1" t="str">
        <x:f>IF(K530&gt;=3,"yes","no")</x:f>
        <x:v>no</x:v>
      </x:c>
      <x:c r="M530" s="1"/>
      <x:c r="N530" s="1"/>
      <x:c r="O530" s="1"/>
    </x:row>
    <x:row r="531">
      <x:c r="A531" s="1" t="str">
        <x:v>S0530</x:v>
      </x:c>
      <x:c r="B531" s="1" t="n">
        <x:v>37</x:v>
      </x:c>
      <x:c r="C531" s="1" t="str">
        <x:v>basic</x:v>
      </x:c>
      <x:c r="D531" s="8" t="n">
        <x:v>9.99</x:v>
      </x:c>
      <x:c r="E531" s="1" t="n">
        <x:v>1</x:v>
      </x:c>
      <x:c r="F531" s="1" t="n">
        <x:v>16</x:v>
      </x:c>
      <x:c r="G531" s="1" t="n">
        <x:v>0</x:v>
      </x:c>
      <x:c r="H531" s="1" t="n">
        <x:v>1</x:v>
      </x:c>
      <x:c r="I531" s="1" t="n">
        <x:v>0</x:v>
      </x:c>
      <x:c r="J531" s="1" t="str">
        <x:v>no</x:v>
      </x:c>
      <x:c r="K531" s="1" t="n">
        <x:f>2*H531+E531+IF(G531&gt;30,2,0)-IF(B531&gt;24,1,0)</x:f>
        <x:v>2</x:v>
      </x:c>
      <x:c r="L531" s="1" t="str">
        <x:f>IF(K531&gt;=3,"yes","no")</x:f>
        <x:v>no</x:v>
      </x:c>
      <x:c r="M531" s="1"/>
      <x:c r="N531" s="1"/>
      <x:c r="O531" s="1"/>
    </x:row>
    <x:row r="532">
      <x:c r="A532" s="1" t="str">
        <x:v>S0531</x:v>
      </x:c>
      <x:c r="B532" s="1" t="n">
        <x:v>15</x:v>
      </x:c>
      <x:c r="C532" s="1" t="str">
        <x:v>premium</x:v>
      </x:c>
      <x:c r="D532" s="8" t="n">
        <x:v>15.99</x:v>
      </x:c>
      <x:c r="E532" s="1" t="n">
        <x:v>1</x:v>
      </x:c>
      <x:c r="F532" s="1" t="n">
        <x:v>0</x:v>
      </x:c>
      <x:c r="G532" s="1" t="n">
        <x:v>48</x:v>
      </x:c>
      <x:c r="H532" s="1" t="n">
        <x:v>0</x:v>
      </x:c>
      <x:c r="I532" s="1" t="n">
        <x:v>0</x:v>
      </x:c>
      <x:c r="J532" s="1" t="str">
        <x:v>no</x:v>
      </x:c>
      <x:c r="K532" s="1" t="n">
        <x:f>2*H532+E532+IF(G532&gt;30,2,0)-IF(B532&gt;24,1,0)</x:f>
        <x:v>3</x:v>
      </x:c>
      <x:c r="L532" s="1" t="str">
        <x:f>IF(K532&gt;=3,"yes","no")</x:f>
        <x:v>yes</x:v>
      </x:c>
      <x:c r="M532" s="1"/>
      <x:c r="N532" s="1"/>
      <x:c r="O532" s="1"/>
    </x:row>
    <x:row r="533">
      <x:c r="A533" s="1" t="str">
        <x:v>S0532</x:v>
      </x:c>
      <x:c r="B533" s="1" t="n">
        <x:v>27</x:v>
      </x:c>
      <x:c r="C533" s="1" t="str">
        <x:v>basic</x:v>
      </x:c>
      <x:c r="D533" s="8" t="n">
        <x:v>9.99</x:v>
      </x:c>
      <x:c r="E533" s="1" t="n">
        <x:v>1</x:v>
      </x:c>
      <x:c r="F533" s="1" t="n">
        <x:v>21</x:v>
      </x:c>
      <x:c r="G533" s="1" t="n">
        <x:v>26</x:v>
      </x:c>
      <x:c r="H533" s="1" t="n">
        <x:v>0</x:v>
      </x:c>
      <x:c r="I533" s="1" t="n">
        <x:v>0</x:v>
      </x:c>
      <x:c r="J533" s="1" t="str">
        <x:v>no</x:v>
      </x:c>
      <x:c r="K533" s="1" t="n">
        <x:f>2*H533+E533+IF(G533&gt;30,2,0)-IF(B533&gt;24,1,0)</x:f>
        <x:v>0</x:v>
      </x:c>
      <x:c r="L533" s="1" t="str">
        <x:f>IF(K533&gt;=3,"yes","no")</x:f>
        <x:v>no</x:v>
      </x:c>
      <x:c r="M533" s="1"/>
      <x:c r="N533" s="1"/>
      <x:c r="O533" s="1"/>
    </x:row>
    <x:row r="534">
      <x:c r="A534" s="1" t="str">
        <x:v>S0533</x:v>
      </x:c>
      <x:c r="B534" s="1" t="n">
        <x:v>40</x:v>
      </x:c>
      <x:c r="C534" s="1" t="str">
        <x:v>basic</x:v>
      </x:c>
      <x:c r="D534" s="8" t="n">
        <x:v>9.99</x:v>
      </x:c>
      <x:c r="E534" s="1" t="n">
        <x:v>2</x:v>
      </x:c>
      <x:c r="F534" s="1" t="n">
        <x:v>10</x:v>
      </x:c>
      <x:c r="G534" s="1" t="n">
        <x:v>4</x:v>
      </x:c>
      <x:c r="H534" s="1" t="n">
        <x:v>0</x:v>
      </x:c>
      <x:c r="I534" s="1" t="n">
        <x:v>0</x:v>
      </x:c>
      <x:c r="J534" s="1" t="str">
        <x:v>no</x:v>
      </x:c>
      <x:c r="K534" s="1" t="n">
        <x:f>2*H534+E534+IF(G534&gt;30,2,0)-IF(B534&gt;24,1,0)</x:f>
        <x:v>1</x:v>
      </x:c>
      <x:c r="L534" s="1" t="str">
        <x:f>IF(K534&gt;=3,"yes","no")</x:f>
        <x:v>no</x:v>
      </x:c>
      <x:c r="M534" s="1"/>
      <x:c r="N534" s="1"/>
      <x:c r="O534" s="1"/>
    </x:row>
    <x:row r="535">
      <x:c r="A535" s="1" t="str">
        <x:v>S0534</x:v>
      </x:c>
      <x:c r="B535" s="1" t="n">
        <x:v>47</x:v>
      </x:c>
      <x:c r="C535" s="1" t="str">
        <x:v>premium</x:v>
      </x:c>
      <x:c r="D535" s="8" t="n">
        <x:v>15.99</x:v>
      </x:c>
      <x:c r="E535" s="1" t="n">
        <x:v>2</x:v>
      </x:c>
      <x:c r="F535" s="1" t="n">
        <x:v>20</x:v>
      </x:c>
      <x:c r="G535" s="1" t="n">
        <x:v>4</x:v>
      </x:c>
      <x:c r="H535" s="1" t="n">
        <x:v>0</x:v>
      </x:c>
      <x:c r="I535" s="1" t="n">
        <x:v>0</x:v>
      </x:c>
      <x:c r="J535" s="1" t="str">
        <x:v>no</x:v>
      </x:c>
      <x:c r="K535" s="1" t="n">
        <x:f>2*H535+E535+IF(G535&gt;30,2,0)-IF(B535&gt;24,1,0)</x:f>
        <x:v>1</x:v>
      </x:c>
      <x:c r="L535" s="1" t="str">
        <x:f>IF(K535&gt;=3,"yes","no")</x:f>
        <x:v>no</x:v>
      </x:c>
      <x:c r="M535" s="1"/>
      <x:c r="N535" s="1"/>
      <x:c r="O535" s="1"/>
    </x:row>
    <x:row r="536">
      <x:c r="A536" s="1" t="str">
        <x:v>S0535</x:v>
      </x:c>
      <x:c r="B536" s="1" t="n">
        <x:v>5</x:v>
      </x:c>
      <x:c r="C536" s="1" t="str">
        <x:v>basic</x:v>
      </x:c>
      <x:c r="D536" s="8" t="n">
        <x:v>9.99</x:v>
      </x:c>
      <x:c r="E536" s="1" t="n">
        <x:v>0</x:v>
      </x:c>
      <x:c r="F536" s="1" t="n">
        <x:v>15</x:v>
      </x:c>
      <x:c r="G536" s="1" t="n">
        <x:v>4</x:v>
      </x:c>
      <x:c r="H536" s="1" t="n">
        <x:v>0</x:v>
      </x:c>
      <x:c r="I536" s="1" t="n">
        <x:v>0</x:v>
      </x:c>
      <x:c r="J536" s="1" t="str">
        <x:v>no</x:v>
      </x:c>
      <x:c r="K536" s="1" t="n">
        <x:f>2*H536+E536+IF(G536&gt;30,2,0)-IF(B536&gt;24,1,0)</x:f>
        <x:v>0</x:v>
      </x:c>
      <x:c r="L536" s="1" t="str">
        <x:f>IF(K536&gt;=3,"yes","no")</x:f>
        <x:v>no</x:v>
      </x:c>
      <x:c r="M536" s="1"/>
      <x:c r="N536" s="1"/>
      <x:c r="O536" s="1"/>
    </x:row>
    <x:row r="537">
      <x:c r="A537" s="1" t="str">
        <x:v>S0536</x:v>
      </x:c>
      <x:c r="B537" s="1" t="n">
        <x:v>3</x:v>
      </x:c>
      <x:c r="C537" s="1" t="str">
        <x:v>basic</x:v>
      </x:c>
      <x:c r="D537" s="8" t="n">
        <x:v>9.99</x:v>
      </x:c>
      <x:c r="E537" s="1" t="n">
        <x:v>3</x:v>
      </x:c>
      <x:c r="F537" s="1" t="n">
        <x:v>0</x:v>
      </x:c>
      <x:c r="G537" s="1" t="n">
        <x:v>59</x:v>
      </x:c>
      <x:c r="H537" s="1" t="n">
        <x:v>0</x:v>
      </x:c>
      <x:c r="I537" s="1" t="n">
        <x:v>0</x:v>
      </x:c>
      <x:c r="J537" s="1" t="str">
        <x:v>yes</x:v>
      </x:c>
      <x:c r="K537" s="1" t="n">
        <x:f>2*H537+E537+IF(G537&gt;30,2,0)-IF(B537&gt;24,1,0)</x:f>
        <x:v>5</x:v>
      </x:c>
      <x:c r="L537" s="1" t="str">
        <x:f>IF(K537&gt;=3,"yes","no")</x:f>
        <x:v>yes</x:v>
      </x:c>
      <x:c r="M537" s="1"/>
      <x:c r="N537" s="1"/>
      <x:c r="O537" s="1"/>
    </x:row>
    <x:row r="538">
      <x:c r="A538" s="1" t="str">
        <x:v>S0537</x:v>
      </x:c>
      <x:c r="B538" s="1" t="n">
        <x:v>11</x:v>
      </x:c>
      <x:c r="C538" s="1" t="str">
        <x:v>premium</x:v>
      </x:c>
      <x:c r="D538" s="8" t="n">
        <x:v>15.99</x:v>
      </x:c>
      <x:c r="E538" s="1" t="n">
        <x:v>0</x:v>
      </x:c>
      <x:c r="F538" s="1" t="n">
        <x:v>16</x:v>
      </x:c>
      <x:c r="G538" s="1" t="n">
        <x:v>3</x:v>
      </x:c>
      <x:c r="H538" s="1" t="n">
        <x:v>0</x:v>
      </x:c>
      <x:c r="I538" s="1" t="n">
        <x:v>0</x:v>
      </x:c>
      <x:c r="J538" s="1" t="str">
        <x:v>no</x:v>
      </x:c>
      <x:c r="K538" s="1" t="n">
        <x:f>2*H538+E538+IF(G538&gt;30,2,0)-IF(B538&gt;24,1,0)</x:f>
        <x:v>0</x:v>
      </x:c>
      <x:c r="L538" s="1" t="str">
        <x:f>IF(K538&gt;=3,"yes","no")</x:f>
        <x:v>no</x:v>
      </x:c>
      <x:c r="M538" s="1"/>
      <x:c r="N538" s="1"/>
      <x:c r="O538" s="1"/>
    </x:row>
    <x:row r="539">
      <x:c r="A539" s="1" t="str">
        <x:v>S0538</x:v>
      </x:c>
      <x:c r="B539" s="1" t="n">
        <x:v>47</x:v>
      </x:c>
      <x:c r="C539" s="1" t="str">
        <x:v>basic</x:v>
      </x:c>
      <x:c r="D539" s="8" t="n">
        <x:v>9.99</x:v>
      </x:c>
      <x:c r="E539" s="1" t="n">
        <x:v>2</x:v>
      </x:c>
      <x:c r="F539" s="1" t="n">
        <x:v>18</x:v>
      </x:c>
      <x:c r="G539" s="1" t="n">
        <x:v>17</x:v>
      </x:c>
      <x:c r="H539" s="1" t="n">
        <x:v>0</x:v>
      </x:c>
      <x:c r="I539" s="1" t="n">
        <x:v>1</x:v>
      </x:c>
      <x:c r="J539" s="1" t="str">
        <x:v>no</x:v>
      </x:c>
      <x:c r="K539" s="1" t="n">
        <x:f>2*H539+E539+IF(G539&gt;30,2,0)-IF(B539&gt;24,1,0)</x:f>
        <x:v>1</x:v>
      </x:c>
      <x:c r="L539" s="1" t="str">
        <x:f>IF(K539&gt;=3,"yes","no")</x:f>
        <x:v>no</x:v>
      </x:c>
      <x:c r="M539" s="1"/>
      <x:c r="N539" s="1"/>
      <x:c r="O539" s="1"/>
    </x:row>
    <x:row r="540">
      <x:c r="A540" s="1" t="str">
        <x:v>S0539</x:v>
      </x:c>
      <x:c r="B540" s="1" t="n">
        <x:v>19</x:v>
      </x:c>
      <x:c r="C540" s="1" t="str">
        <x:v>basic</x:v>
      </x:c>
      <x:c r="D540" s="8" t="n">
        <x:v>9.99</x:v>
      </x:c>
      <x:c r="E540" s="1" t="n">
        <x:v>1</x:v>
      </x:c>
      <x:c r="F540" s="1" t="n">
        <x:v>24</x:v>
      </x:c>
      <x:c r="G540" s="1" t="n">
        <x:v>8</x:v>
      </x:c>
      <x:c r="H540" s="1" t="n">
        <x:v>0</x:v>
      </x:c>
      <x:c r="I540" s="1" t="n">
        <x:v>0</x:v>
      </x:c>
      <x:c r="J540" s="1" t="str">
        <x:v>no</x:v>
      </x:c>
      <x:c r="K540" s="1" t="n">
        <x:f>2*H540+E540+IF(G540&gt;30,2,0)-IF(B540&gt;24,1,0)</x:f>
        <x:v>1</x:v>
      </x:c>
      <x:c r="L540" s="1" t="str">
        <x:f>IF(K540&gt;=3,"yes","no")</x:f>
        <x:v>no</x:v>
      </x:c>
      <x:c r="M540" s="1"/>
      <x:c r="N540" s="1"/>
      <x:c r="O540" s="1"/>
    </x:row>
    <x:row r="541">
      <x:c r="A541" s="1" t="str">
        <x:v>S0540</x:v>
      </x:c>
      <x:c r="B541" s="1" t="n">
        <x:v>11</x:v>
      </x:c>
      <x:c r="C541" s="1" t="str">
        <x:v>basic</x:v>
      </x:c>
      <x:c r="D541" s="8" t="n">
        <x:v>9.99</x:v>
      </x:c>
      <x:c r="E541" s="1" t="n">
        <x:v>3</x:v>
      </x:c>
      <x:c r="F541" s="1" t="n">
        <x:v>0</x:v>
      </x:c>
      <x:c r="G541" s="1" t="n">
        <x:v>32</x:v>
      </x:c>
      <x:c r="H541" s="1" t="n">
        <x:v>0</x:v>
      </x:c>
      <x:c r="I541" s="1" t="n">
        <x:v>0</x:v>
      </x:c>
      <x:c r="J541" s="1" t="str">
        <x:v>yes</x:v>
      </x:c>
      <x:c r="K541" s="1" t="n">
        <x:f>2*H541+E541+IF(G541&gt;30,2,0)-IF(B541&gt;24,1,0)</x:f>
        <x:v>5</x:v>
      </x:c>
      <x:c r="L541" s="1" t="str">
        <x:f>IF(K541&gt;=3,"yes","no")</x:f>
        <x:v>yes</x:v>
      </x:c>
      <x:c r="M541" s="1"/>
      <x:c r="N541" s="1"/>
      <x:c r="O541" s="1"/>
    </x:row>
    <x:row r="542">
      <x:c r="A542" s="1" t="str">
        <x:v>S0541</x:v>
      </x:c>
      <x:c r="B542" s="1" t="n">
        <x:v>34</x:v>
      </x:c>
      <x:c r="C542" s="1" t="str">
        <x:v>basic</x:v>
      </x:c>
      <x:c r="D542" s="8" t="n">
        <x:v>9.99</x:v>
      </x:c>
      <x:c r="E542" s="1" t="n">
        <x:v>4</x:v>
      </x:c>
      <x:c r="F542" s="1" t="n">
        <x:v>0</x:v>
      </x:c>
      <x:c r="G542" s="1" t="n">
        <x:v>41</x:v>
      </x:c>
      <x:c r="H542" s="1" t="n">
        <x:v>0</x:v>
      </x:c>
      <x:c r="I542" s="1" t="n">
        <x:v>0</x:v>
      </x:c>
      <x:c r="J542" s="1" t="str">
        <x:v>yes</x:v>
      </x:c>
      <x:c r="K542" s="1" t="n">
        <x:f>2*H542+E542+IF(G542&gt;30,2,0)-IF(B542&gt;24,1,0)</x:f>
        <x:v>5</x:v>
      </x:c>
      <x:c r="L542" s="1" t="str">
        <x:f>IF(K542&gt;=3,"yes","no")</x:f>
        <x:v>yes</x:v>
      </x:c>
      <x:c r="M542" s="1"/>
      <x:c r="N542" s="1"/>
      <x:c r="O542" s="1"/>
    </x:row>
    <x:row r="543">
      <x:c r="A543" s="1" t="str">
        <x:v>S0542</x:v>
      </x:c>
      <x:c r="B543" s="1" t="n">
        <x:v>43</x:v>
      </x:c>
      <x:c r="C543" s="1" t="str">
        <x:v>basic</x:v>
      </x:c>
      <x:c r="D543" s="8" t="n">
        <x:v>9.99</x:v>
      </x:c>
      <x:c r="E543" s="1" t="n">
        <x:v>2</x:v>
      </x:c>
      <x:c r="F543" s="1" t="n">
        <x:v>0</x:v>
      </x:c>
      <x:c r="G543" s="1" t="n">
        <x:v>39</x:v>
      </x:c>
      <x:c r="H543" s="1" t="n">
        <x:v>0</x:v>
      </x:c>
      <x:c r="I543" s="1" t="n">
        <x:v>1</x:v>
      </x:c>
      <x:c r="J543" s="1" t="str">
        <x:v>no</x:v>
      </x:c>
      <x:c r="K543" s="1" t="n">
        <x:f>2*H543+E543+IF(G543&gt;30,2,0)-IF(B543&gt;24,1,0)</x:f>
        <x:v>3</x:v>
      </x:c>
      <x:c r="L543" s="1" t="str">
        <x:f>IF(K543&gt;=3,"yes","no")</x:f>
        <x:v>yes</x:v>
      </x:c>
      <x:c r="M543" s="1"/>
      <x:c r="N543" s="1"/>
      <x:c r="O543" s="1"/>
    </x:row>
    <x:row r="544">
      <x:c r="A544" s="1" t="str">
        <x:v>S0543</x:v>
      </x:c>
      <x:c r="B544" s="1" t="n">
        <x:v>1</x:v>
      </x:c>
      <x:c r="C544" s="1" t="str">
        <x:v>basic</x:v>
      </x:c>
      <x:c r="D544" s="8" t="n">
        <x:v>9.99</x:v>
      </x:c>
      <x:c r="E544" s="1" t="n">
        <x:v>0</x:v>
      </x:c>
      <x:c r="F544" s="1" t="n">
        <x:v>13</x:v>
      </x:c>
      <x:c r="G544" s="1" t="n">
        <x:v>28</x:v>
      </x:c>
      <x:c r="H544" s="1" t="n">
        <x:v>0</x:v>
      </x:c>
      <x:c r="I544" s="1" t="n">
        <x:v>0</x:v>
      </x:c>
      <x:c r="J544" s="1" t="str">
        <x:v>yes</x:v>
      </x:c>
      <x:c r="K544" s="1" t="n">
        <x:f>2*H544+E544+IF(G544&gt;30,2,0)-IF(B544&gt;24,1,0)</x:f>
        <x:v>0</x:v>
      </x:c>
      <x:c r="L544" s="1" t="str">
        <x:f>IF(K544&gt;=3,"yes","no")</x:f>
        <x:v>no</x:v>
      </x:c>
      <x:c r="M544" s="1"/>
      <x:c r="N544" s="1"/>
      <x:c r="O544" s="1"/>
    </x:row>
    <x:row r="545">
      <x:c r="A545" s="1" t="str">
        <x:v>S0544</x:v>
      </x:c>
      <x:c r="B545" s="1" t="n">
        <x:v>13</x:v>
      </x:c>
      <x:c r="C545" s="1" t="str">
        <x:v>premium</x:v>
      </x:c>
      <x:c r="D545" s="8" t="n">
        <x:v>15.99</x:v>
      </x:c>
      <x:c r="E545" s="1" t="n">
        <x:v>1</x:v>
      </x:c>
      <x:c r="F545" s="1" t="n">
        <x:v>8</x:v>
      </x:c>
      <x:c r="G545" s="1" t="n">
        <x:v>11</x:v>
      </x:c>
      <x:c r="H545" s="1" t="n">
        <x:v>0</x:v>
      </x:c>
      <x:c r="I545" s="1" t="n">
        <x:v>0</x:v>
      </x:c>
      <x:c r="J545" s="1" t="str">
        <x:v>no</x:v>
      </x:c>
      <x:c r="K545" s="1" t="n">
        <x:f>2*H545+E545+IF(G545&gt;30,2,0)-IF(B545&gt;24,1,0)</x:f>
        <x:v>1</x:v>
      </x:c>
      <x:c r="L545" s="1" t="str">
        <x:f>IF(K545&gt;=3,"yes","no")</x:f>
        <x:v>no</x:v>
      </x:c>
      <x:c r="M545" s="1"/>
      <x:c r="N545" s="1"/>
      <x:c r="O545" s="1"/>
    </x:row>
    <x:row r="546">
      <x:c r="A546" s="1" t="str">
        <x:v>S0545</x:v>
      </x:c>
      <x:c r="B546" s="1" t="n">
        <x:v>18</x:v>
      </x:c>
      <x:c r="C546" s="1" t="str">
        <x:v>premium</x:v>
      </x:c>
      <x:c r="D546" s="8" t="n">
        <x:v>15.99</x:v>
      </x:c>
      <x:c r="E546" s="1" t="n">
        <x:v>0</x:v>
      </x:c>
      <x:c r="F546" s="1" t="n">
        <x:v>27</x:v>
      </x:c>
      <x:c r="G546" s="1" t="n">
        <x:v>6</x:v>
      </x:c>
      <x:c r="H546" s="1" t="n">
        <x:v>0</x:v>
      </x:c>
      <x:c r="I546" s="1" t="n">
        <x:v>0</x:v>
      </x:c>
      <x:c r="J546" s="1" t="str">
        <x:v>no</x:v>
      </x:c>
      <x:c r="K546" s="1" t="n">
        <x:f>2*H546+E546+IF(G546&gt;30,2,0)-IF(B546&gt;24,1,0)</x:f>
        <x:v>0</x:v>
      </x:c>
      <x:c r="L546" s="1" t="str">
        <x:f>IF(K546&gt;=3,"yes","no")</x:f>
        <x:v>no</x:v>
      </x:c>
      <x:c r="M546" s="1"/>
      <x:c r="N546" s="1"/>
      <x:c r="O546" s="1"/>
    </x:row>
    <x:row r="547">
      <x:c r="A547" s="1" t="str">
        <x:v>S0546</x:v>
      </x:c>
      <x:c r="B547" s="1" t="n">
        <x:v>28</x:v>
      </x:c>
      <x:c r="C547" s="1" t="str">
        <x:v>basic</x:v>
      </x:c>
      <x:c r="D547" s="8" t="n">
        <x:v>9.99</x:v>
      </x:c>
      <x:c r="E547" s="1" t="n">
        <x:v>1</x:v>
      </x:c>
      <x:c r="F547" s="1" t="n">
        <x:v>14</x:v>
      </x:c>
      <x:c r="G547" s="1" t="n">
        <x:v>12</x:v>
      </x:c>
      <x:c r="H547" s="1" t="n">
        <x:v>0</x:v>
      </x:c>
      <x:c r="I547" s="1" t="n">
        <x:v>1</x:v>
      </x:c>
      <x:c r="J547" s="1" t="str">
        <x:v>no</x:v>
      </x:c>
      <x:c r="K547" s="1" t="n">
        <x:f>2*H547+E547+IF(G547&gt;30,2,0)-IF(B547&gt;24,1,0)</x:f>
        <x:v>0</x:v>
      </x:c>
      <x:c r="L547" s="1" t="str">
        <x:f>IF(K547&gt;=3,"yes","no")</x:f>
        <x:v>no</x:v>
      </x:c>
      <x:c r="M547" s="1"/>
      <x:c r="N547" s="1"/>
      <x:c r="O547" s="1"/>
    </x:row>
    <x:row r="548">
      <x:c r="A548" s="1" t="str">
        <x:v>S0547</x:v>
      </x:c>
      <x:c r="B548" s="1" t="n">
        <x:v>5</x:v>
      </x:c>
      <x:c r="C548" s="1" t="str">
        <x:v>basic</x:v>
      </x:c>
      <x:c r="D548" s="8" t="n">
        <x:v>9.99</x:v>
      </x:c>
      <x:c r="E548" s="1" t="n">
        <x:v>0</x:v>
      </x:c>
      <x:c r="F548" s="1" t="n">
        <x:v>0</x:v>
      </x:c>
      <x:c r="G548" s="1" t="n">
        <x:v>33</x:v>
      </x:c>
      <x:c r="H548" s="1" t="n">
        <x:v>0</x:v>
      </x:c>
      <x:c r="I548" s="1" t="n">
        <x:v>0</x:v>
      </x:c>
      <x:c r="J548" s="1" t="str">
        <x:v>yes</x:v>
      </x:c>
      <x:c r="K548" s="1" t="n">
        <x:f>2*H548+E548+IF(G548&gt;30,2,0)-IF(B548&gt;24,1,0)</x:f>
        <x:v>2</x:v>
      </x:c>
      <x:c r="L548" s="1" t="str">
        <x:f>IF(K548&gt;=3,"yes","no")</x:f>
        <x:v>no</x:v>
      </x:c>
      <x:c r="M548" s="1"/>
      <x:c r="N548" s="1"/>
      <x:c r="O548" s="1"/>
    </x:row>
    <x:row r="549">
      <x:c r="A549" s="1" t="str">
        <x:v>S0548</x:v>
      </x:c>
      <x:c r="B549" s="1" t="n">
        <x:v>24</x:v>
      </x:c>
      <x:c r="C549" s="1" t="str">
        <x:v>basic</x:v>
      </x:c>
      <x:c r="D549" s="8" t="n">
        <x:v>9.99</x:v>
      </x:c>
      <x:c r="E549" s="1" t="n">
        <x:v>0</x:v>
      </x:c>
      <x:c r="F549" s="1" t="n">
        <x:v>16</x:v>
      </x:c>
      <x:c r="G549" s="1" t="n">
        <x:v>7</x:v>
      </x:c>
      <x:c r="H549" s="1" t="n">
        <x:v>0</x:v>
      </x:c>
      <x:c r="I549" s="1" t="n">
        <x:v>0</x:v>
      </x:c>
      <x:c r="J549" s="1" t="str">
        <x:v>no</x:v>
      </x:c>
      <x:c r="K549" s="1" t="n">
        <x:f>2*H549+E549+IF(G549&gt;30,2,0)-IF(B549&gt;24,1,0)</x:f>
        <x:v>0</x:v>
      </x:c>
      <x:c r="L549" s="1" t="str">
        <x:f>IF(K549&gt;=3,"yes","no")</x:f>
        <x:v>no</x:v>
      </x:c>
      <x:c r="M549" s="1"/>
      <x:c r="N549" s="1"/>
      <x:c r="O549" s="1"/>
    </x:row>
    <x:row r="550">
      <x:c r="A550" s="1" t="str">
        <x:v>S0549</x:v>
      </x:c>
      <x:c r="B550" s="1" t="n">
        <x:v>33</x:v>
      </x:c>
      <x:c r="C550" s="1" t="str">
        <x:v>premium</x:v>
      </x:c>
      <x:c r="D550" s="8" t="n">
        <x:v>15.99</x:v>
      </x:c>
      <x:c r="E550" s="1" t="n">
        <x:v>1</x:v>
      </x:c>
      <x:c r="F550" s="1" t="n">
        <x:v>32</x:v>
      </x:c>
      <x:c r="G550" s="1" t="n">
        <x:v>11</x:v>
      </x:c>
      <x:c r="H550" s="1" t="n">
        <x:v>0</x:v>
      </x:c>
      <x:c r="I550" s="1" t="n">
        <x:v>1</x:v>
      </x:c>
      <x:c r="J550" s="1" t="str">
        <x:v>no</x:v>
      </x:c>
      <x:c r="K550" s="1" t="n">
        <x:f>2*H550+E550+IF(G550&gt;30,2,0)-IF(B550&gt;24,1,0)</x:f>
        <x:v>0</x:v>
      </x:c>
      <x:c r="L550" s="1" t="str">
        <x:f>IF(K550&gt;=3,"yes","no")</x:f>
        <x:v>no</x:v>
      </x:c>
      <x:c r="M550" s="1"/>
      <x:c r="N550" s="1"/>
      <x:c r="O550" s="1"/>
    </x:row>
    <x:row r="551">
      <x:c r="A551" s="1" t="str">
        <x:v>S0550</x:v>
      </x:c>
      <x:c r="B551" s="1" t="n">
        <x:v>45</x:v>
      </x:c>
      <x:c r="C551" s="1" t="str">
        <x:v>basic</x:v>
      </x:c>
      <x:c r="D551" s="8" t="n">
        <x:v>9.99</x:v>
      </x:c>
      <x:c r="E551" s="1" t="n">
        <x:v>0</x:v>
      </x:c>
      <x:c r="F551" s="1" t="n">
        <x:v>1</x:v>
      </x:c>
      <x:c r="G551" s="1" t="n">
        <x:v>16</x:v>
      </x:c>
      <x:c r="H551" s="1" t="n">
        <x:v>0</x:v>
      </x:c>
      <x:c r="I551" s="1" t="n">
        <x:v>0</x:v>
      </x:c>
      <x:c r="J551" s="1" t="str">
        <x:v>no</x:v>
      </x:c>
      <x:c r="K551" s="1" t="n">
        <x:f>2*H551+E551+IF(G551&gt;30,2,0)-IF(B551&gt;24,1,0)</x:f>
        <x:v>-1</x:v>
      </x:c>
      <x:c r="L551" s="1" t="str">
        <x:f>IF(K551&gt;=3,"yes","no")</x:f>
        <x:v>no</x:v>
      </x:c>
      <x:c r="M551" s="1"/>
      <x:c r="N551" s="1"/>
      <x:c r="O551" s="1"/>
    </x:row>
    <x:row r="552">
      <x:c r="A552" s="1" t="str">
        <x:v>S0551</x:v>
      </x:c>
      <x:c r="B552" s="1" t="n">
        <x:v>24</x:v>
      </x:c>
      <x:c r="C552" s="1" t="str">
        <x:v>basic</x:v>
      </x:c>
      <x:c r="D552" s="8" t="n">
        <x:v>9.99</x:v>
      </x:c>
      <x:c r="E552" s="1" t="n">
        <x:v>0</x:v>
      </x:c>
      <x:c r="F552" s="1" t="n">
        <x:v>28</x:v>
      </x:c>
      <x:c r="G552" s="1" t="n">
        <x:v>6</x:v>
      </x:c>
      <x:c r="H552" s="1" t="n">
        <x:v>0</x:v>
      </x:c>
      <x:c r="I552" s="1" t="n">
        <x:v>0</x:v>
      </x:c>
      <x:c r="J552" s="1" t="str">
        <x:v>no</x:v>
      </x:c>
      <x:c r="K552" s="1" t="n">
        <x:f>2*H552+E552+IF(G552&gt;30,2,0)-IF(B552&gt;24,1,0)</x:f>
        <x:v>0</x:v>
      </x:c>
      <x:c r="L552" s="1" t="str">
        <x:f>IF(K552&gt;=3,"yes","no")</x:f>
        <x:v>no</x:v>
      </x:c>
      <x:c r="M552" s="1"/>
      <x:c r="N552" s="1"/>
      <x:c r="O552" s="1"/>
    </x:row>
    <x:row r="553">
      <x:c r="A553" s="1" t="str">
        <x:v>S0552</x:v>
      </x:c>
      <x:c r="B553" s="1" t="n">
        <x:v>26</x:v>
      </x:c>
      <x:c r="C553" s="1" t="str">
        <x:v>premium</x:v>
      </x:c>
      <x:c r="D553" s="8" t="n">
        <x:v>15.99</x:v>
      </x:c>
      <x:c r="E553" s="1" t="n">
        <x:v>0</x:v>
      </x:c>
      <x:c r="F553" s="1" t="n">
        <x:v>10</x:v>
      </x:c>
      <x:c r="G553" s="1" t="n">
        <x:v>18</x:v>
      </x:c>
      <x:c r="H553" s="1" t="n">
        <x:v>0</x:v>
      </x:c>
      <x:c r="I553" s="1" t="n">
        <x:v>0</x:v>
      </x:c>
      <x:c r="J553" s="1" t="str">
        <x:v>no</x:v>
      </x:c>
      <x:c r="K553" s="1" t="n">
        <x:f>2*H553+E553+IF(G553&gt;30,2,0)-IF(B553&gt;24,1,0)</x:f>
        <x:v>-1</x:v>
      </x:c>
      <x:c r="L553" s="1" t="str">
        <x:f>IF(K553&gt;=3,"yes","no")</x:f>
        <x:v>no</x:v>
      </x:c>
      <x:c r="M553" s="1"/>
      <x:c r="N553" s="1"/>
      <x:c r="O553" s="1"/>
    </x:row>
    <x:row r="554">
      <x:c r="A554" s="1" t="str">
        <x:v>S0553</x:v>
      </x:c>
      <x:c r="B554" s="1" t="n">
        <x:v>36</x:v>
      </x:c>
      <x:c r="C554" s="1" t="str">
        <x:v>premium</x:v>
      </x:c>
      <x:c r="D554" s="8" t="n">
        <x:v>15.99</x:v>
      </x:c>
      <x:c r="E554" s="1" t="n">
        <x:v>1</x:v>
      </x:c>
      <x:c r="F554" s="1" t="n">
        <x:v>12</x:v>
      </x:c>
      <x:c r="G554" s="1" t="n">
        <x:v>0</x:v>
      </x:c>
      <x:c r="H554" s="1" t="n">
        <x:v>0</x:v>
      </x:c>
      <x:c r="I554" s="1" t="n">
        <x:v>0</x:v>
      </x:c>
      <x:c r="J554" s="1" t="str">
        <x:v>no</x:v>
      </x:c>
      <x:c r="K554" s="1" t="n">
        <x:f>2*H554+E554+IF(G554&gt;30,2,0)-IF(B554&gt;24,1,0)</x:f>
        <x:v>0</x:v>
      </x:c>
      <x:c r="L554" s="1" t="str">
        <x:f>IF(K554&gt;=3,"yes","no")</x:f>
        <x:v>no</x:v>
      </x:c>
      <x:c r="M554" s="1"/>
      <x:c r="N554" s="1"/>
      <x:c r="O554" s="1"/>
    </x:row>
    <x:row r="555">
      <x:c r="A555" s="1" t="str">
        <x:v>S0554</x:v>
      </x:c>
      <x:c r="B555" s="1" t="n">
        <x:v>47</x:v>
      </x:c>
      <x:c r="C555" s="1" t="str">
        <x:v>premium</x:v>
      </x:c>
      <x:c r="D555" s="8" t="n">
        <x:v>15.99</x:v>
      </x:c>
      <x:c r="E555" s="1" t="n">
        <x:v>0</x:v>
      </x:c>
      <x:c r="F555" s="1" t="n">
        <x:v>32</x:v>
      </x:c>
      <x:c r="G555" s="1" t="n">
        <x:v>10</x:v>
      </x:c>
      <x:c r="H555" s="1" t="n">
        <x:v>0</x:v>
      </x:c>
      <x:c r="I555" s="1" t="n">
        <x:v>0</x:v>
      </x:c>
      <x:c r="J555" s="1" t="str">
        <x:v>no</x:v>
      </x:c>
      <x:c r="K555" s="1" t="n">
        <x:f>2*H555+E555+IF(G555&gt;30,2,0)-IF(B555&gt;24,1,0)</x:f>
        <x:v>-1</x:v>
      </x:c>
      <x:c r="L555" s="1" t="str">
        <x:f>IF(K555&gt;=3,"yes","no")</x:f>
        <x:v>no</x:v>
      </x:c>
      <x:c r="M555" s="1"/>
      <x:c r="N555" s="1"/>
      <x:c r="O555" s="1"/>
    </x:row>
    <x:row r="556">
      <x:c r="A556" s="1" t="str">
        <x:v>S0555</x:v>
      </x:c>
      <x:c r="B556" s="1" t="n">
        <x:v>11</x:v>
      </x:c>
      <x:c r="C556" s="1" t="str">
        <x:v>basic</x:v>
      </x:c>
      <x:c r="D556" s="8" t="n">
        <x:v>9.99</x:v>
      </x:c>
      <x:c r="E556" s="1" t="n">
        <x:v>1</x:v>
      </x:c>
      <x:c r="F556" s="1" t="n">
        <x:v>11</x:v>
      </x:c>
      <x:c r="G556" s="1" t="n">
        <x:v>5</x:v>
      </x:c>
      <x:c r="H556" s="1" t="n">
        <x:v>0</x:v>
      </x:c>
      <x:c r="I556" s="1" t="n">
        <x:v>0</x:v>
      </x:c>
      <x:c r="J556" s="1" t="str">
        <x:v>no</x:v>
      </x:c>
      <x:c r="K556" s="1" t="n">
        <x:f>2*H556+E556+IF(G556&gt;30,2,0)-IF(B556&gt;24,1,0)</x:f>
        <x:v>1</x:v>
      </x:c>
      <x:c r="L556" s="1" t="str">
        <x:f>IF(K556&gt;=3,"yes","no")</x:f>
        <x:v>no</x:v>
      </x:c>
      <x:c r="M556" s="1"/>
      <x:c r="N556" s="1"/>
      <x:c r="O556" s="1"/>
    </x:row>
    <x:row r="557">
      <x:c r="A557" s="1" t="str">
        <x:v>S0556</x:v>
      </x:c>
      <x:c r="B557" s="1" t="n">
        <x:v>27</x:v>
      </x:c>
      <x:c r="C557" s="1" t="str">
        <x:v>basic</x:v>
      </x:c>
      <x:c r="D557" s="8" t="n">
        <x:v>9.99</x:v>
      </x:c>
      <x:c r="E557" s="1" t="n">
        <x:v>0</x:v>
      </x:c>
      <x:c r="F557" s="1" t="n">
        <x:v>21</x:v>
      </x:c>
      <x:c r="G557" s="1" t="n">
        <x:v>2</x:v>
      </x:c>
      <x:c r="H557" s="1" t="n">
        <x:v>0</x:v>
      </x:c>
      <x:c r="I557" s="1" t="n">
        <x:v>1</x:v>
      </x:c>
      <x:c r="J557" s="1" t="str">
        <x:v>no</x:v>
      </x:c>
      <x:c r="K557" s="1" t="n">
        <x:f>2*H557+E557+IF(G557&gt;30,2,0)-IF(B557&gt;24,1,0)</x:f>
        <x:v>-1</x:v>
      </x:c>
      <x:c r="L557" s="1" t="str">
        <x:f>IF(K557&gt;=3,"yes","no")</x:f>
        <x:v>no</x:v>
      </x:c>
      <x:c r="M557" s="1"/>
      <x:c r="N557" s="1"/>
      <x:c r="O557" s="1"/>
    </x:row>
    <x:row r="558">
      <x:c r="A558" s="1" t="str">
        <x:v>S0557</x:v>
      </x:c>
      <x:c r="B558" s="1" t="n">
        <x:v>2</x:v>
      </x:c>
      <x:c r="C558" s="1" t="str">
        <x:v>basic</x:v>
      </x:c>
      <x:c r="D558" s="8" t="n">
        <x:v>9.99</x:v>
      </x:c>
      <x:c r="E558" s="1" t="n">
        <x:v>1</x:v>
      </x:c>
      <x:c r="F558" s="1" t="n">
        <x:v>0</x:v>
      </x:c>
      <x:c r="G558" s="1" t="n">
        <x:v>45</x:v>
      </x:c>
      <x:c r="H558" s="1" t="n">
        <x:v>0</x:v>
      </x:c>
      <x:c r="I558" s="1" t="n">
        <x:v>0</x:v>
      </x:c>
      <x:c r="J558" s="1" t="str">
        <x:v>yes</x:v>
      </x:c>
      <x:c r="K558" s="1" t="n">
        <x:f>2*H558+E558+IF(G558&gt;30,2,0)-IF(B558&gt;24,1,0)</x:f>
        <x:v>3</x:v>
      </x:c>
      <x:c r="L558" s="1" t="str">
        <x:f>IF(K558&gt;=3,"yes","no")</x:f>
        <x:v>yes</x:v>
      </x:c>
      <x:c r="M558" s="1"/>
      <x:c r="N558" s="1"/>
      <x:c r="O558" s="1"/>
    </x:row>
    <x:row r="559">
      <x:c r="A559" s="1" t="str">
        <x:v>S0558</x:v>
      </x:c>
      <x:c r="B559" s="1" t="n">
        <x:v>42</x:v>
      </x:c>
      <x:c r="C559" s="1" t="str">
        <x:v>basic</x:v>
      </x:c>
      <x:c r="D559" s="8" t="n">
        <x:v>9.99</x:v>
      </x:c>
      <x:c r="E559" s="1" t="n">
        <x:v>0</x:v>
      </x:c>
      <x:c r="F559" s="1" t="n">
        <x:v>14</x:v>
      </x:c>
      <x:c r="G559" s="1" t="n">
        <x:v>5</x:v>
      </x:c>
      <x:c r="H559" s="1" t="n">
        <x:v>0</x:v>
      </x:c>
      <x:c r="I559" s="1" t="n">
        <x:v>0</x:v>
      </x:c>
      <x:c r="J559" s="1" t="str">
        <x:v>no</x:v>
      </x:c>
      <x:c r="K559" s="1" t="n">
        <x:f>2*H559+E559+IF(G559&gt;30,2,0)-IF(B559&gt;24,1,0)</x:f>
        <x:v>-1</x:v>
      </x:c>
      <x:c r="L559" s="1" t="str">
        <x:f>IF(K559&gt;=3,"yes","no")</x:f>
        <x:v>no</x:v>
      </x:c>
      <x:c r="M559" s="1"/>
      <x:c r="N559" s="1"/>
      <x:c r="O559" s="1"/>
    </x:row>
    <x:row r="560">
      <x:c r="A560" s="1" t="str">
        <x:v>S0559</x:v>
      </x:c>
      <x:c r="B560" s="1" t="n">
        <x:v>9</x:v>
      </x:c>
      <x:c r="C560" s="1" t="str">
        <x:v>basic</x:v>
      </x:c>
      <x:c r="D560" s="8" t="n">
        <x:v>9.99</x:v>
      </x:c>
      <x:c r="E560" s="1" t="n">
        <x:v>0</x:v>
      </x:c>
      <x:c r="F560" s="1" t="n">
        <x:v>25</x:v>
      </x:c>
      <x:c r="G560" s="1" t="n">
        <x:v>4</x:v>
      </x:c>
      <x:c r="H560" s="1" t="n">
        <x:v>2</x:v>
      </x:c>
      <x:c r="I560" s="1" t="n">
        <x:v>0</x:v>
      </x:c>
      <x:c r="J560" s="1" t="str">
        <x:v>no</x:v>
      </x:c>
      <x:c r="K560" s="1" t="n">
        <x:f>2*H560+E560+IF(G560&gt;30,2,0)-IF(B560&gt;24,1,0)</x:f>
        <x:v>4</x:v>
      </x:c>
      <x:c r="L560" s="1" t="str">
        <x:f>IF(K560&gt;=3,"yes","no")</x:f>
        <x:v>yes</x:v>
      </x:c>
      <x:c r="M560" s="1"/>
      <x:c r="N560" s="1"/>
      <x:c r="O560" s="1"/>
    </x:row>
    <x:row r="561">
      <x:c r="A561" s="1" t="str">
        <x:v>S0560</x:v>
      </x:c>
      <x:c r="B561" s="1" t="n">
        <x:v>29</x:v>
      </x:c>
      <x:c r="C561" s="1" t="str">
        <x:v>basic</x:v>
      </x:c>
      <x:c r="D561" s="8" t="n">
        <x:v>9.99</x:v>
      </x:c>
      <x:c r="E561" s="1" t="n">
        <x:v>4</x:v>
      </x:c>
      <x:c r="F561" s="1" t="n">
        <x:v>0</x:v>
      </x:c>
      <x:c r="G561" s="1" t="n">
        <x:v>35</x:v>
      </x:c>
      <x:c r="H561" s="1" t="n">
        <x:v>0</x:v>
      </x:c>
      <x:c r="I561" s="1" t="n">
        <x:v>0</x:v>
      </x:c>
      <x:c r="J561" s="1" t="str">
        <x:v>no</x:v>
      </x:c>
      <x:c r="K561" s="1" t="n">
        <x:f>2*H561+E561+IF(G561&gt;30,2,0)-IF(B561&gt;24,1,0)</x:f>
        <x:v>5</x:v>
      </x:c>
      <x:c r="L561" s="1" t="str">
        <x:f>IF(K561&gt;=3,"yes","no")</x:f>
        <x:v>yes</x:v>
      </x:c>
      <x:c r="M561" s="1"/>
      <x:c r="N561" s="1"/>
      <x:c r="O561" s="1"/>
    </x:row>
    <x:row r="562">
      <x:c r="A562" s="1" t="str">
        <x:v>S0561</x:v>
      </x:c>
      <x:c r="B562" s="1" t="n">
        <x:v>38</x:v>
      </x:c>
      <x:c r="C562" s="1" t="str">
        <x:v>premium</x:v>
      </x:c>
      <x:c r="D562" s="8" t="n">
        <x:v>15.99</x:v>
      </x:c>
      <x:c r="E562" s="1" t="n">
        <x:v>0</x:v>
      </x:c>
      <x:c r="F562" s="1" t="n">
        <x:v>24</x:v>
      </x:c>
      <x:c r="G562" s="1" t="n">
        <x:v>8</x:v>
      </x:c>
      <x:c r="H562" s="1" t="n">
        <x:v>1</x:v>
      </x:c>
      <x:c r="I562" s="1" t="n">
        <x:v>0</x:v>
      </x:c>
      <x:c r="J562" s="1" t="str">
        <x:v>no</x:v>
      </x:c>
      <x:c r="K562" s="1" t="n">
        <x:f>2*H562+E562+IF(G562&gt;30,2,0)-IF(B562&gt;24,1,0)</x:f>
        <x:v>1</x:v>
      </x:c>
      <x:c r="L562" s="1" t="str">
        <x:f>IF(K562&gt;=3,"yes","no")</x:f>
        <x:v>no</x:v>
      </x:c>
      <x:c r="M562" s="1"/>
      <x:c r="N562" s="1"/>
      <x:c r="O562" s="1"/>
    </x:row>
    <x:row r="563">
      <x:c r="A563" s="1" t="str">
        <x:v>S0562</x:v>
      </x:c>
      <x:c r="B563" s="1" t="n">
        <x:v>20</x:v>
      </x:c>
      <x:c r="C563" s="1" t="str">
        <x:v>basic</x:v>
      </x:c>
      <x:c r="D563" s="8" t="n">
        <x:v>9.99</x:v>
      </x:c>
      <x:c r="E563" s="1" t="n">
        <x:v>2</x:v>
      </x:c>
      <x:c r="F563" s="1" t="n">
        <x:v>13</x:v>
      </x:c>
      <x:c r="G563" s="1" t="n">
        <x:v>12</x:v>
      </x:c>
      <x:c r="H563" s="1" t="n">
        <x:v>0</x:v>
      </x:c>
      <x:c r="I563" s="1" t="n">
        <x:v>0</x:v>
      </x:c>
      <x:c r="J563" s="1" t="str">
        <x:v>no</x:v>
      </x:c>
      <x:c r="K563" s="1" t="n">
        <x:f>2*H563+E563+IF(G563&gt;30,2,0)-IF(B563&gt;24,1,0)</x:f>
        <x:v>2</x:v>
      </x:c>
      <x:c r="L563" s="1" t="str">
        <x:f>IF(K563&gt;=3,"yes","no")</x:f>
        <x:v>no</x:v>
      </x:c>
      <x:c r="M563" s="1"/>
      <x:c r="N563" s="1"/>
      <x:c r="O563" s="1"/>
    </x:row>
    <x:row r="564">
      <x:c r="A564" s="1" t="str">
        <x:v>S0563</x:v>
      </x:c>
      <x:c r="B564" s="1" t="n">
        <x:v>10</x:v>
      </x:c>
      <x:c r="C564" s="1" t="str">
        <x:v>basic</x:v>
      </x:c>
      <x:c r="D564" s="8" t="n">
        <x:v>9.99</x:v>
      </x:c>
      <x:c r="E564" s="1" t="n">
        <x:v>0</x:v>
      </x:c>
      <x:c r="F564" s="1" t="n">
        <x:v>19</x:v>
      </x:c>
      <x:c r="G564" s="1" t="n">
        <x:v>5</x:v>
      </x:c>
      <x:c r="H564" s="1" t="n">
        <x:v>0</x:v>
      </x:c>
      <x:c r="I564" s="1" t="n">
        <x:v>0</x:v>
      </x:c>
      <x:c r="J564" s="1" t="str">
        <x:v>no</x:v>
      </x:c>
      <x:c r="K564" s="1" t="n">
        <x:f>2*H564+E564+IF(G564&gt;30,2,0)-IF(B564&gt;24,1,0)</x:f>
        <x:v>0</x:v>
      </x:c>
      <x:c r="L564" s="1" t="str">
        <x:f>IF(K564&gt;=3,"yes","no")</x:f>
        <x:v>no</x:v>
      </x:c>
      <x:c r="M564" s="1"/>
      <x:c r="N564" s="1"/>
      <x:c r="O564" s="1"/>
    </x:row>
    <x:row r="565">
      <x:c r="A565" s="1" t="str">
        <x:v>S0564</x:v>
      </x:c>
      <x:c r="B565" s="1" t="n">
        <x:v>45</x:v>
      </x:c>
      <x:c r="C565" s="1" t="str">
        <x:v>basic</x:v>
      </x:c>
      <x:c r="D565" s="8" t="n">
        <x:v>9.99</x:v>
      </x:c>
      <x:c r="E565" s="1" t="n">
        <x:v>0</x:v>
      </x:c>
      <x:c r="F565" s="1" t="n">
        <x:v>17</x:v>
      </x:c>
      <x:c r="G565" s="1" t="n">
        <x:v>5</x:v>
      </x:c>
      <x:c r="H565" s="1" t="n">
        <x:v>0</x:v>
      </x:c>
      <x:c r="I565" s="1" t="n">
        <x:v>1</x:v>
      </x:c>
      <x:c r="J565" s="1" t="str">
        <x:v>no</x:v>
      </x:c>
      <x:c r="K565" s="1" t="n">
        <x:f>2*H565+E565+IF(G565&gt;30,2,0)-IF(B565&gt;24,1,0)</x:f>
        <x:v>-1</x:v>
      </x:c>
      <x:c r="L565" s="1" t="str">
        <x:f>IF(K565&gt;=3,"yes","no")</x:f>
        <x:v>no</x:v>
      </x:c>
      <x:c r="M565" s="1"/>
      <x:c r="N565" s="1"/>
      <x:c r="O565" s="1"/>
    </x:row>
    <x:row r="566">
      <x:c r="A566" s="1" t="str">
        <x:v>S0565</x:v>
      </x:c>
      <x:c r="B566" s="1" t="n">
        <x:v>24</x:v>
      </x:c>
      <x:c r="C566" s="1" t="str">
        <x:v>basic</x:v>
      </x:c>
      <x:c r="D566" s="8" t="n">
        <x:v>9.99</x:v>
      </x:c>
      <x:c r="E566" s="1" t="n">
        <x:v>0</x:v>
      </x:c>
      <x:c r="F566" s="1" t="n">
        <x:v>24</x:v>
      </x:c>
      <x:c r="G566" s="1" t="n">
        <x:v>0</x:v>
      </x:c>
      <x:c r="H566" s="1" t="n">
        <x:v>0</x:v>
      </x:c>
      <x:c r="I566" s="1" t="n">
        <x:v>0</x:v>
      </x:c>
      <x:c r="J566" s="1" t="str">
        <x:v>no</x:v>
      </x:c>
      <x:c r="K566" s="1" t="n">
        <x:f>2*H566+E566+IF(G566&gt;30,2,0)-IF(B566&gt;24,1,0)</x:f>
        <x:v>0</x:v>
      </x:c>
      <x:c r="L566" s="1" t="str">
        <x:f>IF(K566&gt;=3,"yes","no")</x:f>
        <x:v>no</x:v>
      </x:c>
      <x:c r="M566" s="1"/>
      <x:c r="N566" s="1"/>
      <x:c r="O566" s="1"/>
    </x:row>
    <x:row r="567">
      <x:c r="A567" s="1" t="str">
        <x:v>S0566</x:v>
      </x:c>
      <x:c r="B567" s="1" t="n">
        <x:v>7</x:v>
      </x:c>
      <x:c r="C567" s="1" t="str">
        <x:v>basic</x:v>
      </x:c>
      <x:c r="D567" s="8" t="n">
        <x:v>9.99</x:v>
      </x:c>
      <x:c r="E567" s="1" t="n">
        <x:v>0</x:v>
      </x:c>
      <x:c r="F567" s="1" t="n">
        <x:v>6</x:v>
      </x:c>
      <x:c r="G567" s="1" t="n">
        <x:v>27</x:v>
      </x:c>
      <x:c r="H567" s="1" t="n">
        <x:v>1</x:v>
      </x:c>
      <x:c r="I567" s="1" t="n">
        <x:v>0</x:v>
      </x:c>
      <x:c r="J567" s="1" t="str">
        <x:v>yes</x:v>
      </x:c>
      <x:c r="K567" s="1" t="n">
        <x:f>2*H567+E567+IF(G567&gt;30,2,0)-IF(B567&gt;24,1,0)</x:f>
        <x:v>2</x:v>
      </x:c>
      <x:c r="L567" s="1" t="str">
        <x:f>IF(K567&gt;=3,"yes","no")</x:f>
        <x:v>no</x:v>
      </x:c>
      <x:c r="M567" s="1"/>
      <x:c r="N567" s="1"/>
      <x:c r="O567" s="1"/>
    </x:row>
    <x:row r="568">
      <x:c r="A568" s="1" t="str">
        <x:v>S0567</x:v>
      </x:c>
      <x:c r="B568" s="1" t="n">
        <x:v>31</x:v>
      </x:c>
      <x:c r="C568" s="1" t="str">
        <x:v>basic</x:v>
      </x:c>
      <x:c r="D568" s="8" t="n">
        <x:v>9.99</x:v>
      </x:c>
      <x:c r="E568" s="1" t="n">
        <x:v>2</x:v>
      </x:c>
      <x:c r="F568" s="1" t="n">
        <x:v>15</x:v>
      </x:c>
      <x:c r="G568" s="1" t="n">
        <x:v>6</x:v>
      </x:c>
      <x:c r="H568" s="1" t="n">
        <x:v>0</x:v>
      </x:c>
      <x:c r="I568" s="1" t="n">
        <x:v>0</x:v>
      </x:c>
      <x:c r="J568" s="1" t="str">
        <x:v>no</x:v>
      </x:c>
      <x:c r="K568" s="1" t="n">
        <x:f>2*H568+E568+IF(G568&gt;30,2,0)-IF(B568&gt;24,1,0)</x:f>
        <x:v>1</x:v>
      </x:c>
      <x:c r="L568" s="1" t="str">
        <x:f>IF(K568&gt;=3,"yes","no")</x:f>
        <x:v>no</x:v>
      </x:c>
      <x:c r="M568" s="1"/>
      <x:c r="N568" s="1"/>
      <x:c r="O568" s="1"/>
    </x:row>
    <x:row r="569">
      <x:c r="A569" s="1" t="str">
        <x:v>S0568</x:v>
      </x:c>
      <x:c r="B569" s="1" t="n">
        <x:v>13</x:v>
      </x:c>
      <x:c r="C569" s="1" t="str">
        <x:v>basic</x:v>
      </x:c>
      <x:c r="D569" s="8" t="n">
        <x:v>9.99</x:v>
      </x:c>
      <x:c r="E569" s="1" t="n">
        <x:v>0</x:v>
      </x:c>
      <x:c r="F569" s="1" t="n">
        <x:v>7</x:v>
      </x:c>
      <x:c r="G569" s="1" t="n">
        <x:v>13</x:v>
      </x:c>
      <x:c r="H569" s="1" t="n">
        <x:v>0</x:v>
      </x:c>
      <x:c r="I569" s="1" t="n">
        <x:v>0</x:v>
      </x:c>
      <x:c r="J569" s="1" t="str">
        <x:v>yes</x:v>
      </x:c>
      <x:c r="K569" s="1" t="n">
        <x:f>2*H569+E569+IF(G569&gt;30,2,0)-IF(B569&gt;24,1,0)</x:f>
        <x:v>0</x:v>
      </x:c>
      <x:c r="L569" s="1" t="str">
        <x:f>IF(K569&gt;=3,"yes","no")</x:f>
        <x:v>no</x:v>
      </x:c>
      <x:c r="M569" s="1"/>
      <x:c r="N569" s="1"/>
      <x:c r="O569" s="1"/>
    </x:row>
    <x:row r="570">
      <x:c r="A570" s="1" t="str">
        <x:v>S0569</x:v>
      </x:c>
      <x:c r="B570" s="1" t="n">
        <x:v>22</x:v>
      </x:c>
      <x:c r="C570" s="1" t="str">
        <x:v>basic</x:v>
      </x:c>
      <x:c r="D570" s="8" t="n">
        <x:v>9.99</x:v>
      </x:c>
      <x:c r="E570" s="1" t="n">
        <x:v>0</x:v>
      </x:c>
      <x:c r="F570" s="1" t="n">
        <x:v>0</x:v>
      </x:c>
      <x:c r="G570" s="1" t="n">
        <x:v>60</x:v>
      </x:c>
      <x:c r="H570" s="1" t="n">
        <x:v>2</x:v>
      </x:c>
      <x:c r="I570" s="1" t="n">
        <x:v>0</x:v>
      </x:c>
      <x:c r="J570" s="1" t="str">
        <x:v>yes</x:v>
      </x:c>
      <x:c r="K570" s="1" t="n">
        <x:f>2*H570+E570+IF(G570&gt;30,2,0)-IF(B570&gt;24,1,0)</x:f>
        <x:v>6</x:v>
      </x:c>
      <x:c r="L570" s="1" t="str">
        <x:f>IF(K570&gt;=3,"yes","no")</x:f>
        <x:v>yes</x:v>
      </x:c>
      <x:c r="M570" s="1"/>
      <x:c r="N570" s="1"/>
      <x:c r="O570" s="1"/>
    </x:row>
    <x:row r="571">
      <x:c r="A571" s="1" t="str">
        <x:v>S0570</x:v>
      </x:c>
      <x:c r="B571" s="1" t="n">
        <x:v>15</x:v>
      </x:c>
      <x:c r="C571" s="1" t="str">
        <x:v>basic</x:v>
      </x:c>
      <x:c r="D571" s="8" t="n">
        <x:v>9.99</x:v>
      </x:c>
      <x:c r="E571" s="1" t="n">
        <x:v>1</x:v>
      </x:c>
      <x:c r="F571" s="1" t="n">
        <x:v>24</x:v>
      </x:c>
      <x:c r="G571" s="1" t="n">
        <x:v>7</x:v>
      </x:c>
      <x:c r="H571" s="1" t="n">
        <x:v>0</x:v>
      </x:c>
      <x:c r="I571" s="1" t="n">
        <x:v>0</x:v>
      </x:c>
      <x:c r="J571" s="1" t="str">
        <x:v>no</x:v>
      </x:c>
      <x:c r="K571" s="1" t="n">
        <x:f>2*H571+E571+IF(G571&gt;30,2,0)-IF(B571&gt;24,1,0)</x:f>
        <x:v>1</x:v>
      </x:c>
      <x:c r="L571" s="1" t="str">
        <x:f>IF(K571&gt;=3,"yes","no")</x:f>
        <x:v>no</x:v>
      </x:c>
      <x:c r="M571" s="1"/>
      <x:c r="N571" s="1"/>
      <x:c r="O571" s="1"/>
    </x:row>
    <x:row r="572">
      <x:c r="A572" s="1" t="str">
        <x:v>S0571</x:v>
      </x:c>
      <x:c r="B572" s="1" t="n">
        <x:v>14</x:v>
      </x:c>
      <x:c r="C572" s="1" t="str">
        <x:v>premium</x:v>
      </x:c>
      <x:c r="D572" s="8" t="n">
        <x:v>15.99</x:v>
      </x:c>
      <x:c r="E572" s="1" t="n">
        <x:v>3</x:v>
      </x:c>
      <x:c r="F572" s="1" t="n">
        <x:v>12</x:v>
      </x:c>
      <x:c r="G572" s="1" t="n">
        <x:v>5</x:v>
      </x:c>
      <x:c r="H572" s="1" t="n">
        <x:v>0</x:v>
      </x:c>
      <x:c r="I572" s="1" t="n">
        <x:v>0</x:v>
      </x:c>
      <x:c r="J572" s="1" t="str">
        <x:v>no</x:v>
      </x:c>
      <x:c r="K572" s="1" t="n">
        <x:f>2*H572+E572+IF(G572&gt;30,2,0)-IF(B572&gt;24,1,0)</x:f>
        <x:v>3</x:v>
      </x:c>
      <x:c r="L572" s="1" t="str">
        <x:f>IF(K572&gt;=3,"yes","no")</x:f>
        <x:v>yes</x:v>
      </x:c>
      <x:c r="M572" s="1"/>
      <x:c r="N572" s="1"/>
      <x:c r="O572" s="1"/>
    </x:row>
    <x:row r="573">
      <x:c r="A573" s="1" t="str">
        <x:v>S0572</x:v>
      </x:c>
      <x:c r="B573" s="1" t="n">
        <x:v>36</x:v>
      </x:c>
      <x:c r="C573" s="1" t="str">
        <x:v>basic</x:v>
      </x:c>
      <x:c r="D573" s="8" t="n">
        <x:v>9.99</x:v>
      </x:c>
      <x:c r="E573" s="1" t="n">
        <x:v>1</x:v>
      </x:c>
      <x:c r="F573" s="1" t="n">
        <x:v>15</x:v>
      </x:c>
      <x:c r="G573" s="1" t="n">
        <x:v>25</x:v>
      </x:c>
      <x:c r="H573" s="1" t="n">
        <x:v>0</x:v>
      </x:c>
      <x:c r="I573" s="1" t="n">
        <x:v>0</x:v>
      </x:c>
      <x:c r="J573" s="1" t="str">
        <x:v>no</x:v>
      </x:c>
      <x:c r="K573" s="1" t="n">
        <x:f>2*H573+E573+IF(G573&gt;30,2,0)-IF(B573&gt;24,1,0)</x:f>
        <x:v>0</x:v>
      </x:c>
      <x:c r="L573" s="1" t="str">
        <x:f>IF(K573&gt;=3,"yes","no")</x:f>
        <x:v>no</x:v>
      </x:c>
      <x:c r="M573" s="1"/>
      <x:c r="N573" s="1"/>
      <x:c r="O573" s="1"/>
    </x:row>
    <x:row r="574">
      <x:c r="A574" s="1" t="str">
        <x:v>S0573</x:v>
      </x:c>
      <x:c r="B574" s="1" t="n">
        <x:v>25</x:v>
      </x:c>
      <x:c r="C574" s="1" t="str">
        <x:v>basic</x:v>
      </x:c>
      <x:c r="D574" s="8" t="n">
        <x:v>9.99</x:v>
      </x:c>
      <x:c r="E574" s="1" t="n">
        <x:v>0</x:v>
      </x:c>
      <x:c r="F574" s="1" t="n">
        <x:v>30</x:v>
      </x:c>
      <x:c r="G574" s="1" t="n">
        <x:v>4</x:v>
      </x:c>
      <x:c r="H574" s="1" t="n">
        <x:v>0</x:v>
      </x:c>
      <x:c r="I574" s="1" t="n">
        <x:v>0</x:v>
      </x:c>
      <x:c r="J574" s="1" t="str">
        <x:v>no</x:v>
      </x:c>
      <x:c r="K574" s="1" t="n">
        <x:f>2*H574+E574+IF(G574&gt;30,2,0)-IF(B574&gt;24,1,0)</x:f>
        <x:v>-1</x:v>
      </x:c>
      <x:c r="L574" s="1" t="str">
        <x:f>IF(K574&gt;=3,"yes","no")</x:f>
        <x:v>no</x:v>
      </x:c>
      <x:c r="M574" s="1"/>
      <x:c r="N574" s="1"/>
      <x:c r="O574" s="1"/>
    </x:row>
    <x:row r="575">
      <x:c r="A575" s="1" t="str">
        <x:v>S0574</x:v>
      </x:c>
      <x:c r="B575" s="1" t="n">
        <x:v>31</x:v>
      </x:c>
      <x:c r="C575" s="1" t="str">
        <x:v>basic</x:v>
      </x:c>
      <x:c r="D575" s="8" t="n">
        <x:v>9.99</x:v>
      </x:c>
      <x:c r="E575" s="1" t="n">
        <x:v>1</x:v>
      </x:c>
      <x:c r="F575" s="1" t="n">
        <x:v>11</x:v>
      </x:c>
      <x:c r="G575" s="1" t="n">
        <x:v>11</x:v>
      </x:c>
      <x:c r="H575" s="1" t="n">
        <x:v>1</x:v>
      </x:c>
      <x:c r="I575" s="1" t="n">
        <x:v>0</x:v>
      </x:c>
      <x:c r="J575" s="1" t="str">
        <x:v>no</x:v>
      </x:c>
      <x:c r="K575" s="1" t="n">
        <x:f>2*H575+E575+IF(G575&gt;30,2,0)-IF(B575&gt;24,1,0)</x:f>
        <x:v>2</x:v>
      </x:c>
      <x:c r="L575" s="1" t="str">
        <x:f>IF(K575&gt;=3,"yes","no")</x:f>
        <x:v>no</x:v>
      </x:c>
      <x:c r="M575" s="1"/>
      <x:c r="N575" s="1"/>
      <x:c r="O575" s="1"/>
    </x:row>
    <x:row r="576">
      <x:c r="A576" s="1" t="str">
        <x:v>S0575</x:v>
      </x:c>
      <x:c r="B576" s="1" t="n">
        <x:v>11</x:v>
      </x:c>
      <x:c r="C576" s="1" t="str">
        <x:v>basic</x:v>
      </x:c>
      <x:c r="D576" s="8" t="n">
        <x:v>9.99</x:v>
      </x:c>
      <x:c r="E576" s="1" t="n">
        <x:v>3</x:v>
      </x:c>
      <x:c r="F576" s="1" t="n">
        <x:v>21</x:v>
      </x:c>
      <x:c r="G576" s="1" t="n">
        <x:v>6</x:v>
      </x:c>
      <x:c r="H576" s="1" t="n">
        <x:v>0</x:v>
      </x:c>
      <x:c r="I576" s="1" t="n">
        <x:v>0</x:v>
      </x:c>
      <x:c r="J576" s="1" t="str">
        <x:v>yes</x:v>
      </x:c>
      <x:c r="K576" s="1" t="n">
        <x:f>2*H576+E576+IF(G576&gt;30,2,0)-IF(B576&gt;24,1,0)</x:f>
        <x:v>3</x:v>
      </x:c>
      <x:c r="L576" s="1" t="str">
        <x:f>IF(K576&gt;=3,"yes","no")</x:f>
        <x:v>yes</x:v>
      </x:c>
      <x:c r="M576" s="1"/>
      <x:c r="N576" s="1"/>
      <x:c r="O576" s="1"/>
    </x:row>
    <x:row r="577">
      <x:c r="A577" s="1" t="str">
        <x:v>S0576</x:v>
      </x:c>
      <x:c r="B577" s="1" t="n">
        <x:v>42</x:v>
      </x:c>
      <x:c r="C577" s="1" t="str">
        <x:v>basic</x:v>
      </x:c>
      <x:c r="D577" s="8" t="n">
        <x:v>9.99</x:v>
      </x:c>
      <x:c r="E577" s="1" t="n">
        <x:v>1</x:v>
      </x:c>
      <x:c r="F577" s="1" t="n">
        <x:v>15</x:v>
      </x:c>
      <x:c r="G577" s="1" t="n">
        <x:v>4</x:v>
      </x:c>
      <x:c r="H577" s="1" t="n">
        <x:v>0</x:v>
      </x:c>
      <x:c r="I577" s="1" t="n">
        <x:v>0</x:v>
      </x:c>
      <x:c r="J577" s="1" t="str">
        <x:v>yes</x:v>
      </x:c>
      <x:c r="K577" s="1" t="n">
        <x:f>2*H577+E577+IF(G577&gt;30,2,0)-IF(B577&gt;24,1,0)</x:f>
        <x:v>0</x:v>
      </x:c>
      <x:c r="L577" s="1" t="str">
        <x:f>IF(K577&gt;=3,"yes","no")</x:f>
        <x:v>no</x:v>
      </x:c>
      <x:c r="M577" s="1"/>
      <x:c r="N577" s="1"/>
      <x:c r="O577" s="1"/>
    </x:row>
    <x:row r="578">
      <x:c r="A578" s="1" t="str">
        <x:v>S0577</x:v>
      </x:c>
      <x:c r="B578" s="1" t="n">
        <x:v>31</x:v>
      </x:c>
      <x:c r="C578" s="1" t="str">
        <x:v>basic</x:v>
      </x:c>
      <x:c r="D578" s="8" t="n">
        <x:v>9.99</x:v>
      </x:c>
      <x:c r="E578" s="1" t="n">
        <x:v>0</x:v>
      </x:c>
      <x:c r="F578" s="1" t="n">
        <x:v>16</x:v>
      </x:c>
      <x:c r="G578" s="1" t="n">
        <x:v>2</x:v>
      </x:c>
      <x:c r="H578" s="1" t="n">
        <x:v>0</x:v>
      </x:c>
      <x:c r="I578" s="1" t="n">
        <x:v>0</x:v>
      </x:c>
      <x:c r="J578" s="1" t="str">
        <x:v>no</x:v>
      </x:c>
      <x:c r="K578" s="1" t="n">
        <x:f>2*H578+E578+IF(G578&gt;30,2,0)-IF(B578&gt;24,1,0)</x:f>
        <x:v>-1</x:v>
      </x:c>
      <x:c r="L578" s="1" t="str">
        <x:f>IF(K578&gt;=3,"yes","no")</x:f>
        <x:v>no</x:v>
      </x:c>
      <x:c r="M578" s="1"/>
      <x:c r="N578" s="1"/>
      <x:c r="O578" s="1"/>
    </x:row>
    <x:row r="579">
      <x:c r="A579" s="1" t="str">
        <x:v>S0578</x:v>
      </x:c>
      <x:c r="B579" s="1" t="n">
        <x:v>21</x:v>
      </x:c>
      <x:c r="C579" s="1" t="str">
        <x:v>basic</x:v>
      </x:c>
      <x:c r="D579" s="8" t="n">
        <x:v>9.99</x:v>
      </x:c>
      <x:c r="E579" s="1" t="n">
        <x:v>1</x:v>
      </x:c>
      <x:c r="F579" s="1" t="n">
        <x:v>17</x:v>
      </x:c>
      <x:c r="G579" s="1" t="n">
        <x:v>7</x:v>
      </x:c>
      <x:c r="H579" s="1" t="n">
        <x:v>0</x:v>
      </x:c>
      <x:c r="I579" s="1" t="n">
        <x:v>0</x:v>
      </x:c>
      <x:c r="J579" s="1" t="str">
        <x:v>no</x:v>
      </x:c>
      <x:c r="K579" s="1" t="n">
        <x:f>2*H579+E579+IF(G579&gt;30,2,0)-IF(B579&gt;24,1,0)</x:f>
        <x:v>1</x:v>
      </x:c>
      <x:c r="L579" s="1" t="str">
        <x:f>IF(K579&gt;=3,"yes","no")</x:f>
        <x:v>no</x:v>
      </x:c>
      <x:c r="M579" s="1"/>
      <x:c r="N579" s="1"/>
      <x:c r="O579" s="1"/>
    </x:row>
    <x:row r="580">
      <x:c r="A580" s="1" t="str">
        <x:v>S0579</x:v>
      </x:c>
      <x:c r="B580" s="1" t="n">
        <x:v>4</x:v>
      </x:c>
      <x:c r="C580" s="1" t="str">
        <x:v>basic</x:v>
      </x:c>
      <x:c r="D580" s="8" t="n">
        <x:v>9.99</x:v>
      </x:c>
      <x:c r="E580" s="1" t="n">
        <x:v>1</x:v>
      </x:c>
      <x:c r="F580" s="1" t="n">
        <x:v>21</x:v>
      </x:c>
      <x:c r="G580" s="1" t="n">
        <x:v>1</x:v>
      </x:c>
      <x:c r="H580" s="1" t="n">
        <x:v>1</x:v>
      </x:c>
      <x:c r="I580" s="1" t="n">
        <x:v>0</x:v>
      </x:c>
      <x:c r="J580" s="1" t="str">
        <x:v>yes</x:v>
      </x:c>
      <x:c r="K580" s="1" t="n">
        <x:f>2*H580+E580+IF(G580&gt;30,2,0)-IF(B580&gt;24,1,0)</x:f>
        <x:v>3</x:v>
      </x:c>
      <x:c r="L580" s="1" t="str">
        <x:f>IF(K580&gt;=3,"yes","no")</x:f>
        <x:v>yes</x:v>
      </x:c>
      <x:c r="M580" s="1"/>
      <x:c r="N580" s="1"/>
      <x:c r="O580" s="1"/>
    </x:row>
    <x:row r="581">
      <x:c r="A581" s="1" t="str">
        <x:v>S0580</x:v>
      </x:c>
      <x:c r="B581" s="1" t="n">
        <x:v>13</x:v>
      </x:c>
      <x:c r="C581" s="1" t="str">
        <x:v>basic</x:v>
      </x:c>
      <x:c r="D581" s="8" t="n">
        <x:v>9.99</x:v>
      </x:c>
      <x:c r="E581" s="1" t="n">
        <x:v>1</x:v>
      </x:c>
      <x:c r="F581" s="1" t="n">
        <x:v>29</x:v>
      </x:c>
      <x:c r="G581" s="1" t="n">
        <x:v>7</x:v>
      </x:c>
      <x:c r="H581" s="1" t="n">
        <x:v>0</x:v>
      </x:c>
      <x:c r="I581" s="1" t="n">
        <x:v>1</x:v>
      </x:c>
      <x:c r="J581" s="1" t="str">
        <x:v>no</x:v>
      </x:c>
      <x:c r="K581" s="1" t="n">
        <x:f>2*H581+E581+IF(G581&gt;30,2,0)-IF(B581&gt;24,1,0)</x:f>
        <x:v>1</x:v>
      </x:c>
      <x:c r="L581" s="1" t="str">
        <x:f>IF(K581&gt;=3,"yes","no")</x:f>
        <x:v>no</x:v>
      </x:c>
      <x:c r="M581" s="1"/>
      <x:c r="N581" s="1"/>
      <x:c r="O581" s="1"/>
    </x:row>
    <x:row r="582">
      <x:c r="A582" s="1" t="str">
        <x:v>S0581</x:v>
      </x:c>
      <x:c r="B582" s="1" t="n">
        <x:v>45</x:v>
      </x:c>
      <x:c r="C582" s="1" t="str">
        <x:v>basic</x:v>
      </x:c>
      <x:c r="D582" s="8" t="n">
        <x:v>9.99</x:v>
      </x:c>
      <x:c r="E582" s="1" t="n">
        <x:v>0</x:v>
      </x:c>
      <x:c r="F582" s="1" t="n">
        <x:v>20</x:v>
      </x:c>
      <x:c r="G582" s="1" t="n">
        <x:v>2</x:v>
      </x:c>
      <x:c r="H582" s="1" t="n">
        <x:v>0</x:v>
      </x:c>
      <x:c r="I582" s="1" t="n">
        <x:v>0</x:v>
      </x:c>
      <x:c r="J582" s="1" t="str">
        <x:v>no</x:v>
      </x:c>
      <x:c r="K582" s="1" t="n">
        <x:f>2*H582+E582+IF(G582&gt;30,2,0)-IF(B582&gt;24,1,0)</x:f>
        <x:v>-1</x:v>
      </x:c>
      <x:c r="L582" s="1" t="str">
        <x:f>IF(K582&gt;=3,"yes","no")</x:f>
        <x:v>no</x:v>
      </x:c>
      <x:c r="M582" s="1"/>
      <x:c r="N582" s="1"/>
      <x:c r="O582" s="1"/>
    </x:row>
    <x:row r="583">
      <x:c r="A583" s="1" t="str">
        <x:v>S0582</x:v>
      </x:c>
      <x:c r="B583" s="1" t="n">
        <x:v>23</x:v>
      </x:c>
      <x:c r="C583" s="1" t="str">
        <x:v>basic</x:v>
      </x:c>
      <x:c r="D583" s="8" t="n">
        <x:v>9.99</x:v>
      </x:c>
      <x:c r="E583" s="1" t="n">
        <x:v>0</x:v>
      </x:c>
      <x:c r="F583" s="1" t="n">
        <x:v>2</x:v>
      </x:c>
      <x:c r="G583" s="1" t="n">
        <x:v>27</x:v>
      </x:c>
      <x:c r="H583" s="1" t="n">
        <x:v>0</x:v>
      </x:c>
      <x:c r="I583" s="1" t="n">
        <x:v>0</x:v>
      </x:c>
      <x:c r="J583" s="1" t="str">
        <x:v>no</x:v>
      </x:c>
      <x:c r="K583" s="1" t="n">
        <x:f>2*H583+E583+IF(G583&gt;30,2,0)-IF(B583&gt;24,1,0)</x:f>
        <x:v>0</x:v>
      </x:c>
      <x:c r="L583" s="1" t="str">
        <x:f>IF(K583&gt;=3,"yes","no")</x:f>
        <x:v>no</x:v>
      </x:c>
      <x:c r="M583" s="1"/>
      <x:c r="N583" s="1"/>
      <x:c r="O583" s="1"/>
    </x:row>
    <x:row r="584">
      <x:c r="A584" s="1" t="str">
        <x:v>S0583</x:v>
      </x:c>
      <x:c r="B584" s="1" t="n">
        <x:v>6</x:v>
      </x:c>
      <x:c r="C584" s="1" t="str">
        <x:v>basic</x:v>
      </x:c>
      <x:c r="D584" s="8" t="n">
        <x:v>9.99</x:v>
      </x:c>
      <x:c r="E584" s="1" t="n">
        <x:v>4</x:v>
      </x:c>
      <x:c r="F584" s="1" t="n">
        <x:v>13</x:v>
      </x:c>
      <x:c r="G584" s="1" t="n">
        <x:v>2</x:v>
      </x:c>
      <x:c r="H584" s="1" t="n">
        <x:v>0</x:v>
      </x:c>
      <x:c r="I584" s="1" t="n">
        <x:v>0</x:v>
      </x:c>
      <x:c r="J584" s="1" t="str">
        <x:v>yes</x:v>
      </x:c>
      <x:c r="K584" s="1" t="n">
        <x:f>2*H584+E584+IF(G584&gt;30,2,0)-IF(B584&gt;24,1,0)</x:f>
        <x:v>4</x:v>
      </x:c>
      <x:c r="L584" s="1" t="str">
        <x:f>IF(K584&gt;=3,"yes","no")</x:f>
        <x:v>yes</x:v>
      </x:c>
      <x:c r="M584" s="1"/>
      <x:c r="N584" s="1"/>
      <x:c r="O584" s="1"/>
    </x:row>
    <x:row r="585">
      <x:c r="A585" s="1" t="str">
        <x:v>S0584</x:v>
      </x:c>
      <x:c r="B585" s="1" t="n">
        <x:v>40</x:v>
      </x:c>
      <x:c r="C585" s="1" t="str">
        <x:v>basic</x:v>
      </x:c>
      <x:c r="D585" s="8" t="n">
        <x:v>9.99</x:v>
      </x:c>
      <x:c r="E585" s="1" t="n">
        <x:v>1</x:v>
      </x:c>
      <x:c r="F585" s="1" t="n">
        <x:v>15</x:v>
      </x:c>
      <x:c r="G585" s="1" t="n">
        <x:v>4</x:v>
      </x:c>
      <x:c r="H585" s="1" t="n">
        <x:v>0</x:v>
      </x:c>
      <x:c r="I585" s="1" t="n">
        <x:v>0</x:v>
      </x:c>
      <x:c r="J585" s="1" t="str">
        <x:v>no</x:v>
      </x:c>
      <x:c r="K585" s="1" t="n">
        <x:f>2*H585+E585+IF(G585&gt;30,2,0)-IF(B585&gt;24,1,0)</x:f>
        <x:v>0</x:v>
      </x:c>
      <x:c r="L585" s="1" t="str">
        <x:f>IF(K585&gt;=3,"yes","no")</x:f>
        <x:v>no</x:v>
      </x:c>
      <x:c r="M585" s="1"/>
      <x:c r="N585" s="1"/>
      <x:c r="O585" s="1"/>
    </x:row>
    <x:row r="586">
      <x:c r="A586" s="1" t="str">
        <x:v>S0585</x:v>
      </x:c>
      <x:c r="B586" s="1" t="n">
        <x:v>1</x:v>
      </x:c>
      <x:c r="C586" s="1" t="str">
        <x:v>basic</x:v>
      </x:c>
      <x:c r="D586" s="8" t="n">
        <x:v>9.99</x:v>
      </x:c>
      <x:c r="E586" s="1" t="n">
        <x:v>0</x:v>
      </x:c>
      <x:c r="F586" s="1" t="n">
        <x:v>0</x:v>
      </x:c>
      <x:c r="G586" s="1" t="n">
        <x:v>39</x:v>
      </x:c>
      <x:c r="H586" s="1" t="n">
        <x:v>0</x:v>
      </x:c>
      <x:c r="I586" s="1" t="n">
        <x:v>1</x:v>
      </x:c>
      <x:c r="J586" s="1" t="str">
        <x:v>yes</x:v>
      </x:c>
      <x:c r="K586" s="1" t="n">
        <x:f>2*H586+E586+IF(G586&gt;30,2,0)-IF(B586&gt;24,1,0)</x:f>
        <x:v>2</x:v>
      </x:c>
      <x:c r="L586" s="1" t="str">
        <x:f>IF(K586&gt;=3,"yes","no")</x:f>
        <x:v>no</x:v>
      </x:c>
      <x:c r="M586" s="1"/>
      <x:c r="N586" s="1"/>
      <x:c r="O586" s="1"/>
    </x:row>
    <x:row r="587">
      <x:c r="A587" s="1" t="str">
        <x:v>S0586</x:v>
      </x:c>
      <x:c r="B587" s="1" t="n">
        <x:v>1</x:v>
      </x:c>
      <x:c r="C587" s="1" t="str">
        <x:v>premium</x:v>
      </x:c>
      <x:c r="D587" s="8" t="n">
        <x:v>15.99</x:v>
      </x:c>
      <x:c r="E587" s="1" t="n">
        <x:v>0</x:v>
      </x:c>
      <x:c r="F587" s="1" t="n">
        <x:v>12</x:v>
      </x:c>
      <x:c r="G587" s="1" t="n">
        <x:v>7</x:v>
      </x:c>
      <x:c r="H587" s="1" t="n">
        <x:v>0</x:v>
      </x:c>
      <x:c r="I587" s="1" t="n">
        <x:v>0</x:v>
      </x:c>
      <x:c r="J587" s="1" t="str">
        <x:v>no</x:v>
      </x:c>
      <x:c r="K587" s="1" t="n">
        <x:f>2*H587+E587+IF(G587&gt;30,2,0)-IF(B587&gt;24,1,0)</x:f>
        <x:v>0</x:v>
      </x:c>
      <x:c r="L587" s="1" t="str">
        <x:f>IF(K587&gt;=3,"yes","no")</x:f>
        <x:v>no</x:v>
      </x:c>
      <x:c r="M587" s="1"/>
      <x:c r="N587" s="1"/>
      <x:c r="O587" s="1"/>
    </x:row>
    <x:row r="588">
      <x:c r="A588" s="1" t="str">
        <x:v>S0587</x:v>
      </x:c>
      <x:c r="B588" s="1" t="n">
        <x:v>2</x:v>
      </x:c>
      <x:c r="C588" s="1" t="str">
        <x:v>premium</x:v>
      </x:c>
      <x:c r="D588" s="8" t="n">
        <x:v>15.99</x:v>
      </x:c>
      <x:c r="E588" s="1" t="n">
        <x:v>1</x:v>
      </x:c>
      <x:c r="F588" s="1" t="n">
        <x:v>0</x:v>
      </x:c>
      <x:c r="G588" s="1" t="n">
        <x:v>31</x:v>
      </x:c>
      <x:c r="H588" s="1" t="n">
        <x:v>0</x:v>
      </x:c>
      <x:c r="I588" s="1" t="n">
        <x:v>0</x:v>
      </x:c>
      <x:c r="J588" s="1" t="str">
        <x:v>yes</x:v>
      </x:c>
      <x:c r="K588" s="1" t="n">
        <x:f>2*H588+E588+IF(G588&gt;30,2,0)-IF(B588&gt;24,1,0)</x:f>
        <x:v>3</x:v>
      </x:c>
      <x:c r="L588" s="1" t="str">
        <x:f>IF(K588&gt;=3,"yes","no")</x:f>
        <x:v>yes</x:v>
      </x:c>
      <x:c r="M588" s="1"/>
      <x:c r="N588" s="1"/>
      <x:c r="O588" s="1"/>
    </x:row>
    <x:row r="589">
      <x:c r="A589" s="1" t="str">
        <x:v>S0588</x:v>
      </x:c>
      <x:c r="B589" s="1" t="n">
        <x:v>6</x:v>
      </x:c>
      <x:c r="C589" s="1" t="str">
        <x:v>basic</x:v>
      </x:c>
      <x:c r="D589" s="8" t="n">
        <x:v>9.99</x:v>
      </x:c>
      <x:c r="E589" s="1" t="n">
        <x:v>0</x:v>
      </x:c>
      <x:c r="F589" s="1" t="n">
        <x:v>0</x:v>
      </x:c>
      <x:c r="G589" s="1" t="n">
        <x:v>31</x:v>
      </x:c>
      <x:c r="H589" s="1" t="n">
        <x:v>0</x:v>
      </x:c>
      <x:c r="I589" s="1" t="n">
        <x:v>0</x:v>
      </x:c>
      <x:c r="J589" s="1" t="str">
        <x:v>no</x:v>
      </x:c>
      <x:c r="K589" s="1" t="n">
        <x:f>2*H589+E589+IF(G589&gt;30,2,0)-IF(B589&gt;24,1,0)</x:f>
        <x:v>2</x:v>
      </x:c>
      <x:c r="L589" s="1" t="str">
        <x:f>IF(K589&gt;=3,"yes","no")</x:f>
        <x:v>no</x:v>
      </x:c>
      <x:c r="M589" s="1"/>
      <x:c r="N589" s="1"/>
      <x:c r="O589" s="1"/>
    </x:row>
    <x:row r="590">
      <x:c r="A590" s="1" t="str">
        <x:v>S0589</x:v>
      </x:c>
      <x:c r="B590" s="1" t="n">
        <x:v>10</x:v>
      </x:c>
      <x:c r="C590" s="1" t="str">
        <x:v>premium</x:v>
      </x:c>
      <x:c r="D590" s="8" t="n">
        <x:v>15.99</x:v>
      </x:c>
      <x:c r="E590" s="1" t="n">
        <x:v>0</x:v>
      </x:c>
      <x:c r="F590" s="1" t="n">
        <x:v>1</x:v>
      </x:c>
      <x:c r="G590" s="1" t="n">
        <x:v>27</x:v>
      </x:c>
      <x:c r="H590" s="1" t="n">
        <x:v>0</x:v>
      </x:c>
      <x:c r="I590" s="1" t="n">
        <x:v>0</x:v>
      </x:c>
      <x:c r="J590" s="1" t="str">
        <x:v>yes</x:v>
      </x:c>
      <x:c r="K590" s="1" t="n">
        <x:f>2*H590+E590+IF(G590&gt;30,2,0)-IF(B590&gt;24,1,0)</x:f>
        <x:v>0</x:v>
      </x:c>
      <x:c r="L590" s="1" t="str">
        <x:f>IF(K590&gt;=3,"yes","no")</x:f>
        <x:v>no</x:v>
      </x:c>
      <x:c r="M590" s="1"/>
      <x:c r="N590" s="1"/>
      <x:c r="O590" s="1"/>
    </x:row>
    <x:row r="591">
      <x:c r="A591" s="1" t="str">
        <x:v>S0590</x:v>
      </x:c>
      <x:c r="B591" s="1" t="n">
        <x:v>22</x:v>
      </x:c>
      <x:c r="C591" s="1" t="str">
        <x:v>basic</x:v>
      </x:c>
      <x:c r="D591" s="8" t="n">
        <x:v>9.99</x:v>
      </x:c>
      <x:c r="E591" s="1" t="n">
        <x:v>0</x:v>
      </x:c>
      <x:c r="F591" s="1" t="n">
        <x:v>23</x:v>
      </x:c>
      <x:c r="G591" s="1" t="n">
        <x:v>3</x:v>
      </x:c>
      <x:c r="H591" s="1" t="n">
        <x:v>0</x:v>
      </x:c>
      <x:c r="I591" s="1" t="n">
        <x:v>0</x:v>
      </x:c>
      <x:c r="J591" s="1" t="str">
        <x:v>no</x:v>
      </x:c>
      <x:c r="K591" s="1" t="n">
        <x:f>2*H591+E591+IF(G591&gt;30,2,0)-IF(B591&gt;24,1,0)</x:f>
        <x:v>0</x:v>
      </x:c>
      <x:c r="L591" s="1" t="str">
        <x:f>IF(K591&gt;=3,"yes","no")</x:f>
        <x:v>no</x:v>
      </x:c>
      <x:c r="M591" s="1"/>
      <x:c r="N591" s="1"/>
      <x:c r="O591" s="1"/>
    </x:row>
    <x:row r="592">
      <x:c r="A592" s="1" t="str">
        <x:v>S0591</x:v>
      </x:c>
      <x:c r="B592" s="1" t="n">
        <x:v>2</x:v>
      </x:c>
      <x:c r="C592" s="1" t="str">
        <x:v>basic</x:v>
      </x:c>
      <x:c r="D592" s="8" t="n">
        <x:v>9.99</x:v>
      </x:c>
      <x:c r="E592" s="1" t="n">
        <x:v>0</x:v>
      </x:c>
      <x:c r="F592" s="1" t="n">
        <x:v>3</x:v>
      </x:c>
      <x:c r="G592" s="1" t="n">
        <x:v>24</x:v>
      </x:c>
      <x:c r="H592" s="1" t="n">
        <x:v>0</x:v>
      </x:c>
      <x:c r="I592" s="1" t="n">
        <x:v>1</x:v>
      </x:c>
      <x:c r="J592" s="1" t="str">
        <x:v>no</x:v>
      </x:c>
      <x:c r="K592" s="1" t="n">
        <x:f>2*H592+E592+IF(G592&gt;30,2,0)-IF(B592&gt;24,1,0)</x:f>
        <x:v>0</x:v>
      </x:c>
      <x:c r="L592" s="1" t="str">
        <x:f>IF(K592&gt;=3,"yes","no")</x:f>
        <x:v>no</x:v>
      </x:c>
      <x:c r="M592" s="1"/>
      <x:c r="N592" s="1"/>
      <x:c r="O592" s="1"/>
    </x:row>
    <x:row r="593">
      <x:c r="A593" s="1" t="str">
        <x:v>S0592</x:v>
      </x:c>
      <x:c r="B593" s="1" t="n">
        <x:v>27</x:v>
      </x:c>
      <x:c r="C593" s="1" t="str">
        <x:v>basic</x:v>
      </x:c>
      <x:c r="D593" s="8" t="n">
        <x:v>9.99</x:v>
      </x:c>
      <x:c r="E593" s="1" t="n">
        <x:v>2</x:v>
      </x:c>
      <x:c r="F593" s="1" t="n">
        <x:v>18</x:v>
      </x:c>
      <x:c r="G593" s="1" t="n">
        <x:v>7</x:v>
      </x:c>
      <x:c r="H593" s="1" t="n">
        <x:v>0</x:v>
      </x:c>
      <x:c r="I593" s="1" t="n">
        <x:v>0</x:v>
      </x:c>
      <x:c r="J593" s="1" t="str">
        <x:v>no</x:v>
      </x:c>
      <x:c r="K593" s="1" t="n">
        <x:f>2*H593+E593+IF(G593&gt;30,2,0)-IF(B593&gt;24,1,0)</x:f>
        <x:v>1</x:v>
      </x:c>
      <x:c r="L593" s="1" t="str">
        <x:f>IF(K593&gt;=3,"yes","no")</x:f>
        <x:v>no</x:v>
      </x:c>
      <x:c r="M593" s="1"/>
      <x:c r="N593" s="1"/>
      <x:c r="O593" s="1"/>
    </x:row>
    <x:row r="594">
      <x:c r="A594" s="1" t="str">
        <x:v>S0593</x:v>
      </x:c>
      <x:c r="B594" s="1" t="n">
        <x:v>1</x:v>
      </x:c>
      <x:c r="C594" s="1" t="str">
        <x:v>basic</x:v>
      </x:c>
      <x:c r="D594" s="8" t="n">
        <x:v>9.99</x:v>
      </x:c>
      <x:c r="E594" s="1" t="n">
        <x:v>0</x:v>
      </x:c>
      <x:c r="F594" s="1" t="n">
        <x:v>13</x:v>
      </x:c>
      <x:c r="G594" s="1" t="n">
        <x:v>5</x:v>
      </x:c>
      <x:c r="H594" s="1" t="n">
        <x:v>0</x:v>
      </x:c>
      <x:c r="I594" s="1" t="n">
        <x:v>0</x:v>
      </x:c>
      <x:c r="J594" s="1" t="str">
        <x:v>no</x:v>
      </x:c>
      <x:c r="K594" s="1" t="n">
        <x:f>2*H594+E594+IF(G594&gt;30,2,0)-IF(B594&gt;24,1,0)</x:f>
        <x:v>0</x:v>
      </x:c>
      <x:c r="L594" s="1" t="str">
        <x:f>IF(K594&gt;=3,"yes","no")</x:f>
        <x:v>no</x:v>
      </x:c>
      <x:c r="M594" s="1"/>
      <x:c r="N594" s="1"/>
      <x:c r="O594" s="1"/>
    </x:row>
    <x:row r="595">
      <x:c r="A595" s="1" t="str">
        <x:v>S0594</x:v>
      </x:c>
      <x:c r="B595" s="1" t="n">
        <x:v>39</x:v>
      </x:c>
      <x:c r="C595" s="1" t="str">
        <x:v>basic</x:v>
      </x:c>
      <x:c r="D595" s="8" t="n">
        <x:v>9.99</x:v>
      </x:c>
      <x:c r="E595" s="1" t="n">
        <x:v>0</x:v>
      </x:c>
      <x:c r="F595" s="1" t="n">
        <x:v>20</x:v>
      </x:c>
      <x:c r="G595" s="1" t="n">
        <x:v>3</x:v>
      </x:c>
      <x:c r="H595" s="1" t="n">
        <x:v>0</x:v>
      </x:c>
      <x:c r="I595" s="1" t="n">
        <x:v>0</x:v>
      </x:c>
      <x:c r="J595" s="1" t="str">
        <x:v>no</x:v>
      </x:c>
      <x:c r="K595" s="1" t="n">
        <x:f>2*H595+E595+IF(G595&gt;30,2,0)-IF(B595&gt;24,1,0)</x:f>
        <x:v>-1</x:v>
      </x:c>
      <x:c r="L595" s="1" t="str">
        <x:f>IF(K595&gt;=3,"yes","no")</x:f>
        <x:v>no</x:v>
      </x:c>
      <x:c r="M595" s="1"/>
      <x:c r="N595" s="1"/>
      <x:c r="O595" s="1"/>
    </x:row>
    <x:row r="596">
      <x:c r="A596" s="1" t="str">
        <x:v>S0595</x:v>
      </x:c>
      <x:c r="B596" s="1" t="n">
        <x:v>15</x:v>
      </x:c>
      <x:c r="C596" s="1" t="str">
        <x:v>premium</x:v>
      </x:c>
      <x:c r="D596" s="8" t="n">
        <x:v>15.99</x:v>
      </x:c>
      <x:c r="E596" s="1" t="n">
        <x:v>0</x:v>
      </x:c>
      <x:c r="F596" s="1" t="n">
        <x:v>15</x:v>
      </x:c>
      <x:c r="G596" s="1" t="n">
        <x:v>5</x:v>
      </x:c>
      <x:c r="H596" s="1" t="n">
        <x:v>1</x:v>
      </x:c>
      <x:c r="I596" s="1" t="n">
        <x:v>0</x:v>
      </x:c>
      <x:c r="J596" s="1" t="str">
        <x:v>yes</x:v>
      </x:c>
      <x:c r="K596" s="1" t="n">
        <x:f>2*H596+E596+IF(G596&gt;30,2,0)-IF(B596&gt;24,1,0)</x:f>
        <x:v>2</x:v>
      </x:c>
      <x:c r="L596" s="1" t="str">
        <x:f>IF(K596&gt;=3,"yes","no")</x:f>
        <x:v>no</x:v>
      </x:c>
      <x:c r="M596" s="1"/>
      <x:c r="N596" s="1"/>
      <x:c r="O596" s="1"/>
    </x:row>
    <x:row r="597">
      <x:c r="A597" s="1" t="str">
        <x:v>S0596</x:v>
      </x:c>
      <x:c r="B597" s="1" t="n">
        <x:v>36</x:v>
      </x:c>
      <x:c r="C597" s="1" t="str">
        <x:v>basic</x:v>
      </x:c>
      <x:c r="D597" s="8" t="n">
        <x:v>9.99</x:v>
      </x:c>
      <x:c r="E597" s="1" t="n">
        <x:v>2</x:v>
      </x:c>
      <x:c r="F597" s="1" t="n">
        <x:v>18</x:v>
      </x:c>
      <x:c r="G597" s="1" t="n">
        <x:v>2</x:v>
      </x:c>
      <x:c r="H597" s="1" t="n">
        <x:v>0</x:v>
      </x:c>
      <x:c r="I597" s="1" t="n">
        <x:v>0</x:v>
      </x:c>
      <x:c r="J597" s="1" t="str">
        <x:v>no</x:v>
      </x:c>
      <x:c r="K597" s="1" t="n">
        <x:f>2*H597+E597+IF(G597&gt;30,2,0)-IF(B597&gt;24,1,0)</x:f>
        <x:v>1</x:v>
      </x:c>
      <x:c r="L597" s="1" t="str">
        <x:f>IF(K597&gt;=3,"yes","no")</x:f>
        <x:v>no</x:v>
      </x:c>
      <x:c r="M597" s="1"/>
      <x:c r="N597" s="1"/>
      <x:c r="O597" s="1"/>
    </x:row>
    <x:row r="598">
      <x:c r="A598" s="1" t="str">
        <x:v>S0597</x:v>
      </x:c>
      <x:c r="B598" s="1" t="n">
        <x:v>37</x:v>
      </x:c>
      <x:c r="C598" s="1" t="str">
        <x:v>premium</x:v>
      </x:c>
      <x:c r="D598" s="8" t="n">
        <x:v>15.99</x:v>
      </x:c>
      <x:c r="E598" s="1" t="n">
        <x:v>0</x:v>
      </x:c>
      <x:c r="F598" s="1" t="n">
        <x:v>0</x:v>
      </x:c>
      <x:c r="G598" s="1" t="n">
        <x:v>36</x:v>
      </x:c>
      <x:c r="H598" s="1" t="n">
        <x:v>0</x:v>
      </x:c>
      <x:c r="I598" s="1" t="n">
        <x:v>0</x:v>
      </x:c>
      <x:c r="J598" s="1" t="str">
        <x:v>yes</x:v>
      </x:c>
      <x:c r="K598" s="1" t="n">
        <x:f>2*H598+E598+IF(G598&gt;30,2,0)-IF(B598&gt;24,1,0)</x:f>
        <x:v>1</x:v>
      </x:c>
      <x:c r="L598" s="1" t="str">
        <x:f>IF(K598&gt;=3,"yes","no")</x:f>
        <x:v>no</x:v>
      </x:c>
      <x:c r="M598" s="1"/>
      <x:c r="N598" s="1"/>
      <x:c r="O598" s="1"/>
    </x:row>
    <x:row r="599">
      <x:c r="A599" s="1" t="str">
        <x:v>S0598</x:v>
      </x:c>
      <x:c r="B599" s="1" t="n">
        <x:v>25</x:v>
      </x:c>
      <x:c r="C599" s="1" t="str">
        <x:v>basic</x:v>
      </x:c>
      <x:c r="D599" s="8" t="n">
        <x:v>9.99</x:v>
      </x:c>
      <x:c r="E599" s="1" t="n">
        <x:v>2</x:v>
      </x:c>
      <x:c r="F599" s="1" t="n">
        <x:v>22</x:v>
      </x:c>
      <x:c r="G599" s="1" t="n">
        <x:v>3</x:v>
      </x:c>
      <x:c r="H599" s="1" t="n">
        <x:v>0</x:v>
      </x:c>
      <x:c r="I599" s="1" t="n">
        <x:v>0</x:v>
      </x:c>
      <x:c r="J599" s="1" t="str">
        <x:v>no</x:v>
      </x:c>
      <x:c r="K599" s="1" t="n">
        <x:f>2*H599+E599+IF(G599&gt;30,2,0)-IF(B599&gt;24,1,0)</x:f>
        <x:v>1</x:v>
      </x:c>
      <x:c r="L599" s="1" t="str">
        <x:f>IF(K599&gt;=3,"yes","no")</x:f>
        <x:v>no</x:v>
      </x:c>
      <x:c r="M599" s="1"/>
      <x:c r="N599" s="1"/>
      <x:c r="O599" s="1"/>
    </x:row>
    <x:row r="600">
      <x:c r="A600" s="1" t="str">
        <x:v>S0599</x:v>
      </x:c>
      <x:c r="B600" s="1" t="n">
        <x:v>13</x:v>
      </x:c>
      <x:c r="C600" s="1" t="str">
        <x:v>basic</x:v>
      </x:c>
      <x:c r="D600" s="8" t="n">
        <x:v>9.99</x:v>
      </x:c>
      <x:c r="E600" s="1" t="n">
        <x:v>3</x:v>
      </x:c>
      <x:c r="F600" s="1" t="n">
        <x:v>9</x:v>
      </x:c>
      <x:c r="G600" s="1" t="n">
        <x:v>9</x:v>
      </x:c>
      <x:c r="H600" s="1" t="n">
        <x:v>0</x:v>
      </x:c>
      <x:c r="I600" s="1" t="n">
        <x:v>0</x:v>
      </x:c>
      <x:c r="J600" s="1" t="str">
        <x:v>no</x:v>
      </x:c>
      <x:c r="K600" s="1" t="n">
        <x:f>2*H600+E600+IF(G600&gt;30,2,0)-IF(B600&gt;24,1,0)</x:f>
        <x:v>3</x:v>
      </x:c>
      <x:c r="L600" s="1" t="str">
        <x:f>IF(K600&gt;=3,"yes","no")</x:f>
        <x:v>yes</x:v>
      </x:c>
      <x:c r="M600" s="1"/>
      <x:c r="N600" s="1"/>
      <x:c r="O600" s="1"/>
    </x:row>
    <x:row r="601">
      <x:c r="A601" s="1" t="str">
        <x:v>S0600</x:v>
      </x:c>
      <x:c r="B601" s="1" t="n">
        <x:v>16</x:v>
      </x:c>
      <x:c r="C601" s="1" t="str">
        <x:v>premium</x:v>
      </x:c>
      <x:c r="D601" s="8" t="n">
        <x:v>15.99</x:v>
      </x:c>
      <x:c r="E601" s="1" t="n">
        <x:v>1</x:v>
      </x:c>
      <x:c r="F601" s="1" t="n">
        <x:v>0</x:v>
      </x:c>
      <x:c r="G601" s="1" t="n">
        <x:v>34</x:v>
      </x:c>
      <x:c r="H601" s="1" t="n">
        <x:v>0</x:v>
      </x:c>
      <x:c r="I601" s="1" t="n">
        <x:v>0</x:v>
      </x:c>
      <x:c r="J601" s="1" t="str">
        <x:v>no</x:v>
      </x:c>
      <x:c r="K601" s="1" t="n">
        <x:f>2*H601+E601+IF(G601&gt;30,2,0)-IF(B601&gt;24,1,0)</x:f>
        <x:v>3</x:v>
      </x:c>
      <x:c r="L601" s="1" t="str">
        <x:f>IF(K601&gt;=3,"yes","no")</x:f>
        <x:v>yes</x:v>
      </x:c>
      <x:c r="M601" s="1"/>
      <x:c r="N601" s="1"/>
      <x:c r="O601" s="1"/>
    </x:row>
    <x:row r="602">
      <x:c r="A602" s="1" t="str">
        <x:v>S0601</x:v>
      </x:c>
      <x:c r="B602" s="1" t="n">
        <x:v>6</x:v>
      </x:c>
      <x:c r="C602" s="1" t="str">
        <x:v>basic</x:v>
      </x:c>
      <x:c r="D602" s="8" t="n">
        <x:v>9.99</x:v>
      </x:c>
      <x:c r="E602" s="1" t="n">
        <x:v>1</x:v>
      </x:c>
      <x:c r="F602" s="1" t="n">
        <x:v>21</x:v>
      </x:c>
      <x:c r="G602" s="1" t="n">
        <x:v>6</x:v>
      </x:c>
      <x:c r="H602" s="1" t="n">
        <x:v>0</x:v>
      </x:c>
      <x:c r="I602" s="1" t="n">
        <x:v>0</x:v>
      </x:c>
      <x:c r="J602" s="1" t="str">
        <x:v>no</x:v>
      </x:c>
      <x:c r="K602" s="1" t="n">
        <x:f>2*H602+E602+IF(G602&gt;30,2,0)-IF(B602&gt;24,1,0)</x:f>
        <x:v>1</x:v>
      </x:c>
      <x:c r="L602" s="1" t="str">
        <x:f>IF(K602&gt;=3,"yes","no")</x:f>
        <x:v>no</x:v>
      </x:c>
      <x:c r="M602" s="1"/>
      <x:c r="N602" s="1"/>
      <x:c r="O602" s="1"/>
    </x:row>
    <x:row r="603">
      <x:c r="A603" s="1" t="str">
        <x:v>S0602</x:v>
      </x:c>
      <x:c r="B603" s="1" t="n">
        <x:v>4</x:v>
      </x:c>
      <x:c r="C603" s="1" t="str">
        <x:v>premium</x:v>
      </x:c>
      <x:c r="D603" s="8" t="n">
        <x:v>15.99</x:v>
      </x:c>
      <x:c r="E603" s="1" t="n">
        <x:v>1</x:v>
      </x:c>
      <x:c r="F603" s="1" t="n">
        <x:v>0</x:v>
      </x:c>
      <x:c r="G603" s="1" t="n">
        <x:v>57</x:v>
      </x:c>
      <x:c r="H603" s="1" t="n">
        <x:v>0</x:v>
      </x:c>
      <x:c r="I603" s="1" t="n">
        <x:v>0</x:v>
      </x:c>
      <x:c r="J603" s="1" t="str">
        <x:v>yes</x:v>
      </x:c>
      <x:c r="K603" s="1" t="n">
        <x:f>2*H603+E603+IF(G603&gt;30,2,0)-IF(B603&gt;24,1,0)</x:f>
        <x:v>3</x:v>
      </x:c>
      <x:c r="L603" s="1" t="str">
        <x:f>IF(K603&gt;=3,"yes","no")</x:f>
        <x:v>yes</x:v>
      </x:c>
      <x:c r="M603" s="1"/>
      <x:c r="N603" s="1"/>
      <x:c r="O603" s="1"/>
    </x:row>
    <x:row r="604">
      <x:c r="A604" s="1" t="str">
        <x:v>S0603</x:v>
      </x:c>
      <x:c r="B604" s="1" t="n">
        <x:v>44</x:v>
      </x:c>
      <x:c r="C604" s="1" t="str">
        <x:v>basic</x:v>
      </x:c>
      <x:c r="D604" s="8" t="n">
        <x:v>9.99</x:v>
      </x:c>
      <x:c r="E604" s="1" t="n">
        <x:v>1</x:v>
      </x:c>
      <x:c r="F604" s="1" t="n">
        <x:v>30</x:v>
      </x:c>
      <x:c r="G604" s="1" t="n">
        <x:v>0</x:v>
      </x:c>
      <x:c r="H604" s="1" t="n">
        <x:v>0</x:v>
      </x:c>
      <x:c r="I604" s="1" t="n">
        <x:v>0</x:v>
      </x:c>
      <x:c r="J604" s="1" t="str">
        <x:v>no</x:v>
      </x:c>
      <x:c r="K604" s="1" t="n">
        <x:f>2*H604+E604+IF(G604&gt;30,2,0)-IF(B604&gt;24,1,0)</x:f>
        <x:v>0</x:v>
      </x:c>
      <x:c r="L604" s="1" t="str">
        <x:f>IF(K604&gt;=3,"yes","no")</x:f>
        <x:v>no</x:v>
      </x:c>
      <x:c r="M604" s="1"/>
      <x:c r="N604" s="1"/>
      <x:c r="O604" s="1"/>
    </x:row>
    <x:row r="605">
      <x:c r="A605" s="1" t="str">
        <x:v>S0604</x:v>
      </x:c>
      <x:c r="B605" s="1" t="n">
        <x:v>4</x:v>
      </x:c>
      <x:c r="C605" s="1" t="str">
        <x:v>basic</x:v>
      </x:c>
      <x:c r="D605" s="8" t="n">
        <x:v>9.99</x:v>
      </x:c>
      <x:c r="E605" s="1" t="n">
        <x:v>0</x:v>
      </x:c>
      <x:c r="F605" s="1" t="n">
        <x:v>13</x:v>
      </x:c>
      <x:c r="G605" s="1" t="n">
        <x:v>21</x:v>
      </x:c>
      <x:c r="H605" s="1" t="n">
        <x:v>2</x:v>
      </x:c>
      <x:c r="I605" s="1" t="n">
        <x:v>1</x:v>
      </x:c>
      <x:c r="J605" s="1" t="str">
        <x:v>no</x:v>
      </x:c>
      <x:c r="K605" s="1" t="n">
        <x:f>2*H605+E605+IF(G605&gt;30,2,0)-IF(B605&gt;24,1,0)</x:f>
        <x:v>4</x:v>
      </x:c>
      <x:c r="L605" s="1" t="str">
        <x:f>IF(K605&gt;=3,"yes","no")</x:f>
        <x:v>yes</x:v>
      </x:c>
      <x:c r="M605" s="1"/>
      <x:c r="N605" s="1"/>
      <x:c r="O605" s="1"/>
    </x:row>
    <x:row r="606">
      <x:c r="A606" s="1" t="str">
        <x:v>S0605</x:v>
      </x:c>
      <x:c r="B606" s="1" t="n">
        <x:v>27</x:v>
      </x:c>
      <x:c r="C606" s="1" t="str">
        <x:v>basic</x:v>
      </x:c>
      <x:c r="D606" s="8" t="n">
        <x:v>9.99</x:v>
      </x:c>
      <x:c r="E606" s="1" t="n">
        <x:v>0</x:v>
      </x:c>
      <x:c r="F606" s="1" t="n">
        <x:v>18</x:v>
      </x:c>
      <x:c r="G606" s="1" t="n">
        <x:v>4</x:v>
      </x:c>
      <x:c r="H606" s="1" t="n">
        <x:v>0</x:v>
      </x:c>
      <x:c r="I606" s="1" t="n">
        <x:v>0</x:v>
      </x:c>
      <x:c r="J606" s="1" t="str">
        <x:v>no</x:v>
      </x:c>
      <x:c r="K606" s="1" t="n">
        <x:f>2*H606+E606+IF(G606&gt;30,2,0)-IF(B606&gt;24,1,0)</x:f>
        <x:v>-1</x:v>
      </x:c>
      <x:c r="L606" s="1" t="str">
        <x:f>IF(K606&gt;=3,"yes","no")</x:f>
        <x:v>no</x:v>
      </x:c>
      <x:c r="M606" s="1"/>
      <x:c r="N606" s="1"/>
      <x:c r="O606" s="1"/>
    </x:row>
    <x:row r="607">
      <x:c r="A607" s="1" t="str">
        <x:v>S0606</x:v>
      </x:c>
      <x:c r="B607" s="1" t="n">
        <x:v>25</x:v>
      </x:c>
      <x:c r="C607" s="1" t="str">
        <x:v>premium</x:v>
      </x:c>
      <x:c r="D607" s="8" t="n">
        <x:v>15.99</x:v>
      </x:c>
      <x:c r="E607" s="1" t="n">
        <x:v>0</x:v>
      </x:c>
      <x:c r="F607" s="1" t="n">
        <x:v>20</x:v>
      </x:c>
      <x:c r="G607" s="1" t="n">
        <x:v>2</x:v>
      </x:c>
      <x:c r="H607" s="1" t="n">
        <x:v>0</x:v>
      </x:c>
      <x:c r="I607" s="1" t="n">
        <x:v>1</x:v>
      </x:c>
      <x:c r="J607" s="1" t="str">
        <x:v>no</x:v>
      </x:c>
      <x:c r="K607" s="1" t="n">
        <x:f>2*H607+E607+IF(G607&gt;30,2,0)-IF(B607&gt;24,1,0)</x:f>
        <x:v>-1</x:v>
      </x:c>
      <x:c r="L607" s="1" t="str">
        <x:f>IF(K607&gt;=3,"yes","no")</x:f>
        <x:v>no</x:v>
      </x:c>
      <x:c r="M607" s="1"/>
      <x:c r="N607" s="1"/>
      <x:c r="O607" s="1"/>
    </x:row>
    <x:row r="608">
      <x:c r="A608" s="1" t="str">
        <x:v>S0607</x:v>
      </x:c>
      <x:c r="B608" s="1" t="n">
        <x:v>45</x:v>
      </x:c>
      <x:c r="C608" s="1" t="str">
        <x:v>basic</x:v>
      </x:c>
      <x:c r="D608" s="8" t="n">
        <x:v>9.99</x:v>
      </x:c>
      <x:c r="E608" s="1" t="n">
        <x:v>0</x:v>
      </x:c>
      <x:c r="F608" s="1" t="n">
        <x:v>21</x:v>
      </x:c>
      <x:c r="G608" s="1" t="n">
        <x:v>5</x:v>
      </x:c>
      <x:c r="H608" s="1" t="n">
        <x:v>0</x:v>
      </x:c>
      <x:c r="I608" s="1" t="n">
        <x:v>1</x:v>
      </x:c>
      <x:c r="J608" s="1" t="str">
        <x:v>no</x:v>
      </x:c>
      <x:c r="K608" s="1" t="n">
        <x:f>2*H608+E608+IF(G608&gt;30,2,0)-IF(B608&gt;24,1,0)</x:f>
        <x:v>-1</x:v>
      </x:c>
      <x:c r="L608" s="1" t="str">
        <x:f>IF(K608&gt;=3,"yes","no")</x:f>
        <x:v>no</x:v>
      </x:c>
      <x:c r="M608" s="1"/>
      <x:c r="N608" s="1"/>
      <x:c r="O608" s="1"/>
    </x:row>
    <x:row r="609">
      <x:c r="A609" s="1" t="str">
        <x:v>S0608</x:v>
      </x:c>
      <x:c r="B609" s="1" t="n">
        <x:v>12</x:v>
      </x:c>
      <x:c r="C609" s="1" t="str">
        <x:v>basic</x:v>
      </x:c>
      <x:c r="D609" s="8" t="n">
        <x:v>9.99</x:v>
      </x:c>
      <x:c r="E609" s="1" t="n">
        <x:v>0</x:v>
      </x:c>
      <x:c r="F609" s="1" t="n">
        <x:v>15</x:v>
      </x:c>
      <x:c r="G609" s="1" t="n">
        <x:v>0</x:v>
      </x:c>
      <x:c r="H609" s="1" t="n">
        <x:v>0</x:v>
      </x:c>
      <x:c r="I609" s="1" t="n">
        <x:v>0</x:v>
      </x:c>
      <x:c r="J609" s="1" t="str">
        <x:v>yes</x:v>
      </x:c>
      <x:c r="K609" s="1" t="n">
        <x:f>2*H609+E609+IF(G609&gt;30,2,0)-IF(B609&gt;24,1,0)</x:f>
        <x:v>0</x:v>
      </x:c>
      <x:c r="L609" s="1" t="str">
        <x:f>IF(K609&gt;=3,"yes","no")</x:f>
        <x:v>no</x:v>
      </x:c>
      <x:c r="M609" s="1"/>
      <x:c r="N609" s="1"/>
      <x:c r="O609" s="1"/>
    </x:row>
    <x:row r="610">
      <x:c r="A610" s="1" t="str">
        <x:v>S0609</x:v>
      </x:c>
      <x:c r="B610" s="1" t="n">
        <x:v>41</x:v>
      </x:c>
      <x:c r="C610" s="1" t="str">
        <x:v>basic</x:v>
      </x:c>
      <x:c r="D610" s="8" t="n">
        <x:v>9.99</x:v>
      </x:c>
      <x:c r="E610" s="1" t="n">
        <x:v>3</x:v>
      </x:c>
      <x:c r="F610" s="1" t="n">
        <x:v>12</x:v>
      </x:c>
      <x:c r="G610" s="1" t="n">
        <x:v>4</x:v>
      </x:c>
      <x:c r="H610" s="1" t="n">
        <x:v>0</x:v>
      </x:c>
      <x:c r="I610" s="1" t="n">
        <x:v>0</x:v>
      </x:c>
      <x:c r="J610" s="1" t="str">
        <x:v>no</x:v>
      </x:c>
      <x:c r="K610" s="1" t="n">
        <x:f>2*H610+E610+IF(G610&gt;30,2,0)-IF(B610&gt;24,1,0)</x:f>
        <x:v>2</x:v>
      </x:c>
      <x:c r="L610" s="1" t="str">
        <x:f>IF(K610&gt;=3,"yes","no")</x:f>
        <x:v>no</x:v>
      </x:c>
      <x:c r="M610" s="1"/>
      <x:c r="N610" s="1"/>
      <x:c r="O610" s="1"/>
    </x:row>
    <x:row r="611">
      <x:c r="A611" s="1" t="str">
        <x:v>S0610</x:v>
      </x:c>
      <x:c r="B611" s="1" t="n">
        <x:v>30</x:v>
      </x:c>
      <x:c r="C611" s="1" t="str">
        <x:v>basic</x:v>
      </x:c>
      <x:c r="D611" s="8" t="n">
        <x:v>9.99</x:v>
      </x:c>
      <x:c r="E611" s="1" t="n">
        <x:v>0</x:v>
      </x:c>
      <x:c r="F611" s="1" t="n">
        <x:v>26</x:v>
      </x:c>
      <x:c r="G611" s="1" t="n">
        <x:v>4</x:v>
      </x:c>
      <x:c r="H611" s="1" t="n">
        <x:v>1</x:v>
      </x:c>
      <x:c r="I611" s="1" t="n">
        <x:v>0</x:v>
      </x:c>
      <x:c r="J611" s="1" t="str">
        <x:v>no</x:v>
      </x:c>
      <x:c r="K611" s="1" t="n">
        <x:f>2*H611+E611+IF(G611&gt;30,2,0)-IF(B611&gt;24,1,0)</x:f>
        <x:v>1</x:v>
      </x:c>
      <x:c r="L611" s="1" t="str">
        <x:f>IF(K611&gt;=3,"yes","no")</x:f>
        <x:v>no</x:v>
      </x:c>
      <x:c r="M611" s="1"/>
      <x:c r="N611" s="1"/>
      <x:c r="O611" s="1"/>
    </x:row>
    <x:row r="612">
      <x:c r="A612" s="1" t="str">
        <x:v>S0611</x:v>
      </x:c>
      <x:c r="B612" s="1" t="n">
        <x:v>16</x:v>
      </x:c>
      <x:c r="C612" s="1" t="str">
        <x:v>basic</x:v>
      </x:c>
      <x:c r="D612" s="8" t="n">
        <x:v>9.99</x:v>
      </x:c>
      <x:c r="E612" s="1" t="n">
        <x:v>2</x:v>
      </x:c>
      <x:c r="F612" s="1" t="n">
        <x:v>0</x:v>
      </x:c>
      <x:c r="G612" s="1" t="n">
        <x:v>32</x:v>
      </x:c>
      <x:c r="H612" s="1" t="n">
        <x:v>0</x:v>
      </x:c>
      <x:c r="I612" s="1" t="n">
        <x:v>0</x:v>
      </x:c>
      <x:c r="J612" s="1" t="str">
        <x:v>no</x:v>
      </x:c>
      <x:c r="K612" s="1" t="n">
        <x:f>2*H612+E612+IF(G612&gt;30,2,0)-IF(B612&gt;24,1,0)</x:f>
        <x:v>4</x:v>
      </x:c>
      <x:c r="L612" s="1" t="str">
        <x:f>IF(K612&gt;=3,"yes","no")</x:f>
        <x:v>yes</x:v>
      </x:c>
      <x:c r="M612" s="1"/>
      <x:c r="N612" s="1"/>
      <x:c r="O612" s="1"/>
    </x:row>
    <x:row r="613">
      <x:c r="A613" s="1" t="str">
        <x:v>S0612</x:v>
      </x:c>
      <x:c r="B613" s="1" t="n">
        <x:v>11</x:v>
      </x:c>
      <x:c r="C613" s="1" t="str">
        <x:v>basic</x:v>
      </x:c>
      <x:c r="D613" s="8" t="n">
        <x:v>9.99</x:v>
      </x:c>
      <x:c r="E613" s="1" t="n">
        <x:v>4</x:v>
      </x:c>
      <x:c r="F613" s="1" t="n">
        <x:v>31</x:v>
      </x:c>
      <x:c r="G613" s="1" t="n">
        <x:v>2</x:v>
      </x:c>
      <x:c r="H613" s="1" t="n">
        <x:v>0</x:v>
      </x:c>
      <x:c r="I613" s="1" t="n">
        <x:v>0</x:v>
      </x:c>
      <x:c r="J613" s="1" t="str">
        <x:v>no</x:v>
      </x:c>
      <x:c r="K613" s="1" t="n">
        <x:f>2*H613+E613+IF(G613&gt;30,2,0)-IF(B613&gt;24,1,0)</x:f>
        <x:v>4</x:v>
      </x:c>
      <x:c r="L613" s="1" t="str">
        <x:f>IF(K613&gt;=3,"yes","no")</x:f>
        <x:v>yes</x:v>
      </x:c>
      <x:c r="M613" s="1"/>
      <x:c r="N613" s="1"/>
      <x:c r="O613" s="1"/>
    </x:row>
    <x:row r="614">
      <x:c r="A614" s="1" t="str">
        <x:v>S0613</x:v>
      </x:c>
      <x:c r="B614" s="1" t="n">
        <x:v>19</x:v>
      </x:c>
      <x:c r="C614" s="1" t="str">
        <x:v>premium</x:v>
      </x:c>
      <x:c r="D614" s="8" t="n">
        <x:v>15.99</x:v>
      </x:c>
      <x:c r="E614" s="1" t="n">
        <x:v>1</x:v>
      </x:c>
      <x:c r="F614" s="1" t="n">
        <x:v>10</x:v>
      </x:c>
      <x:c r="G614" s="1" t="n">
        <x:v>17</x:v>
      </x:c>
      <x:c r="H614" s="1" t="n">
        <x:v>0</x:v>
      </x:c>
      <x:c r="I614" s="1" t="n">
        <x:v>1</x:v>
      </x:c>
      <x:c r="J614" s="1" t="str">
        <x:v>no</x:v>
      </x:c>
      <x:c r="K614" s="1" t="n">
        <x:f>2*H614+E614+IF(G614&gt;30,2,0)-IF(B614&gt;24,1,0)</x:f>
        <x:v>1</x:v>
      </x:c>
      <x:c r="L614" s="1" t="str">
        <x:f>IF(K614&gt;=3,"yes","no")</x:f>
        <x:v>no</x:v>
      </x:c>
      <x:c r="M614" s="1"/>
      <x:c r="N614" s="1"/>
      <x:c r="O614" s="1"/>
    </x:row>
    <x:row r="615">
      <x:c r="A615" s="1" t="str">
        <x:v>S0614</x:v>
      </x:c>
      <x:c r="B615" s="1" t="n">
        <x:v>24</x:v>
      </x:c>
      <x:c r="C615" s="1" t="str">
        <x:v>basic</x:v>
      </x:c>
      <x:c r="D615" s="8" t="n">
        <x:v>9.99</x:v>
      </x:c>
      <x:c r="E615" s="1" t="n">
        <x:v>1</x:v>
      </x:c>
      <x:c r="F615" s="1" t="n">
        <x:v>17</x:v>
      </x:c>
      <x:c r="G615" s="1" t="n">
        <x:v>5</x:v>
      </x:c>
      <x:c r="H615" s="1" t="n">
        <x:v>0</x:v>
      </x:c>
      <x:c r="I615" s="1" t="n">
        <x:v>0</x:v>
      </x:c>
      <x:c r="J615" s="1" t="str">
        <x:v>no</x:v>
      </x:c>
      <x:c r="K615" s="1" t="n">
        <x:f>2*H615+E615+IF(G615&gt;30,2,0)-IF(B615&gt;24,1,0)</x:f>
        <x:v>1</x:v>
      </x:c>
      <x:c r="L615" s="1" t="str">
        <x:f>IF(K615&gt;=3,"yes","no")</x:f>
        <x:v>no</x:v>
      </x:c>
      <x:c r="M615" s="1"/>
      <x:c r="N615" s="1"/>
      <x:c r="O615" s="1"/>
    </x:row>
    <x:row r="616">
      <x:c r="A616" s="1" t="str">
        <x:v>S0615</x:v>
      </x:c>
      <x:c r="B616" s="1" t="n">
        <x:v>24</x:v>
      </x:c>
      <x:c r="C616" s="1" t="str">
        <x:v>basic</x:v>
      </x:c>
      <x:c r="D616" s="8" t="n">
        <x:v>9.99</x:v>
      </x:c>
      <x:c r="E616" s="1" t="n">
        <x:v>2</x:v>
      </x:c>
      <x:c r="F616" s="1" t="n">
        <x:v>6</x:v>
      </x:c>
      <x:c r="G616" s="1" t="n">
        <x:v>7</x:v>
      </x:c>
      <x:c r="H616" s="1" t="n">
        <x:v>0</x:v>
      </x:c>
      <x:c r="I616" s="1" t="n">
        <x:v>0</x:v>
      </x:c>
      <x:c r="J616" s="1" t="str">
        <x:v>no</x:v>
      </x:c>
      <x:c r="K616" s="1" t="n">
        <x:f>2*H616+E616+IF(G616&gt;30,2,0)-IF(B616&gt;24,1,0)</x:f>
        <x:v>2</x:v>
      </x:c>
      <x:c r="L616" s="1" t="str">
        <x:f>IF(K616&gt;=3,"yes","no")</x:f>
        <x:v>no</x:v>
      </x:c>
      <x:c r="M616" s="1"/>
      <x:c r="N616" s="1"/>
      <x:c r="O616" s="1"/>
    </x:row>
    <x:row r="617">
      <x:c r="A617" s="1" t="str">
        <x:v>S0616</x:v>
      </x:c>
      <x:c r="B617" s="1" t="n">
        <x:v>18</x:v>
      </x:c>
      <x:c r="C617" s="1" t="str">
        <x:v>basic</x:v>
      </x:c>
      <x:c r="D617" s="8" t="n">
        <x:v>9.99</x:v>
      </x:c>
      <x:c r="E617" s="1" t="n">
        <x:v>0</x:v>
      </x:c>
      <x:c r="F617" s="1" t="n">
        <x:v>12</x:v>
      </x:c>
      <x:c r="G617" s="1" t="n">
        <x:v>27</x:v>
      </x:c>
      <x:c r="H617" s="1" t="n">
        <x:v>0</x:v>
      </x:c>
      <x:c r="I617" s="1" t="n">
        <x:v>0</x:v>
      </x:c>
      <x:c r="J617" s="1" t="str">
        <x:v>no</x:v>
      </x:c>
      <x:c r="K617" s="1" t="n">
        <x:f>2*H617+E617+IF(G617&gt;30,2,0)-IF(B617&gt;24,1,0)</x:f>
        <x:v>0</x:v>
      </x:c>
      <x:c r="L617" s="1" t="str">
        <x:f>IF(K617&gt;=3,"yes","no")</x:f>
        <x:v>no</x:v>
      </x:c>
      <x:c r="M617" s="1"/>
      <x:c r="N617" s="1"/>
      <x:c r="O617" s="1"/>
    </x:row>
    <x:row r="618">
      <x:c r="A618" s="1" t="str">
        <x:v>S0617</x:v>
      </x:c>
      <x:c r="B618" s="1" t="n">
        <x:v>45</x:v>
      </x:c>
      <x:c r="C618" s="1" t="str">
        <x:v>basic</x:v>
      </x:c>
      <x:c r="D618" s="8" t="n">
        <x:v>9.99</x:v>
      </x:c>
      <x:c r="E618" s="1" t="n">
        <x:v>1</x:v>
      </x:c>
      <x:c r="F618" s="1" t="n">
        <x:v>27</x:v>
      </x:c>
      <x:c r="G618" s="1" t="n">
        <x:v>0</x:v>
      </x:c>
      <x:c r="H618" s="1" t="n">
        <x:v>0</x:v>
      </x:c>
      <x:c r="I618" s="1" t="n">
        <x:v>0</x:v>
      </x:c>
      <x:c r="J618" s="1" t="str">
        <x:v>no</x:v>
      </x:c>
      <x:c r="K618" s="1" t="n">
        <x:f>2*H618+E618+IF(G618&gt;30,2,0)-IF(B618&gt;24,1,0)</x:f>
        <x:v>0</x:v>
      </x:c>
      <x:c r="L618" s="1" t="str">
        <x:f>IF(K618&gt;=3,"yes","no")</x:f>
        <x:v>no</x:v>
      </x:c>
      <x:c r="M618" s="1"/>
      <x:c r="N618" s="1"/>
      <x:c r="O618" s="1"/>
    </x:row>
    <x:row r="619">
      <x:c r="A619" s="1" t="str">
        <x:v>S0618</x:v>
      </x:c>
      <x:c r="B619" s="1" t="n">
        <x:v>27</x:v>
      </x:c>
      <x:c r="C619" s="1" t="str">
        <x:v>basic</x:v>
      </x:c>
      <x:c r="D619" s="8" t="n">
        <x:v>9.99</x:v>
      </x:c>
      <x:c r="E619" s="1" t="n">
        <x:v>1</x:v>
      </x:c>
      <x:c r="F619" s="1" t="n">
        <x:v>18</x:v>
      </x:c>
      <x:c r="G619" s="1" t="n">
        <x:v>0</x:v>
      </x:c>
      <x:c r="H619" s="1" t="n">
        <x:v>0</x:v>
      </x:c>
      <x:c r="I619" s="1" t="n">
        <x:v>1</x:v>
      </x:c>
      <x:c r="J619" s="1" t="str">
        <x:v>no</x:v>
      </x:c>
      <x:c r="K619" s="1" t="n">
        <x:f>2*H619+E619+IF(G619&gt;30,2,0)-IF(B619&gt;24,1,0)</x:f>
        <x:v>0</x:v>
      </x:c>
      <x:c r="L619" s="1" t="str">
        <x:f>IF(K619&gt;=3,"yes","no")</x:f>
        <x:v>no</x:v>
      </x:c>
      <x:c r="M619" s="1"/>
      <x:c r="N619" s="1"/>
      <x:c r="O619" s="1"/>
    </x:row>
    <x:row r="620">
      <x:c r="A620" s="1" t="str">
        <x:v>S0619</x:v>
      </x:c>
      <x:c r="B620" s="1" t="n">
        <x:v>21</x:v>
      </x:c>
      <x:c r="C620" s="1" t="str">
        <x:v>basic</x:v>
      </x:c>
      <x:c r="D620" s="8" t="n">
        <x:v>9.99</x:v>
      </x:c>
      <x:c r="E620" s="1" t="n">
        <x:v>1</x:v>
      </x:c>
      <x:c r="F620" s="1" t="n">
        <x:v>19</x:v>
      </x:c>
      <x:c r="G620" s="1" t="n">
        <x:v>2</x:v>
      </x:c>
      <x:c r="H620" s="1" t="n">
        <x:v>0</x:v>
      </x:c>
      <x:c r="I620" s="1" t="n">
        <x:v>0</x:v>
      </x:c>
      <x:c r="J620" s="1" t="str">
        <x:v>no</x:v>
      </x:c>
      <x:c r="K620" s="1" t="n">
        <x:f>2*H620+E620+IF(G620&gt;30,2,0)-IF(B620&gt;24,1,0)</x:f>
        <x:v>1</x:v>
      </x:c>
      <x:c r="L620" s="1" t="str">
        <x:f>IF(K620&gt;=3,"yes","no")</x:f>
        <x:v>no</x:v>
      </x:c>
      <x:c r="M620" s="1"/>
      <x:c r="N620" s="1"/>
      <x:c r="O620" s="1"/>
    </x:row>
    <x:row r="621">
      <x:c r="A621" s="1" t="str">
        <x:v>S0620</x:v>
      </x:c>
      <x:c r="B621" s="1" t="n">
        <x:v>2</x:v>
      </x:c>
      <x:c r="C621" s="1" t="str">
        <x:v>premium</x:v>
      </x:c>
      <x:c r="D621" s="8" t="n">
        <x:v>15.99</x:v>
      </x:c>
      <x:c r="E621" s="1" t="n">
        <x:v>0</x:v>
      </x:c>
      <x:c r="F621" s="1" t="n">
        <x:v>24</x:v>
      </x:c>
      <x:c r="G621" s="1" t="n">
        <x:v>1</x:v>
      </x:c>
      <x:c r="H621" s="1" t="n">
        <x:v>0</x:v>
      </x:c>
      <x:c r="I621" s="1" t="n">
        <x:v>1</x:v>
      </x:c>
      <x:c r="J621" s="1" t="str">
        <x:v>no</x:v>
      </x:c>
      <x:c r="K621" s="1" t="n">
        <x:f>2*H621+E621+IF(G621&gt;30,2,0)-IF(B621&gt;24,1,0)</x:f>
        <x:v>0</x:v>
      </x:c>
      <x:c r="L621" s="1" t="str">
        <x:f>IF(K621&gt;=3,"yes","no")</x:f>
        <x:v>no</x:v>
      </x:c>
      <x:c r="M621" s="1"/>
      <x:c r="N621" s="1"/>
      <x:c r="O621" s="1"/>
    </x:row>
    <x:row r="622">
      <x:c r="A622" s="1" t="str">
        <x:v>S0621</x:v>
      </x:c>
      <x:c r="B622" s="1" t="n">
        <x:v>13</x:v>
      </x:c>
      <x:c r="C622" s="1" t="str">
        <x:v>premium</x:v>
      </x:c>
      <x:c r="D622" s="8" t="n">
        <x:v>15.99</x:v>
      </x:c>
      <x:c r="E622" s="1" t="n">
        <x:v>0</x:v>
      </x:c>
      <x:c r="F622" s="1" t="n">
        <x:v>0</x:v>
      </x:c>
      <x:c r="G622" s="1" t="n">
        <x:v>46</x:v>
      </x:c>
      <x:c r="H622" s="1" t="n">
        <x:v>0</x:v>
      </x:c>
      <x:c r="I622" s="1" t="n">
        <x:v>1</x:v>
      </x:c>
      <x:c r="J622" s="1" t="str">
        <x:v>yes</x:v>
      </x:c>
      <x:c r="K622" s="1" t="n">
        <x:f>2*H622+E622+IF(G622&gt;30,2,0)-IF(B622&gt;24,1,0)</x:f>
        <x:v>2</x:v>
      </x:c>
      <x:c r="L622" s="1" t="str">
        <x:f>IF(K622&gt;=3,"yes","no")</x:f>
        <x:v>no</x:v>
      </x:c>
      <x:c r="M622" s="1"/>
      <x:c r="N622" s="1"/>
      <x:c r="O622" s="1"/>
    </x:row>
    <x:row r="623">
      <x:c r="A623" s="1" t="str">
        <x:v>S0622</x:v>
      </x:c>
      <x:c r="B623" s="1" t="n">
        <x:v>2</x:v>
      </x:c>
      <x:c r="C623" s="1" t="str">
        <x:v>basic</x:v>
      </x:c>
      <x:c r="D623" s="8" t="n">
        <x:v>9.99</x:v>
      </x:c>
      <x:c r="E623" s="1" t="n">
        <x:v>0</x:v>
      </x:c>
      <x:c r="F623" s="1" t="n">
        <x:v>8</x:v>
      </x:c>
      <x:c r="G623" s="1" t="n">
        <x:v>25</x:v>
      </x:c>
      <x:c r="H623" s="1" t="n">
        <x:v>1</x:v>
      </x:c>
      <x:c r="I623" s="1" t="n">
        <x:v>0</x:v>
      </x:c>
      <x:c r="J623" s="1" t="str">
        <x:v>yes</x:v>
      </x:c>
      <x:c r="K623" s="1" t="n">
        <x:f>2*H623+E623+IF(G623&gt;30,2,0)-IF(B623&gt;24,1,0)</x:f>
        <x:v>2</x:v>
      </x:c>
      <x:c r="L623" s="1" t="str">
        <x:f>IF(K623&gt;=3,"yes","no")</x:f>
        <x:v>no</x:v>
      </x:c>
      <x:c r="M623" s="1"/>
      <x:c r="N623" s="1"/>
      <x:c r="O623" s="1"/>
    </x:row>
    <x:row r="624">
      <x:c r="A624" s="1" t="str">
        <x:v>S0623</x:v>
      </x:c>
      <x:c r="B624" s="1" t="n">
        <x:v>17</x:v>
      </x:c>
      <x:c r="C624" s="1" t="str">
        <x:v>premium</x:v>
      </x:c>
      <x:c r="D624" s="8" t="n">
        <x:v>15.99</x:v>
      </x:c>
      <x:c r="E624" s="1" t="n">
        <x:v>0</x:v>
      </x:c>
      <x:c r="F624" s="1" t="n">
        <x:v>13</x:v>
      </x:c>
      <x:c r="G624" s="1" t="n">
        <x:v>18</x:v>
      </x:c>
      <x:c r="H624" s="1" t="n">
        <x:v>0</x:v>
      </x:c>
      <x:c r="I624" s="1" t="n">
        <x:v>0</x:v>
      </x:c>
      <x:c r="J624" s="1" t="str">
        <x:v>no</x:v>
      </x:c>
      <x:c r="K624" s="1" t="n">
        <x:f>2*H624+E624+IF(G624&gt;30,2,0)-IF(B624&gt;24,1,0)</x:f>
        <x:v>0</x:v>
      </x:c>
      <x:c r="L624" s="1" t="str">
        <x:f>IF(K624&gt;=3,"yes","no")</x:f>
        <x:v>no</x:v>
      </x:c>
      <x:c r="M624" s="1"/>
      <x:c r="N624" s="1"/>
      <x:c r="O624" s="1"/>
    </x:row>
    <x:row r="625">
      <x:c r="A625" s="1" t="str">
        <x:v>S0624</x:v>
      </x:c>
      <x:c r="B625" s="1" t="n">
        <x:v>10</x:v>
      </x:c>
      <x:c r="C625" s="1" t="str">
        <x:v>premium</x:v>
      </x:c>
      <x:c r="D625" s="8" t="n">
        <x:v>15.99</x:v>
      </x:c>
      <x:c r="E625" s="1" t="n">
        <x:v>0</x:v>
      </x:c>
      <x:c r="F625" s="1" t="n">
        <x:v>21</x:v>
      </x:c>
      <x:c r="G625" s="1" t="n">
        <x:v>21</x:v>
      </x:c>
      <x:c r="H625" s="1" t="n">
        <x:v>0</x:v>
      </x:c>
      <x:c r="I625" s="1" t="n">
        <x:v>1</x:v>
      </x:c>
      <x:c r="J625" s="1" t="str">
        <x:v>no</x:v>
      </x:c>
      <x:c r="K625" s="1" t="n">
        <x:f>2*H625+E625+IF(G625&gt;30,2,0)-IF(B625&gt;24,1,0)</x:f>
        <x:v>0</x:v>
      </x:c>
      <x:c r="L625" s="1" t="str">
        <x:f>IF(K625&gt;=3,"yes","no")</x:f>
        <x:v>no</x:v>
      </x:c>
      <x:c r="M625" s="1"/>
      <x:c r="N625" s="1"/>
      <x:c r="O625" s="1"/>
    </x:row>
    <x:row r="626">
      <x:c r="A626" s="1" t="str">
        <x:v>S0625</x:v>
      </x:c>
      <x:c r="B626" s="1" t="n">
        <x:v>8</x:v>
      </x:c>
      <x:c r="C626" s="1" t="str">
        <x:v>basic</x:v>
      </x:c>
      <x:c r="D626" s="8" t="n">
        <x:v>9.99</x:v>
      </x:c>
      <x:c r="E626" s="1" t="n">
        <x:v>0</x:v>
      </x:c>
      <x:c r="F626" s="1" t="n">
        <x:v>17</x:v>
      </x:c>
      <x:c r="G626" s="1" t="n">
        <x:v>26</x:v>
      </x:c>
      <x:c r="H626" s="1" t="n">
        <x:v>0</x:v>
      </x:c>
      <x:c r="I626" s="1" t="n">
        <x:v>0</x:v>
      </x:c>
      <x:c r="J626" s="1" t="str">
        <x:v>no</x:v>
      </x:c>
      <x:c r="K626" s="1" t="n">
        <x:f>2*H626+E626+IF(G626&gt;30,2,0)-IF(B626&gt;24,1,0)</x:f>
        <x:v>0</x:v>
      </x:c>
      <x:c r="L626" s="1" t="str">
        <x:f>IF(K626&gt;=3,"yes","no")</x:f>
        <x:v>no</x:v>
      </x:c>
      <x:c r="M626" s="1"/>
      <x:c r="N626" s="1"/>
      <x:c r="O626" s="1"/>
    </x:row>
    <x:row r="627">
      <x:c r="A627" s="1" t="str">
        <x:v>S0626</x:v>
      </x:c>
      <x:c r="B627" s="1" t="n">
        <x:v>32</x:v>
      </x:c>
      <x:c r="C627" s="1" t="str">
        <x:v>basic</x:v>
      </x:c>
      <x:c r="D627" s="8" t="n">
        <x:v>9.99</x:v>
      </x:c>
      <x:c r="E627" s="1" t="n">
        <x:v>1</x:v>
      </x:c>
      <x:c r="F627" s="1" t="n">
        <x:v>1</x:v>
      </x:c>
      <x:c r="G627" s="1" t="n">
        <x:v>26</x:v>
      </x:c>
      <x:c r="H627" s="1" t="n">
        <x:v>0</x:v>
      </x:c>
      <x:c r="I627" s="1" t="n">
        <x:v>0</x:v>
      </x:c>
      <x:c r="J627" s="1" t="str">
        <x:v>no</x:v>
      </x:c>
      <x:c r="K627" s="1" t="n">
        <x:f>2*H627+E627+IF(G627&gt;30,2,0)-IF(B627&gt;24,1,0)</x:f>
        <x:v>0</x:v>
      </x:c>
      <x:c r="L627" s="1" t="str">
        <x:f>IF(K627&gt;=3,"yes","no")</x:f>
        <x:v>no</x:v>
      </x:c>
      <x:c r="M627" s="1"/>
      <x:c r="N627" s="1"/>
      <x:c r="O627" s="1"/>
    </x:row>
    <x:row r="628">
      <x:c r="A628" s="1" t="str">
        <x:v>S0627</x:v>
      </x:c>
      <x:c r="B628" s="1" t="n">
        <x:v>48</x:v>
      </x:c>
      <x:c r="C628" s="1" t="str">
        <x:v>premium</x:v>
      </x:c>
      <x:c r="D628" s="8" t="n">
        <x:v>15.99</x:v>
      </x:c>
      <x:c r="E628" s="1" t="n">
        <x:v>1</x:v>
      </x:c>
      <x:c r="F628" s="1" t="n">
        <x:v>18</x:v>
      </x:c>
      <x:c r="G628" s="1" t="n">
        <x:v>0</x:v>
      </x:c>
      <x:c r="H628" s="1" t="n">
        <x:v>2</x:v>
      </x:c>
      <x:c r="I628" s="1" t="n">
        <x:v>0</x:v>
      </x:c>
      <x:c r="J628" s="1" t="str">
        <x:v>no</x:v>
      </x:c>
      <x:c r="K628" s="1" t="n">
        <x:f>2*H628+E628+IF(G628&gt;30,2,0)-IF(B628&gt;24,1,0)</x:f>
        <x:v>4</x:v>
      </x:c>
      <x:c r="L628" s="1" t="str">
        <x:f>IF(K628&gt;=3,"yes","no")</x:f>
        <x:v>yes</x:v>
      </x:c>
      <x:c r="M628" s="1"/>
      <x:c r="N628" s="1"/>
      <x:c r="O628" s="1"/>
    </x:row>
    <x:row r="629">
      <x:c r="A629" s="1" t="str">
        <x:v>S0628</x:v>
      </x:c>
      <x:c r="B629" s="1" t="n">
        <x:v>6</x:v>
      </x:c>
      <x:c r="C629" s="1" t="str">
        <x:v>basic</x:v>
      </x:c>
      <x:c r="D629" s="8" t="n">
        <x:v>9.99</x:v>
      </x:c>
      <x:c r="E629" s="1" t="n">
        <x:v>0</x:v>
      </x:c>
      <x:c r="F629" s="1" t="n">
        <x:v>0</x:v>
      </x:c>
      <x:c r="G629" s="1" t="n">
        <x:v>39</x:v>
      </x:c>
      <x:c r="H629" s="1" t="n">
        <x:v>0</x:v>
      </x:c>
      <x:c r="I629" s="1" t="n">
        <x:v>0</x:v>
      </x:c>
      <x:c r="J629" s="1" t="str">
        <x:v>yes</x:v>
      </x:c>
      <x:c r="K629" s="1" t="n">
        <x:f>2*H629+E629+IF(G629&gt;30,2,0)-IF(B629&gt;24,1,0)</x:f>
        <x:v>2</x:v>
      </x:c>
      <x:c r="L629" s="1" t="str">
        <x:f>IF(K629&gt;=3,"yes","no")</x:f>
        <x:v>no</x:v>
      </x:c>
      <x:c r="M629" s="1"/>
      <x:c r="N629" s="1"/>
      <x:c r="O629" s="1"/>
    </x:row>
    <x:row r="630">
      <x:c r="A630" s="1" t="str">
        <x:v>S0629</x:v>
      </x:c>
      <x:c r="B630" s="1" t="n">
        <x:v>22</x:v>
      </x:c>
      <x:c r="C630" s="1" t="str">
        <x:v>basic</x:v>
      </x:c>
      <x:c r="D630" s="8" t="n">
        <x:v>9.99</x:v>
      </x:c>
      <x:c r="E630" s="1" t="n">
        <x:v>0</x:v>
      </x:c>
      <x:c r="F630" s="1" t="n">
        <x:v>19</x:v>
      </x:c>
      <x:c r="G630" s="1" t="n">
        <x:v>4</x:v>
      </x:c>
      <x:c r="H630" s="1" t="n">
        <x:v>0</x:v>
      </x:c>
      <x:c r="I630" s="1" t="n">
        <x:v>1</x:v>
      </x:c>
      <x:c r="J630" s="1" t="str">
        <x:v>no</x:v>
      </x:c>
      <x:c r="K630" s="1" t="n">
        <x:f>2*H630+E630+IF(G630&gt;30,2,0)-IF(B630&gt;24,1,0)</x:f>
        <x:v>0</x:v>
      </x:c>
      <x:c r="L630" s="1" t="str">
        <x:f>IF(K630&gt;=3,"yes","no")</x:f>
        <x:v>no</x:v>
      </x:c>
      <x:c r="M630" s="1"/>
      <x:c r="N630" s="1"/>
      <x:c r="O630" s="1"/>
    </x:row>
    <x:row r="631">
      <x:c r="A631" s="1" t="str">
        <x:v>S0630</x:v>
      </x:c>
      <x:c r="B631" s="1" t="n">
        <x:v>29</x:v>
      </x:c>
      <x:c r="C631" s="1" t="str">
        <x:v>basic</x:v>
      </x:c>
      <x:c r="D631" s="8" t="n">
        <x:v>9.99</x:v>
      </x:c>
      <x:c r="E631" s="1" t="n">
        <x:v>0</x:v>
      </x:c>
      <x:c r="F631" s="1" t="n">
        <x:v>0</x:v>
      </x:c>
      <x:c r="G631" s="1" t="n">
        <x:v>56</x:v>
      </x:c>
      <x:c r="H631" s="1" t="n">
        <x:v>0</x:v>
      </x:c>
      <x:c r="I631" s="1" t="n">
        <x:v>1</x:v>
      </x:c>
      <x:c r="J631" s="1" t="str">
        <x:v>yes</x:v>
      </x:c>
      <x:c r="K631" s="1" t="n">
        <x:f>2*H631+E631+IF(G631&gt;30,2,0)-IF(B631&gt;24,1,0)</x:f>
        <x:v>1</x:v>
      </x:c>
      <x:c r="L631" s="1" t="str">
        <x:f>IF(K631&gt;=3,"yes","no")</x:f>
        <x:v>no</x:v>
      </x:c>
      <x:c r="M631" s="1"/>
      <x:c r="N631" s="1"/>
      <x:c r="O631" s="1"/>
    </x:row>
    <x:row r="632">
      <x:c r="A632" s="1" t="str">
        <x:v>S0631</x:v>
      </x:c>
      <x:c r="B632" s="1" t="n">
        <x:v>19</x:v>
      </x:c>
      <x:c r="C632" s="1" t="str">
        <x:v>basic</x:v>
      </x:c>
      <x:c r="D632" s="8" t="n">
        <x:v>9.99</x:v>
      </x:c>
      <x:c r="E632" s="1" t="n">
        <x:v>1</x:v>
      </x:c>
      <x:c r="F632" s="1" t="n">
        <x:v>25</x:v>
      </x:c>
      <x:c r="G632" s="1" t="n">
        <x:v>0</x:v>
      </x:c>
      <x:c r="H632" s="1" t="n">
        <x:v>0</x:v>
      </x:c>
      <x:c r="I632" s="1" t="n">
        <x:v>0</x:v>
      </x:c>
      <x:c r="J632" s="1" t="str">
        <x:v>no</x:v>
      </x:c>
      <x:c r="K632" s="1" t="n">
        <x:f>2*H632+E632+IF(G632&gt;30,2,0)-IF(B632&gt;24,1,0)</x:f>
        <x:v>1</x:v>
      </x:c>
      <x:c r="L632" s="1" t="str">
        <x:f>IF(K632&gt;=3,"yes","no")</x:f>
        <x:v>no</x:v>
      </x:c>
      <x:c r="M632" s="1"/>
      <x:c r="N632" s="1"/>
      <x:c r="O632" s="1"/>
    </x:row>
    <x:row r="633">
      <x:c r="A633" s="1" t="str">
        <x:v>S0632</x:v>
      </x:c>
      <x:c r="B633" s="1" t="n">
        <x:v>46</x:v>
      </x:c>
      <x:c r="C633" s="1" t="str">
        <x:v>basic</x:v>
      </x:c>
      <x:c r="D633" s="8" t="n">
        <x:v>9.99</x:v>
      </x:c>
      <x:c r="E633" s="1" t="n">
        <x:v>3</x:v>
      </x:c>
      <x:c r="F633" s="1" t="n">
        <x:v>23</x:v>
      </x:c>
      <x:c r="G633" s="1" t="n">
        <x:v>22</x:v>
      </x:c>
      <x:c r="H633" s="1" t="n">
        <x:v>0</x:v>
      </x:c>
      <x:c r="I633" s="1" t="n">
        <x:v>0</x:v>
      </x:c>
      <x:c r="J633" s="1" t="str">
        <x:v>no</x:v>
      </x:c>
      <x:c r="K633" s="1" t="n">
        <x:f>2*H633+E633+IF(G633&gt;30,2,0)-IF(B633&gt;24,1,0)</x:f>
        <x:v>2</x:v>
      </x:c>
      <x:c r="L633" s="1" t="str">
        <x:f>IF(K633&gt;=3,"yes","no")</x:f>
        <x:v>no</x:v>
      </x:c>
      <x:c r="M633" s="1"/>
      <x:c r="N633" s="1"/>
      <x:c r="O633" s="1"/>
    </x:row>
    <x:row r="634">
      <x:c r="A634" s="1" t="str">
        <x:v>S0633</x:v>
      </x:c>
      <x:c r="B634" s="1" t="n">
        <x:v>36</x:v>
      </x:c>
      <x:c r="C634" s="1" t="str">
        <x:v>basic</x:v>
      </x:c>
      <x:c r="D634" s="8" t="n">
        <x:v>9.99</x:v>
      </x:c>
      <x:c r="E634" s="1" t="n">
        <x:v>2</x:v>
      </x:c>
      <x:c r="F634" s="1" t="n">
        <x:v>0</x:v>
      </x:c>
      <x:c r="G634" s="1" t="n">
        <x:v>32</x:v>
      </x:c>
      <x:c r="H634" s="1" t="n">
        <x:v>1</x:v>
      </x:c>
      <x:c r="I634" s="1" t="n">
        <x:v>0</x:v>
      </x:c>
      <x:c r="J634" s="1" t="str">
        <x:v>yes</x:v>
      </x:c>
      <x:c r="K634" s="1" t="n">
        <x:f>2*H634+E634+IF(G634&gt;30,2,0)-IF(B634&gt;24,1,0)</x:f>
        <x:v>5</x:v>
      </x:c>
      <x:c r="L634" s="1" t="str">
        <x:f>IF(K634&gt;=3,"yes","no")</x:f>
        <x:v>yes</x:v>
      </x:c>
      <x:c r="M634" s="1"/>
      <x:c r="N634" s="1"/>
      <x:c r="O634" s="1"/>
    </x:row>
    <x:row r="635">
      <x:c r="A635" s="1" t="str">
        <x:v>S0634</x:v>
      </x:c>
      <x:c r="B635" s="1" t="n">
        <x:v>23</x:v>
      </x:c>
      <x:c r="C635" s="1" t="str">
        <x:v>basic</x:v>
      </x:c>
      <x:c r="D635" s="8" t="n">
        <x:v>9.99</x:v>
      </x:c>
      <x:c r="E635" s="1" t="n">
        <x:v>4</x:v>
      </x:c>
      <x:c r="F635" s="1" t="n">
        <x:v>32</x:v>
      </x:c>
      <x:c r="G635" s="1" t="n">
        <x:v>1</x:v>
      </x:c>
      <x:c r="H635" s="1" t="n">
        <x:v>0</x:v>
      </x:c>
      <x:c r="I635" s="1" t="n">
        <x:v>0</x:v>
      </x:c>
      <x:c r="J635" s="1" t="str">
        <x:v>no</x:v>
      </x:c>
      <x:c r="K635" s="1" t="n">
        <x:f>2*H635+E635+IF(G635&gt;30,2,0)-IF(B635&gt;24,1,0)</x:f>
        <x:v>4</x:v>
      </x:c>
      <x:c r="L635" s="1" t="str">
        <x:f>IF(K635&gt;=3,"yes","no")</x:f>
        <x:v>yes</x:v>
      </x:c>
      <x:c r="M635" s="1"/>
      <x:c r="N635" s="1"/>
      <x:c r="O635" s="1"/>
    </x:row>
    <x:row r="636">
      <x:c r="A636" s="1" t="str">
        <x:v>S0635</x:v>
      </x:c>
      <x:c r="B636" s="1" t="n">
        <x:v>5</x:v>
      </x:c>
      <x:c r="C636" s="1" t="str">
        <x:v>basic</x:v>
      </x:c>
      <x:c r="D636" s="8" t="n">
        <x:v>9.99</x:v>
      </x:c>
      <x:c r="E636" s="1" t="n">
        <x:v>0</x:v>
      </x:c>
      <x:c r="F636" s="1" t="n">
        <x:v>0</x:v>
      </x:c>
      <x:c r="G636" s="1" t="n">
        <x:v>49</x:v>
      </x:c>
      <x:c r="H636" s="1" t="n">
        <x:v>0</x:v>
      </x:c>
      <x:c r="I636" s="1" t="n">
        <x:v>0</x:v>
      </x:c>
      <x:c r="J636" s="1" t="str">
        <x:v>yes</x:v>
      </x:c>
      <x:c r="K636" s="1" t="n">
        <x:f>2*H636+E636+IF(G636&gt;30,2,0)-IF(B636&gt;24,1,0)</x:f>
        <x:v>2</x:v>
      </x:c>
      <x:c r="L636" s="1" t="str">
        <x:f>IF(K636&gt;=3,"yes","no")</x:f>
        <x:v>no</x:v>
      </x:c>
      <x:c r="M636" s="1"/>
      <x:c r="N636" s="1"/>
      <x:c r="O636" s="1"/>
    </x:row>
    <x:row r="637">
      <x:c r="A637" s="1" t="str">
        <x:v>S0636</x:v>
      </x:c>
      <x:c r="B637" s="1" t="n">
        <x:v>32</x:v>
      </x:c>
      <x:c r="C637" s="1" t="str">
        <x:v>basic</x:v>
      </x:c>
      <x:c r="D637" s="8" t="n">
        <x:v>9.99</x:v>
      </x:c>
      <x:c r="E637" s="1" t="n">
        <x:v>0</x:v>
      </x:c>
      <x:c r="F637" s="1" t="n">
        <x:v>33</x:v>
      </x:c>
      <x:c r="G637" s="1" t="n">
        <x:v>4</x:v>
      </x:c>
      <x:c r="H637" s="1" t="n">
        <x:v>0</x:v>
      </x:c>
      <x:c r="I637" s="1" t="n">
        <x:v>1</x:v>
      </x:c>
      <x:c r="J637" s="1" t="str">
        <x:v>no</x:v>
      </x:c>
      <x:c r="K637" s="1" t="n">
        <x:f>2*H637+E637+IF(G637&gt;30,2,0)-IF(B637&gt;24,1,0)</x:f>
        <x:v>-1</x:v>
      </x:c>
      <x:c r="L637" s="1" t="str">
        <x:f>IF(K637&gt;=3,"yes","no")</x:f>
        <x:v>no</x:v>
      </x:c>
      <x:c r="M637" s="1"/>
      <x:c r="N637" s="1"/>
      <x:c r="O637" s="1"/>
    </x:row>
    <x:row r="638">
      <x:c r="A638" s="1" t="str">
        <x:v>S0637</x:v>
      </x:c>
      <x:c r="B638" s="1" t="n">
        <x:v>16</x:v>
      </x:c>
      <x:c r="C638" s="1" t="str">
        <x:v>basic</x:v>
      </x:c>
      <x:c r="D638" s="8" t="n">
        <x:v>9.99</x:v>
      </x:c>
      <x:c r="E638" s="1" t="n">
        <x:v>0</x:v>
      </x:c>
      <x:c r="F638" s="1" t="n">
        <x:v>0</x:v>
      </x:c>
      <x:c r="G638" s="1" t="n">
        <x:v>50</x:v>
      </x:c>
      <x:c r="H638" s="1" t="n">
        <x:v>0</x:v>
      </x:c>
      <x:c r="I638" s="1" t="n">
        <x:v>0</x:v>
      </x:c>
      <x:c r="J638" s="1" t="str">
        <x:v>yes</x:v>
      </x:c>
      <x:c r="K638" s="1" t="n">
        <x:f>2*H638+E638+IF(G638&gt;30,2,0)-IF(B638&gt;24,1,0)</x:f>
        <x:v>2</x:v>
      </x:c>
      <x:c r="L638" s="1" t="str">
        <x:f>IF(K638&gt;=3,"yes","no")</x:f>
        <x:v>no</x:v>
      </x:c>
      <x:c r="M638" s="1"/>
      <x:c r="N638" s="1"/>
      <x:c r="O638" s="1"/>
    </x:row>
    <x:row r="639">
      <x:c r="A639" s="1" t="str">
        <x:v>S0638</x:v>
      </x:c>
      <x:c r="B639" s="1" t="n">
        <x:v>10</x:v>
      </x:c>
      <x:c r="C639" s="1" t="str">
        <x:v>basic</x:v>
      </x:c>
      <x:c r="D639" s="8" t="n">
        <x:v>9.99</x:v>
      </x:c>
      <x:c r="E639" s="1" t="n">
        <x:v>0</x:v>
      </x:c>
      <x:c r="F639" s="1" t="n">
        <x:v>14</x:v>
      </x:c>
      <x:c r="G639" s="1" t="n">
        <x:v>2</x:v>
      </x:c>
      <x:c r="H639" s="1" t="n">
        <x:v>0</x:v>
      </x:c>
      <x:c r="I639" s="1" t="n">
        <x:v>0</x:v>
      </x:c>
      <x:c r="J639" s="1" t="str">
        <x:v>no</x:v>
      </x:c>
      <x:c r="K639" s="1" t="n">
        <x:f>2*H639+E639+IF(G639&gt;30,2,0)-IF(B639&gt;24,1,0)</x:f>
        <x:v>0</x:v>
      </x:c>
      <x:c r="L639" s="1" t="str">
        <x:f>IF(K639&gt;=3,"yes","no")</x:f>
        <x:v>no</x:v>
      </x:c>
      <x:c r="M639" s="1"/>
      <x:c r="N639" s="1"/>
      <x:c r="O639" s="1"/>
    </x:row>
    <x:row r="640">
      <x:c r="A640" s="1" t="str">
        <x:v>S0639</x:v>
      </x:c>
      <x:c r="B640" s="1" t="n">
        <x:v>46</x:v>
      </x:c>
      <x:c r="C640" s="1" t="str">
        <x:v>basic</x:v>
      </x:c>
      <x:c r="D640" s="8" t="n">
        <x:v>9.99</x:v>
      </x:c>
      <x:c r="E640" s="1" t="n">
        <x:v>0</x:v>
      </x:c>
      <x:c r="F640" s="1" t="n">
        <x:v>24</x:v>
      </x:c>
      <x:c r="G640" s="1" t="n">
        <x:v>6</x:v>
      </x:c>
      <x:c r="H640" s="1" t="n">
        <x:v>0</x:v>
      </x:c>
      <x:c r="I640" s="1" t="n">
        <x:v>0</x:v>
      </x:c>
      <x:c r="J640" s="1" t="str">
        <x:v>yes</x:v>
      </x:c>
      <x:c r="K640" s="1" t="n">
        <x:f>2*H640+E640+IF(G640&gt;30,2,0)-IF(B640&gt;24,1,0)</x:f>
        <x:v>-1</x:v>
      </x:c>
      <x:c r="L640" s="1" t="str">
        <x:f>IF(K640&gt;=3,"yes","no")</x:f>
        <x:v>no</x:v>
      </x:c>
      <x:c r="M640" s="1"/>
      <x:c r="N640" s="1"/>
      <x:c r="O640" s="1"/>
    </x:row>
    <x:row r="641">
      <x:c r="A641" s="1" t="str">
        <x:v>S0640</x:v>
      </x:c>
      <x:c r="B641" s="1" t="n">
        <x:v>39</x:v>
      </x:c>
      <x:c r="C641" s="1" t="str">
        <x:v>premium</x:v>
      </x:c>
      <x:c r="D641" s="8" t="n">
        <x:v>15.99</x:v>
      </x:c>
      <x:c r="E641" s="1" t="n">
        <x:v>0</x:v>
      </x:c>
      <x:c r="F641" s="1" t="n">
        <x:v>19</x:v>
      </x:c>
      <x:c r="G641" s="1" t="n">
        <x:v>4</x:v>
      </x:c>
      <x:c r="H641" s="1" t="n">
        <x:v>0</x:v>
      </x:c>
      <x:c r="I641" s="1" t="n">
        <x:v>0</x:v>
      </x:c>
      <x:c r="J641" s="1" t="str">
        <x:v>no</x:v>
      </x:c>
      <x:c r="K641" s="1" t="n">
        <x:f>2*H641+E641+IF(G641&gt;30,2,0)-IF(B641&gt;24,1,0)</x:f>
        <x:v>-1</x:v>
      </x:c>
      <x:c r="L641" s="1" t="str">
        <x:f>IF(K641&gt;=3,"yes","no")</x:f>
        <x:v>no</x:v>
      </x:c>
      <x:c r="M641" s="1"/>
      <x:c r="N641" s="1"/>
      <x:c r="O641" s="1"/>
    </x:row>
    <x:row r="642">
      <x:c r="A642" s="1" t="str">
        <x:v>S0641</x:v>
      </x:c>
      <x:c r="B642" s="1" t="n">
        <x:v>46</x:v>
      </x:c>
      <x:c r="C642" s="1" t="str">
        <x:v>basic</x:v>
      </x:c>
      <x:c r="D642" s="8" t="n">
        <x:v>9.99</x:v>
      </x:c>
      <x:c r="E642" s="1" t="n">
        <x:v>0</x:v>
      </x:c>
      <x:c r="F642" s="1" t="n">
        <x:v>25</x:v>
      </x:c>
      <x:c r="G642" s="1" t="n">
        <x:v>3</x:v>
      </x:c>
      <x:c r="H642" s="1" t="n">
        <x:v>0</x:v>
      </x:c>
      <x:c r="I642" s="1" t="n">
        <x:v>0</x:v>
      </x:c>
      <x:c r="J642" s="1" t="str">
        <x:v>no</x:v>
      </x:c>
      <x:c r="K642" s="1" t="n">
        <x:f>2*H642+E642+IF(G642&gt;30,2,0)-IF(B642&gt;24,1,0)</x:f>
        <x:v>-1</x:v>
      </x:c>
      <x:c r="L642" s="1" t="str">
        <x:f>IF(K642&gt;=3,"yes","no")</x:f>
        <x:v>no</x:v>
      </x:c>
      <x:c r="M642" s="1"/>
      <x:c r="N642" s="1"/>
      <x:c r="O642" s="1"/>
    </x:row>
    <x:row r="643">
      <x:c r="A643" s="1" t="str">
        <x:v>S0642</x:v>
      </x:c>
      <x:c r="B643" s="1" t="n">
        <x:v>28</x:v>
      </x:c>
      <x:c r="C643" s="1" t="str">
        <x:v>basic</x:v>
      </x:c>
      <x:c r="D643" s="8" t="n">
        <x:v>9.99</x:v>
      </x:c>
      <x:c r="E643" s="1" t="n">
        <x:v>0</x:v>
      </x:c>
      <x:c r="F643" s="1" t="n">
        <x:v>11</x:v>
      </x:c>
      <x:c r="G643" s="1" t="n">
        <x:v>17</x:v>
      </x:c>
      <x:c r="H643" s="1" t="n">
        <x:v>1</x:v>
      </x:c>
      <x:c r="I643" s="1" t="n">
        <x:v>0</x:v>
      </x:c>
      <x:c r="J643" s="1" t="str">
        <x:v>no</x:v>
      </x:c>
      <x:c r="K643" s="1" t="n">
        <x:f>2*H643+E643+IF(G643&gt;30,2,0)-IF(B643&gt;24,1,0)</x:f>
        <x:v>1</x:v>
      </x:c>
      <x:c r="L643" s="1" t="str">
        <x:f>IF(K643&gt;=3,"yes","no")</x:f>
        <x:v>no</x:v>
      </x:c>
      <x:c r="M643" s="1"/>
      <x:c r="N643" s="1"/>
      <x:c r="O643" s="1"/>
    </x:row>
    <x:row r="644">
      <x:c r="A644" s="1" t="str">
        <x:v>S0643</x:v>
      </x:c>
      <x:c r="B644" s="1" t="n">
        <x:v>21</x:v>
      </x:c>
      <x:c r="C644" s="1" t="str">
        <x:v>basic</x:v>
      </x:c>
      <x:c r="D644" s="8" t="n">
        <x:v>9.99</x:v>
      </x:c>
      <x:c r="E644" s="1" t="n">
        <x:v>2</x:v>
      </x:c>
      <x:c r="F644" s="1" t="n">
        <x:v>14</x:v>
      </x:c>
      <x:c r="G644" s="1" t="n">
        <x:v>4</x:v>
      </x:c>
      <x:c r="H644" s="1" t="n">
        <x:v>0</x:v>
      </x:c>
      <x:c r="I644" s="1" t="n">
        <x:v>1</x:v>
      </x:c>
      <x:c r="J644" s="1" t="str">
        <x:v>no</x:v>
      </x:c>
      <x:c r="K644" s="1" t="n">
        <x:f>2*H644+E644+IF(G644&gt;30,2,0)-IF(B644&gt;24,1,0)</x:f>
        <x:v>2</x:v>
      </x:c>
      <x:c r="L644" s="1" t="str">
        <x:f>IF(K644&gt;=3,"yes","no")</x:f>
        <x:v>no</x:v>
      </x:c>
      <x:c r="M644" s="1"/>
      <x:c r="N644" s="1"/>
      <x:c r="O644" s="1"/>
    </x:row>
    <x:row r="645">
      <x:c r="A645" s="1" t="str">
        <x:v>S0644</x:v>
      </x:c>
      <x:c r="B645" s="1" t="n">
        <x:v>34</x:v>
      </x:c>
      <x:c r="C645" s="1" t="str">
        <x:v>basic</x:v>
      </x:c>
      <x:c r="D645" s="8" t="n">
        <x:v>9.99</x:v>
      </x:c>
      <x:c r="E645" s="1" t="n">
        <x:v>1</x:v>
      </x:c>
      <x:c r="F645" s="1" t="n">
        <x:v>22</x:v>
      </x:c>
      <x:c r="G645" s="1" t="n">
        <x:v>2</x:v>
      </x:c>
      <x:c r="H645" s="1" t="n">
        <x:v>0</x:v>
      </x:c>
      <x:c r="I645" s="1" t="n">
        <x:v>0</x:v>
      </x:c>
      <x:c r="J645" s="1" t="str">
        <x:v>no</x:v>
      </x:c>
      <x:c r="K645" s="1" t="n">
        <x:f>2*H645+E645+IF(G645&gt;30,2,0)-IF(B645&gt;24,1,0)</x:f>
        <x:v>0</x:v>
      </x:c>
      <x:c r="L645" s="1" t="str">
        <x:f>IF(K645&gt;=3,"yes","no")</x:f>
        <x:v>no</x:v>
      </x:c>
      <x:c r="M645" s="1"/>
      <x:c r="N645" s="1"/>
      <x:c r="O645" s="1"/>
    </x:row>
    <x:row r="646">
      <x:c r="A646" s="1" t="str">
        <x:v>S0645</x:v>
      </x:c>
      <x:c r="B646" s="1" t="n">
        <x:v>25</x:v>
      </x:c>
      <x:c r="C646" s="1" t="str">
        <x:v>premium</x:v>
      </x:c>
      <x:c r="D646" s="8" t="n">
        <x:v>15.99</x:v>
      </x:c>
      <x:c r="E646" s="1" t="n">
        <x:v>0</x:v>
      </x:c>
      <x:c r="F646" s="1" t="n">
        <x:v>7</x:v>
      </x:c>
      <x:c r="G646" s="1" t="n">
        <x:v>5</x:v>
      </x:c>
      <x:c r="H646" s="1" t="n">
        <x:v>0</x:v>
      </x:c>
      <x:c r="I646" s="1" t="n">
        <x:v>1</x:v>
      </x:c>
      <x:c r="J646" s="1" t="str">
        <x:v>no</x:v>
      </x:c>
      <x:c r="K646" s="1" t="n">
        <x:f>2*H646+E646+IF(G646&gt;30,2,0)-IF(B646&gt;24,1,0)</x:f>
        <x:v>-1</x:v>
      </x:c>
      <x:c r="L646" s="1" t="str">
        <x:f>IF(K646&gt;=3,"yes","no")</x:f>
        <x:v>no</x:v>
      </x:c>
      <x:c r="M646" s="1"/>
      <x:c r="N646" s="1"/>
      <x:c r="O646" s="1"/>
    </x:row>
    <x:row r="647">
      <x:c r="A647" s="1" t="str">
        <x:v>S0646</x:v>
      </x:c>
      <x:c r="B647" s="1" t="n">
        <x:v>26</x:v>
      </x:c>
      <x:c r="C647" s="1" t="str">
        <x:v>premium</x:v>
      </x:c>
      <x:c r="D647" s="8" t="n">
        <x:v>15.99</x:v>
      </x:c>
      <x:c r="E647" s="1" t="n">
        <x:v>0</x:v>
      </x:c>
      <x:c r="F647" s="1" t="n">
        <x:v>8</x:v>
      </x:c>
      <x:c r="G647" s="1" t="n">
        <x:v>4</x:v>
      </x:c>
      <x:c r="H647" s="1" t="n">
        <x:v>0</x:v>
      </x:c>
      <x:c r="I647" s="1" t="n">
        <x:v>1</x:v>
      </x:c>
      <x:c r="J647" s="1" t="str">
        <x:v>no</x:v>
      </x:c>
      <x:c r="K647" s="1" t="n">
        <x:f>2*H647+E647+IF(G647&gt;30,2,0)-IF(B647&gt;24,1,0)</x:f>
        <x:v>-1</x:v>
      </x:c>
      <x:c r="L647" s="1" t="str">
        <x:f>IF(K647&gt;=3,"yes","no")</x:f>
        <x:v>no</x:v>
      </x:c>
      <x:c r="M647" s="1"/>
      <x:c r="N647" s="1"/>
      <x:c r="O647" s="1"/>
    </x:row>
    <x:row r="648">
      <x:c r="A648" s="1" t="str">
        <x:v>S0647</x:v>
      </x:c>
      <x:c r="B648" s="1" t="n">
        <x:v>31</x:v>
      </x:c>
      <x:c r="C648" s="1" t="str">
        <x:v>basic</x:v>
      </x:c>
      <x:c r="D648" s="8" t="n">
        <x:v>9.99</x:v>
      </x:c>
      <x:c r="E648" s="1" t="n">
        <x:v>3</x:v>
      </x:c>
      <x:c r="F648" s="1" t="n">
        <x:v>9</x:v>
      </x:c>
      <x:c r="G648" s="1" t="n">
        <x:v>18</x:v>
      </x:c>
      <x:c r="H648" s="1" t="n">
        <x:v>0</x:v>
      </x:c>
      <x:c r="I648" s="1" t="n">
        <x:v>0</x:v>
      </x:c>
      <x:c r="J648" s="1" t="str">
        <x:v>no</x:v>
      </x:c>
      <x:c r="K648" s="1" t="n">
        <x:f>2*H648+E648+IF(G648&gt;30,2,0)-IF(B648&gt;24,1,0)</x:f>
        <x:v>2</x:v>
      </x:c>
      <x:c r="L648" s="1" t="str">
        <x:f>IF(K648&gt;=3,"yes","no")</x:f>
        <x:v>no</x:v>
      </x:c>
      <x:c r="M648" s="1"/>
      <x:c r="N648" s="1"/>
      <x:c r="O648" s="1"/>
    </x:row>
    <x:row r="649">
      <x:c r="A649" s="1" t="str">
        <x:v>S0648</x:v>
      </x:c>
      <x:c r="B649" s="1" t="n">
        <x:v>21</x:v>
      </x:c>
      <x:c r="C649" s="1" t="str">
        <x:v>basic</x:v>
      </x:c>
      <x:c r="D649" s="8" t="n">
        <x:v>9.99</x:v>
      </x:c>
      <x:c r="E649" s="1" t="n">
        <x:v>1</x:v>
      </x:c>
      <x:c r="F649" s="1" t="n">
        <x:v>4</x:v>
      </x:c>
      <x:c r="G649" s="1" t="n">
        <x:v>20</x:v>
      </x:c>
      <x:c r="H649" s="1" t="n">
        <x:v>1</x:v>
      </x:c>
      <x:c r="I649" s="1" t="n">
        <x:v>0</x:v>
      </x:c>
      <x:c r="J649" s="1" t="str">
        <x:v>no</x:v>
      </x:c>
      <x:c r="K649" s="1" t="n">
        <x:f>2*H649+E649+IF(G649&gt;30,2,0)-IF(B649&gt;24,1,0)</x:f>
        <x:v>3</x:v>
      </x:c>
      <x:c r="L649" s="1" t="str">
        <x:f>IF(K649&gt;=3,"yes","no")</x:f>
        <x:v>yes</x:v>
      </x:c>
      <x:c r="M649" s="1"/>
      <x:c r="N649" s="1"/>
      <x:c r="O649" s="1"/>
    </x:row>
    <x:row r="650">
      <x:c r="A650" s="1" t="str">
        <x:v>S0649</x:v>
      </x:c>
      <x:c r="B650" s="1" t="n">
        <x:v>45</x:v>
      </x:c>
      <x:c r="C650" s="1" t="str">
        <x:v>basic</x:v>
      </x:c>
      <x:c r="D650" s="8" t="n">
        <x:v>9.99</x:v>
      </x:c>
      <x:c r="E650" s="1" t="n">
        <x:v>1</x:v>
      </x:c>
      <x:c r="F650" s="1" t="n">
        <x:v>27</x:v>
      </x:c>
      <x:c r="G650" s="1" t="n">
        <x:v>1</x:v>
      </x:c>
      <x:c r="H650" s="1" t="n">
        <x:v>0</x:v>
      </x:c>
      <x:c r="I650" s="1" t="n">
        <x:v>0</x:v>
      </x:c>
      <x:c r="J650" s="1" t="str">
        <x:v>no</x:v>
      </x:c>
      <x:c r="K650" s="1" t="n">
        <x:f>2*H650+E650+IF(G650&gt;30,2,0)-IF(B650&gt;24,1,0)</x:f>
        <x:v>0</x:v>
      </x:c>
      <x:c r="L650" s="1" t="str">
        <x:f>IF(K650&gt;=3,"yes","no")</x:f>
        <x:v>no</x:v>
      </x:c>
      <x:c r="M650" s="1"/>
      <x:c r="N650" s="1"/>
      <x:c r="O650" s="1"/>
    </x:row>
    <x:row r="651">
      <x:c r="A651" s="1" t="str">
        <x:v>S0650</x:v>
      </x:c>
      <x:c r="B651" s="1" t="n">
        <x:v>39</x:v>
      </x:c>
      <x:c r="C651" s="1" t="str">
        <x:v>basic</x:v>
      </x:c>
      <x:c r="D651" s="8" t="n">
        <x:v>9.99</x:v>
      </x:c>
      <x:c r="E651" s="1" t="n">
        <x:v>0</x:v>
      </x:c>
      <x:c r="F651" s="1" t="n">
        <x:v>14</x:v>
      </x:c>
      <x:c r="G651" s="1" t="n">
        <x:v>3</x:v>
      </x:c>
      <x:c r="H651" s="1" t="n">
        <x:v>0</x:v>
      </x:c>
      <x:c r="I651" s="1" t="n">
        <x:v>1</x:v>
      </x:c>
      <x:c r="J651" s="1" t="str">
        <x:v>no</x:v>
      </x:c>
      <x:c r="K651" s="1" t="n">
        <x:f>2*H651+E651+IF(G651&gt;30,2,0)-IF(B651&gt;24,1,0)</x:f>
        <x:v>-1</x:v>
      </x:c>
      <x:c r="L651" s="1" t="str">
        <x:f>IF(K651&gt;=3,"yes","no")</x:f>
        <x:v>no</x:v>
      </x:c>
      <x:c r="M651" s="1"/>
      <x:c r="N651" s="1"/>
      <x:c r="O651" s="1"/>
    </x:row>
    <x:row r="652">
      <x:c r="A652" s="1" t="str">
        <x:v>S0651</x:v>
      </x:c>
      <x:c r="B652" s="1" t="n">
        <x:v>15</x:v>
      </x:c>
      <x:c r="C652" s="1" t="str">
        <x:v>basic</x:v>
      </x:c>
      <x:c r="D652" s="8" t="n">
        <x:v>9.99</x:v>
      </x:c>
      <x:c r="E652" s="1" t="n">
        <x:v>1</x:v>
      </x:c>
      <x:c r="F652" s="1" t="n">
        <x:v>24</x:v>
      </x:c>
      <x:c r="G652" s="1" t="n">
        <x:v>9</x:v>
      </x:c>
      <x:c r="H652" s="1" t="n">
        <x:v>0</x:v>
      </x:c>
      <x:c r="I652" s="1" t="n">
        <x:v>0</x:v>
      </x:c>
      <x:c r="J652" s="1" t="str">
        <x:v>no</x:v>
      </x:c>
      <x:c r="K652" s="1" t="n">
        <x:f>2*H652+E652+IF(G652&gt;30,2,0)-IF(B652&gt;24,1,0)</x:f>
        <x:v>1</x:v>
      </x:c>
      <x:c r="L652" s="1" t="str">
        <x:f>IF(K652&gt;=3,"yes","no")</x:f>
        <x:v>no</x:v>
      </x:c>
      <x:c r="M652" s="1"/>
      <x:c r="N652" s="1"/>
      <x:c r="O652" s="1"/>
    </x:row>
    <x:row r="653">
      <x:c r="A653" s="1" t="str">
        <x:v>S0652</x:v>
      </x:c>
      <x:c r="B653" s="1" t="n">
        <x:v>9</x:v>
      </x:c>
      <x:c r="C653" s="1" t="str">
        <x:v>premium</x:v>
      </x:c>
      <x:c r="D653" s="8" t="n">
        <x:v>15.99</x:v>
      </x:c>
      <x:c r="E653" s="1" t="n">
        <x:v>0</x:v>
      </x:c>
      <x:c r="F653" s="1" t="n">
        <x:v>0</x:v>
      </x:c>
      <x:c r="G653" s="1" t="n">
        <x:v>44</x:v>
      </x:c>
      <x:c r="H653" s="1" t="n">
        <x:v>0</x:v>
      </x:c>
      <x:c r="I653" s="1" t="n">
        <x:v>0</x:v>
      </x:c>
      <x:c r="J653" s="1" t="str">
        <x:v>yes</x:v>
      </x:c>
      <x:c r="K653" s="1" t="n">
        <x:f>2*H653+E653+IF(G653&gt;30,2,0)-IF(B653&gt;24,1,0)</x:f>
        <x:v>2</x:v>
      </x:c>
      <x:c r="L653" s="1" t="str">
        <x:f>IF(K653&gt;=3,"yes","no")</x:f>
        <x:v>no</x:v>
      </x:c>
      <x:c r="M653" s="1"/>
      <x:c r="N653" s="1"/>
      <x:c r="O653" s="1"/>
    </x:row>
    <x:row r="654">
      <x:c r="A654" s="1" t="str">
        <x:v>S0653</x:v>
      </x:c>
      <x:c r="B654" s="1" t="n">
        <x:v>33</x:v>
      </x:c>
      <x:c r="C654" s="1" t="str">
        <x:v>basic</x:v>
      </x:c>
      <x:c r="D654" s="8" t="n">
        <x:v>9.99</x:v>
      </x:c>
      <x:c r="E654" s="1" t="n">
        <x:v>1</x:v>
      </x:c>
      <x:c r="F654" s="1" t="n">
        <x:v>27</x:v>
      </x:c>
      <x:c r="G654" s="1" t="n">
        <x:v>4</x:v>
      </x:c>
      <x:c r="H654" s="1" t="n">
        <x:v>1</x:v>
      </x:c>
      <x:c r="I654" s="1" t="n">
        <x:v>0</x:v>
      </x:c>
      <x:c r="J654" s="1" t="str">
        <x:v>no</x:v>
      </x:c>
      <x:c r="K654" s="1" t="n">
        <x:f>2*H654+E654+IF(G654&gt;30,2,0)-IF(B654&gt;24,1,0)</x:f>
        <x:v>2</x:v>
      </x:c>
      <x:c r="L654" s="1" t="str">
        <x:f>IF(K654&gt;=3,"yes","no")</x:f>
        <x:v>no</x:v>
      </x:c>
      <x:c r="M654" s="1"/>
      <x:c r="N654" s="1"/>
      <x:c r="O654" s="1"/>
    </x:row>
    <x:row r="655">
      <x:c r="A655" s="1" t="str">
        <x:v>S0654</x:v>
      </x:c>
      <x:c r="B655" s="1" t="n">
        <x:v>40</x:v>
      </x:c>
      <x:c r="C655" s="1" t="str">
        <x:v>basic</x:v>
      </x:c>
      <x:c r="D655" s="8" t="n">
        <x:v>9.99</x:v>
      </x:c>
      <x:c r="E655" s="1" t="n">
        <x:v>0</x:v>
      </x:c>
      <x:c r="F655" s="1" t="n">
        <x:v>20</x:v>
      </x:c>
      <x:c r="G655" s="1" t="n">
        <x:v>3</x:v>
      </x:c>
      <x:c r="H655" s="1" t="n">
        <x:v>0</x:v>
      </x:c>
      <x:c r="I655" s="1" t="n">
        <x:v>0</x:v>
      </x:c>
      <x:c r="J655" s="1" t="str">
        <x:v>no</x:v>
      </x:c>
      <x:c r="K655" s="1" t="n">
        <x:f>2*H655+E655+IF(G655&gt;30,2,0)-IF(B655&gt;24,1,0)</x:f>
        <x:v>-1</x:v>
      </x:c>
      <x:c r="L655" s="1" t="str">
        <x:f>IF(K655&gt;=3,"yes","no")</x:f>
        <x:v>no</x:v>
      </x:c>
      <x:c r="M655" s="1"/>
      <x:c r="N655" s="1"/>
      <x:c r="O655" s="1"/>
    </x:row>
    <x:row r="656">
      <x:c r="A656" s="1" t="str">
        <x:v>S0655</x:v>
      </x:c>
      <x:c r="B656" s="1" t="n">
        <x:v>4</x:v>
      </x:c>
      <x:c r="C656" s="1" t="str">
        <x:v>basic</x:v>
      </x:c>
      <x:c r="D656" s="8" t="n">
        <x:v>9.99</x:v>
      </x:c>
      <x:c r="E656" s="1" t="n">
        <x:v>3</x:v>
      </x:c>
      <x:c r="F656" s="1" t="n">
        <x:v>10</x:v>
      </x:c>
      <x:c r="G656" s="1" t="n">
        <x:v>20</x:v>
      </x:c>
      <x:c r="H656" s="1" t="n">
        <x:v>0</x:v>
      </x:c>
      <x:c r="I656" s="1" t="n">
        <x:v>0</x:v>
      </x:c>
      <x:c r="J656" s="1" t="str">
        <x:v>yes</x:v>
      </x:c>
      <x:c r="K656" s="1" t="n">
        <x:f>2*H656+E656+IF(G656&gt;30,2,0)-IF(B656&gt;24,1,0)</x:f>
        <x:v>3</x:v>
      </x:c>
      <x:c r="L656" s="1" t="str">
        <x:f>IF(K656&gt;=3,"yes","no")</x:f>
        <x:v>yes</x:v>
      </x:c>
      <x:c r="M656" s="1"/>
      <x:c r="N656" s="1"/>
      <x:c r="O656" s="1"/>
    </x:row>
    <x:row r="657">
      <x:c r="A657" s="1" t="str">
        <x:v>S0656</x:v>
      </x:c>
      <x:c r="B657" s="1" t="n">
        <x:v>9</x:v>
      </x:c>
      <x:c r="C657" s="1" t="str">
        <x:v>premium</x:v>
      </x:c>
      <x:c r="D657" s="8" t="n">
        <x:v>15.99</x:v>
      </x:c>
      <x:c r="E657" s="1" t="n">
        <x:v>2</x:v>
      </x:c>
      <x:c r="F657" s="1" t="n">
        <x:v>15</x:v>
      </x:c>
      <x:c r="G657" s="1" t="n">
        <x:v>5</x:v>
      </x:c>
      <x:c r="H657" s="1" t="n">
        <x:v>0</x:v>
      </x:c>
      <x:c r="I657" s="1" t="n">
        <x:v>0</x:v>
      </x:c>
      <x:c r="J657" s="1" t="str">
        <x:v>no</x:v>
      </x:c>
      <x:c r="K657" s="1" t="n">
        <x:f>2*H657+E657+IF(G657&gt;30,2,0)-IF(B657&gt;24,1,0)</x:f>
        <x:v>2</x:v>
      </x:c>
      <x:c r="L657" s="1" t="str">
        <x:f>IF(K657&gt;=3,"yes","no")</x:f>
        <x:v>no</x:v>
      </x:c>
      <x:c r="M657" s="1"/>
      <x:c r="N657" s="1"/>
      <x:c r="O657" s="1"/>
    </x:row>
    <x:row r="658">
      <x:c r="A658" s="1" t="str">
        <x:v>S0657</x:v>
      </x:c>
      <x:c r="B658" s="1" t="n">
        <x:v>16</x:v>
      </x:c>
      <x:c r="C658" s="1" t="str">
        <x:v>basic</x:v>
      </x:c>
      <x:c r="D658" s="8" t="n">
        <x:v>9.99</x:v>
      </x:c>
      <x:c r="E658" s="1" t="n">
        <x:v>0</x:v>
      </x:c>
      <x:c r="F658" s="1" t="n">
        <x:v>19</x:v>
      </x:c>
      <x:c r="G658" s="1" t="n">
        <x:v>9</x:v>
      </x:c>
      <x:c r="H658" s="1" t="n">
        <x:v>0</x:v>
      </x:c>
      <x:c r="I658" s="1" t="n">
        <x:v>0</x:v>
      </x:c>
      <x:c r="J658" s="1" t="str">
        <x:v>yes</x:v>
      </x:c>
      <x:c r="K658" s="1" t="n">
        <x:f>2*H658+E658+IF(G658&gt;30,2,0)-IF(B658&gt;24,1,0)</x:f>
        <x:v>0</x:v>
      </x:c>
      <x:c r="L658" s="1" t="str">
        <x:f>IF(K658&gt;=3,"yes","no")</x:f>
        <x:v>no</x:v>
      </x:c>
      <x:c r="M658" s="1"/>
      <x:c r="N658" s="1"/>
      <x:c r="O658" s="1"/>
    </x:row>
    <x:row r="659">
      <x:c r="A659" s="1" t="str">
        <x:v>S0658</x:v>
      </x:c>
      <x:c r="B659" s="1" t="n">
        <x:v>29</x:v>
      </x:c>
      <x:c r="C659" s="1" t="str">
        <x:v>basic</x:v>
      </x:c>
      <x:c r="D659" s="8" t="n">
        <x:v>9.99</x:v>
      </x:c>
      <x:c r="E659" s="1" t="n">
        <x:v>2</x:v>
      </x:c>
      <x:c r="F659" s="1" t="n">
        <x:v>10</x:v>
      </x:c>
      <x:c r="G659" s="1" t="n">
        <x:v>2</x:v>
      </x:c>
      <x:c r="H659" s="1" t="n">
        <x:v>0</x:v>
      </x:c>
      <x:c r="I659" s="1" t="n">
        <x:v>0</x:v>
      </x:c>
      <x:c r="J659" s="1" t="str">
        <x:v>no</x:v>
      </x:c>
      <x:c r="K659" s="1" t="n">
        <x:f>2*H659+E659+IF(G659&gt;30,2,0)-IF(B659&gt;24,1,0)</x:f>
        <x:v>1</x:v>
      </x:c>
      <x:c r="L659" s="1" t="str">
        <x:f>IF(K659&gt;=3,"yes","no")</x:f>
        <x:v>no</x:v>
      </x:c>
      <x:c r="M659" s="1"/>
      <x:c r="N659" s="1"/>
      <x:c r="O659" s="1"/>
    </x:row>
    <x:row r="660">
      <x:c r="A660" s="1" t="str">
        <x:v>S0659</x:v>
      </x:c>
      <x:c r="B660" s="1" t="n">
        <x:v>42</x:v>
      </x:c>
      <x:c r="C660" s="1" t="str">
        <x:v>premium</x:v>
      </x:c>
      <x:c r="D660" s="8" t="n">
        <x:v>15.99</x:v>
      </x:c>
      <x:c r="E660" s="1" t="n">
        <x:v>1</x:v>
      </x:c>
      <x:c r="F660" s="1" t="n">
        <x:v>1</x:v>
      </x:c>
      <x:c r="G660" s="1" t="n">
        <x:v>16</x:v>
      </x:c>
      <x:c r="H660" s="1" t="n">
        <x:v>0</x:v>
      </x:c>
      <x:c r="I660" s="1" t="n">
        <x:v>0</x:v>
      </x:c>
      <x:c r="J660" s="1" t="str">
        <x:v>no</x:v>
      </x:c>
      <x:c r="K660" s="1" t="n">
        <x:f>2*H660+E660+IF(G660&gt;30,2,0)-IF(B660&gt;24,1,0)</x:f>
        <x:v>0</x:v>
      </x:c>
      <x:c r="L660" s="1" t="str">
        <x:f>IF(K660&gt;=3,"yes","no")</x:f>
        <x:v>no</x:v>
      </x:c>
      <x:c r="M660" s="1"/>
      <x:c r="N660" s="1"/>
      <x:c r="O660" s="1"/>
    </x:row>
    <x:row r="661">
      <x:c r="A661" s="1" t="str">
        <x:v>S0660</x:v>
      </x:c>
      <x:c r="B661" s="1" t="n">
        <x:v>14</x:v>
      </x:c>
      <x:c r="C661" s="1" t="str">
        <x:v>basic</x:v>
      </x:c>
      <x:c r="D661" s="8" t="n">
        <x:v>9.99</x:v>
      </x:c>
      <x:c r="E661" s="1" t="n">
        <x:v>1</x:v>
      </x:c>
      <x:c r="F661" s="1" t="n">
        <x:v>7</x:v>
      </x:c>
      <x:c r="G661" s="1" t="n">
        <x:v>11</x:v>
      </x:c>
      <x:c r="H661" s="1" t="n">
        <x:v>0</x:v>
      </x:c>
      <x:c r="I661" s="1" t="n">
        <x:v>0</x:v>
      </x:c>
      <x:c r="J661" s="1" t="str">
        <x:v>no</x:v>
      </x:c>
      <x:c r="K661" s="1" t="n">
        <x:f>2*H661+E661+IF(G661&gt;30,2,0)-IF(B661&gt;24,1,0)</x:f>
        <x:v>1</x:v>
      </x:c>
      <x:c r="L661" s="1" t="str">
        <x:f>IF(K661&gt;=3,"yes","no")</x:f>
        <x:v>no</x:v>
      </x:c>
      <x:c r="M661" s="1"/>
      <x:c r="N661" s="1"/>
      <x:c r="O661" s="1"/>
    </x:row>
    <x:row r="662">
      <x:c r="A662" s="1" t="str">
        <x:v>S0661</x:v>
      </x:c>
      <x:c r="B662" s="1" t="n">
        <x:v>40</x:v>
      </x:c>
      <x:c r="C662" s="1" t="str">
        <x:v>basic</x:v>
      </x:c>
      <x:c r="D662" s="8" t="n">
        <x:v>9.99</x:v>
      </x:c>
      <x:c r="E662" s="1" t="n">
        <x:v>0</x:v>
      </x:c>
      <x:c r="F662" s="1" t="n">
        <x:v>20</x:v>
      </x:c>
      <x:c r="G662" s="1" t="n">
        <x:v>6</x:v>
      </x:c>
      <x:c r="H662" s="1" t="n">
        <x:v>0</x:v>
      </x:c>
      <x:c r="I662" s="1" t="n">
        <x:v>1</x:v>
      </x:c>
      <x:c r="J662" s="1" t="str">
        <x:v>no</x:v>
      </x:c>
      <x:c r="K662" s="1" t="n">
        <x:f>2*H662+E662+IF(G662&gt;30,2,0)-IF(B662&gt;24,1,0)</x:f>
        <x:v>-1</x:v>
      </x:c>
      <x:c r="L662" s="1" t="str">
        <x:f>IF(K662&gt;=3,"yes","no")</x:f>
        <x:v>no</x:v>
      </x:c>
      <x:c r="M662" s="1"/>
      <x:c r="N662" s="1"/>
      <x:c r="O662" s="1"/>
    </x:row>
    <x:row r="663">
      <x:c r="A663" s="1" t="str">
        <x:v>S0662</x:v>
      </x:c>
      <x:c r="B663" s="1" t="n">
        <x:v>26</x:v>
      </x:c>
      <x:c r="C663" s="1" t="str">
        <x:v>basic</x:v>
      </x:c>
      <x:c r="D663" s="8" t="n">
        <x:v>9.99</x:v>
      </x:c>
      <x:c r="E663" s="1" t="n">
        <x:v>1</x:v>
      </x:c>
      <x:c r="F663" s="1" t="n">
        <x:v>25</x:v>
      </x:c>
      <x:c r="G663" s="1" t="n">
        <x:v>0</x:v>
      </x:c>
      <x:c r="H663" s="1" t="n">
        <x:v>0</x:v>
      </x:c>
      <x:c r="I663" s="1" t="n">
        <x:v>0</x:v>
      </x:c>
      <x:c r="J663" s="1" t="str">
        <x:v>no</x:v>
      </x:c>
      <x:c r="K663" s="1" t="n">
        <x:f>2*H663+E663+IF(G663&gt;30,2,0)-IF(B663&gt;24,1,0)</x:f>
        <x:v>0</x:v>
      </x:c>
      <x:c r="L663" s="1" t="str">
        <x:f>IF(K663&gt;=3,"yes","no")</x:f>
        <x:v>no</x:v>
      </x:c>
      <x:c r="M663" s="1"/>
      <x:c r="N663" s="1"/>
      <x:c r="O663" s="1"/>
    </x:row>
    <x:row r="664">
      <x:c r="A664" s="1" t="str">
        <x:v>S0663</x:v>
      </x:c>
      <x:c r="B664" s="1" t="n">
        <x:v>2</x:v>
      </x:c>
      <x:c r="C664" s="1" t="str">
        <x:v>basic</x:v>
      </x:c>
      <x:c r="D664" s="8" t="n">
        <x:v>9.99</x:v>
      </x:c>
      <x:c r="E664" s="1" t="n">
        <x:v>0</x:v>
      </x:c>
      <x:c r="F664" s="1" t="n">
        <x:v>0</x:v>
      </x:c>
      <x:c r="G664" s="1" t="n">
        <x:v>38</x:v>
      </x:c>
      <x:c r="H664" s="1" t="n">
        <x:v>0</x:v>
      </x:c>
      <x:c r="I664" s="1" t="n">
        <x:v>0</x:v>
      </x:c>
      <x:c r="J664" s="1" t="str">
        <x:v>yes</x:v>
      </x:c>
      <x:c r="K664" s="1" t="n">
        <x:f>2*H664+E664+IF(G664&gt;30,2,0)-IF(B664&gt;24,1,0)</x:f>
        <x:v>2</x:v>
      </x:c>
      <x:c r="L664" s="1" t="str">
        <x:f>IF(K664&gt;=3,"yes","no")</x:f>
        <x:v>no</x:v>
      </x:c>
      <x:c r="M664" s="1"/>
      <x:c r="N664" s="1"/>
      <x:c r="O664" s="1"/>
    </x:row>
    <x:row r="665">
      <x:c r="A665" s="1" t="str">
        <x:v>S0664</x:v>
      </x:c>
      <x:c r="B665" s="1" t="n">
        <x:v>8</x:v>
      </x:c>
      <x:c r="C665" s="1" t="str">
        <x:v>basic</x:v>
      </x:c>
      <x:c r="D665" s="8" t="n">
        <x:v>9.99</x:v>
      </x:c>
      <x:c r="E665" s="1" t="n">
        <x:v>2</x:v>
      </x:c>
      <x:c r="F665" s="1" t="n">
        <x:v>22</x:v>
      </x:c>
      <x:c r="G665" s="1" t="n">
        <x:v>14</x:v>
      </x:c>
      <x:c r="H665" s="1" t="n">
        <x:v>0</x:v>
      </x:c>
      <x:c r="I665" s="1" t="n">
        <x:v>1</x:v>
      </x:c>
      <x:c r="J665" s="1" t="str">
        <x:v>yes</x:v>
      </x:c>
      <x:c r="K665" s="1" t="n">
        <x:f>2*H665+E665+IF(G665&gt;30,2,0)-IF(B665&gt;24,1,0)</x:f>
        <x:v>2</x:v>
      </x:c>
      <x:c r="L665" s="1" t="str">
        <x:f>IF(K665&gt;=3,"yes","no")</x:f>
        <x:v>no</x:v>
      </x:c>
      <x:c r="M665" s="1"/>
      <x:c r="N665" s="1"/>
      <x:c r="O665" s="1"/>
    </x:row>
    <x:row r="666">
      <x:c r="A666" s="1" t="str">
        <x:v>S0665</x:v>
      </x:c>
      <x:c r="B666" s="1" t="n">
        <x:v>43</x:v>
      </x:c>
      <x:c r="C666" s="1" t="str">
        <x:v>basic</x:v>
      </x:c>
      <x:c r="D666" s="8" t="n">
        <x:v>9.99</x:v>
      </x:c>
      <x:c r="E666" s="1" t="n">
        <x:v>1</x:v>
      </x:c>
      <x:c r="F666" s="1" t="n">
        <x:v>12</x:v>
      </x:c>
      <x:c r="G666" s="1" t="n">
        <x:v>26</x:v>
      </x:c>
      <x:c r="H666" s="1" t="n">
        <x:v>0</x:v>
      </x:c>
      <x:c r="I666" s="1" t="n">
        <x:v>0</x:v>
      </x:c>
      <x:c r="J666" s="1" t="str">
        <x:v>no</x:v>
      </x:c>
      <x:c r="K666" s="1" t="n">
        <x:f>2*H666+E666+IF(G666&gt;30,2,0)-IF(B666&gt;24,1,0)</x:f>
        <x:v>0</x:v>
      </x:c>
      <x:c r="L666" s="1" t="str">
        <x:f>IF(K666&gt;=3,"yes","no")</x:f>
        <x:v>no</x:v>
      </x:c>
      <x:c r="M666" s="1"/>
      <x:c r="N666" s="1"/>
      <x:c r="O666" s="1"/>
    </x:row>
    <x:row r="667">
      <x:c r="A667" s="1" t="str">
        <x:v>S0666</x:v>
      </x:c>
      <x:c r="B667" s="1" t="n">
        <x:v>4</x:v>
      </x:c>
      <x:c r="C667" s="1" t="str">
        <x:v>premium</x:v>
      </x:c>
      <x:c r="D667" s="8" t="n">
        <x:v>15.99</x:v>
      </x:c>
      <x:c r="E667" s="1" t="n">
        <x:v>4</x:v>
      </x:c>
      <x:c r="F667" s="1" t="n">
        <x:v>18</x:v>
      </x:c>
      <x:c r="G667" s="1" t="n">
        <x:v>7</x:v>
      </x:c>
      <x:c r="H667" s="1" t="n">
        <x:v>0</x:v>
      </x:c>
      <x:c r="I667" s="1" t="n">
        <x:v>0</x:v>
      </x:c>
      <x:c r="J667" s="1" t="str">
        <x:v>no</x:v>
      </x:c>
      <x:c r="K667" s="1" t="n">
        <x:f>2*H667+E667+IF(G667&gt;30,2,0)-IF(B667&gt;24,1,0)</x:f>
        <x:v>4</x:v>
      </x:c>
      <x:c r="L667" s="1" t="str">
        <x:f>IF(K667&gt;=3,"yes","no")</x:f>
        <x:v>yes</x:v>
      </x:c>
      <x:c r="M667" s="1"/>
      <x:c r="N667" s="1"/>
      <x:c r="O667" s="1"/>
    </x:row>
    <x:row r="668">
      <x:c r="A668" s="1" t="str">
        <x:v>S0667</x:v>
      </x:c>
      <x:c r="B668" s="1" t="n">
        <x:v>46</x:v>
      </x:c>
      <x:c r="C668" s="1" t="str">
        <x:v>premium</x:v>
      </x:c>
      <x:c r="D668" s="8" t="n">
        <x:v>15.99</x:v>
      </x:c>
      <x:c r="E668" s="1" t="n">
        <x:v>0</x:v>
      </x:c>
      <x:c r="F668" s="1" t="n">
        <x:v>0</x:v>
      </x:c>
      <x:c r="G668" s="1" t="n">
        <x:v>34</x:v>
      </x:c>
      <x:c r="H668" s="1" t="n">
        <x:v>0</x:v>
      </x:c>
      <x:c r="I668" s="1" t="n">
        <x:v>0</x:v>
      </x:c>
      <x:c r="J668" s="1" t="str">
        <x:v>no</x:v>
      </x:c>
      <x:c r="K668" s="1" t="n">
        <x:f>2*H668+E668+IF(G668&gt;30,2,0)-IF(B668&gt;24,1,0)</x:f>
        <x:v>1</x:v>
      </x:c>
      <x:c r="L668" s="1" t="str">
        <x:f>IF(K668&gt;=3,"yes","no")</x:f>
        <x:v>no</x:v>
      </x:c>
      <x:c r="M668" s="1"/>
      <x:c r="N668" s="1"/>
      <x:c r="O668" s="1"/>
    </x:row>
    <x:row r="669">
      <x:c r="A669" s="1" t="str">
        <x:v>S0668</x:v>
      </x:c>
      <x:c r="B669" s="1" t="n">
        <x:v>24</x:v>
      </x:c>
      <x:c r="C669" s="1" t="str">
        <x:v>basic</x:v>
      </x:c>
      <x:c r="D669" s="8" t="n">
        <x:v>9.99</x:v>
      </x:c>
      <x:c r="E669" s="1" t="n">
        <x:v>0</x:v>
      </x:c>
      <x:c r="F669" s="1" t="n">
        <x:v>33</x:v>
      </x:c>
      <x:c r="G669" s="1" t="n">
        <x:v>6</x:v>
      </x:c>
      <x:c r="H669" s="1" t="n">
        <x:v>0</x:v>
      </x:c>
      <x:c r="I669" s="1" t="n">
        <x:v>0</x:v>
      </x:c>
      <x:c r="J669" s="1" t="str">
        <x:v>no</x:v>
      </x:c>
      <x:c r="K669" s="1" t="n">
        <x:f>2*H669+E669+IF(G669&gt;30,2,0)-IF(B669&gt;24,1,0)</x:f>
        <x:v>0</x:v>
      </x:c>
      <x:c r="L669" s="1" t="str">
        <x:f>IF(K669&gt;=3,"yes","no")</x:f>
        <x:v>no</x:v>
      </x:c>
      <x:c r="M669" s="1"/>
      <x:c r="N669" s="1"/>
      <x:c r="O669" s="1"/>
    </x:row>
    <x:row r="670">
      <x:c r="A670" s="1" t="str">
        <x:v>S0669</x:v>
      </x:c>
      <x:c r="B670" s="1" t="n">
        <x:v>11</x:v>
      </x:c>
      <x:c r="C670" s="1" t="str">
        <x:v>basic</x:v>
      </x:c>
      <x:c r="D670" s="8" t="n">
        <x:v>9.99</x:v>
      </x:c>
      <x:c r="E670" s="1" t="n">
        <x:v>2</x:v>
      </x:c>
      <x:c r="F670" s="1" t="n">
        <x:v>23</x:v>
      </x:c>
      <x:c r="G670" s="1" t="n">
        <x:v>3</x:v>
      </x:c>
      <x:c r="H670" s="1" t="n">
        <x:v>0</x:v>
      </x:c>
      <x:c r="I670" s="1" t="n">
        <x:v>0</x:v>
      </x:c>
      <x:c r="J670" s="1" t="str">
        <x:v>no</x:v>
      </x:c>
      <x:c r="K670" s="1" t="n">
        <x:f>2*H670+E670+IF(G670&gt;30,2,0)-IF(B670&gt;24,1,0)</x:f>
        <x:v>2</x:v>
      </x:c>
      <x:c r="L670" s="1" t="str">
        <x:f>IF(K670&gt;=3,"yes","no")</x:f>
        <x:v>no</x:v>
      </x:c>
      <x:c r="M670" s="1"/>
      <x:c r="N670" s="1"/>
      <x:c r="O670" s="1"/>
    </x:row>
    <x:row r="671">
      <x:c r="A671" s="1" t="str">
        <x:v>S0670</x:v>
      </x:c>
      <x:c r="B671" s="1" t="n">
        <x:v>38</x:v>
      </x:c>
      <x:c r="C671" s="1" t="str">
        <x:v>premium</x:v>
      </x:c>
      <x:c r="D671" s="8" t="n">
        <x:v>15.99</x:v>
      </x:c>
      <x:c r="E671" s="1" t="n">
        <x:v>0</x:v>
      </x:c>
      <x:c r="F671" s="1" t="n">
        <x:v>2</x:v>
      </x:c>
      <x:c r="G671" s="1" t="n">
        <x:v>1</x:v>
      </x:c>
      <x:c r="H671" s="1" t="n">
        <x:v>0</x:v>
      </x:c>
      <x:c r="I671" s="1" t="n">
        <x:v>0</x:v>
      </x:c>
      <x:c r="J671" s="1" t="str">
        <x:v>no</x:v>
      </x:c>
      <x:c r="K671" s="1" t="n">
        <x:f>2*H671+E671+IF(G671&gt;30,2,0)-IF(B671&gt;24,1,0)</x:f>
        <x:v>-1</x:v>
      </x:c>
      <x:c r="L671" s="1" t="str">
        <x:f>IF(K671&gt;=3,"yes","no")</x:f>
        <x:v>no</x:v>
      </x:c>
      <x:c r="M671" s="1"/>
      <x:c r="N671" s="1"/>
      <x:c r="O671" s="1"/>
    </x:row>
    <x:row r="672">
      <x:c r="A672" s="1" t="str">
        <x:v>S0671</x:v>
      </x:c>
      <x:c r="B672" s="1" t="n">
        <x:v>27</x:v>
      </x:c>
      <x:c r="C672" s="1" t="str">
        <x:v>premium</x:v>
      </x:c>
      <x:c r="D672" s="8" t="n">
        <x:v>15.99</x:v>
      </x:c>
      <x:c r="E672" s="1" t="n">
        <x:v>1</x:v>
      </x:c>
      <x:c r="F672" s="1" t="n">
        <x:v>11</x:v>
      </x:c>
      <x:c r="G672" s="1" t="n">
        <x:v>25</x:v>
      </x:c>
      <x:c r="H672" s="1" t="n">
        <x:v>0</x:v>
      </x:c>
      <x:c r="I672" s="1" t="n">
        <x:v>0</x:v>
      </x:c>
      <x:c r="J672" s="1" t="str">
        <x:v>no</x:v>
      </x:c>
      <x:c r="K672" s="1" t="n">
        <x:f>2*H672+E672+IF(G672&gt;30,2,0)-IF(B672&gt;24,1,0)</x:f>
        <x:v>0</x:v>
      </x:c>
      <x:c r="L672" s="1" t="str">
        <x:f>IF(K672&gt;=3,"yes","no")</x:f>
        <x:v>no</x:v>
      </x:c>
      <x:c r="M672" s="1"/>
      <x:c r="N672" s="1"/>
      <x:c r="O672" s="1"/>
    </x:row>
    <x:row r="673">
      <x:c r="A673" s="1" t="str">
        <x:v>S0672</x:v>
      </x:c>
      <x:c r="B673" s="1" t="n">
        <x:v>16</x:v>
      </x:c>
      <x:c r="C673" s="1" t="str">
        <x:v>basic</x:v>
      </x:c>
      <x:c r="D673" s="8" t="n">
        <x:v>9.99</x:v>
      </x:c>
      <x:c r="E673" s="1" t="n">
        <x:v>0</x:v>
      </x:c>
      <x:c r="F673" s="1" t="n">
        <x:v>37</x:v>
      </x:c>
      <x:c r="G673" s="1" t="n">
        <x:v>0</x:v>
      </x:c>
      <x:c r="H673" s="1" t="n">
        <x:v>0</x:v>
      </x:c>
      <x:c r="I673" s="1" t="n">
        <x:v>1</x:v>
      </x:c>
      <x:c r="J673" s="1" t="str">
        <x:v>no</x:v>
      </x:c>
      <x:c r="K673" s="1" t="n">
        <x:f>2*H673+E673+IF(G673&gt;30,2,0)-IF(B673&gt;24,1,0)</x:f>
        <x:v>0</x:v>
      </x:c>
      <x:c r="L673" s="1" t="str">
        <x:f>IF(K673&gt;=3,"yes","no")</x:f>
        <x:v>no</x:v>
      </x:c>
      <x:c r="M673" s="1"/>
      <x:c r="N673" s="1"/>
      <x:c r="O673" s="1"/>
    </x:row>
    <x:row r="674">
      <x:c r="A674" s="1" t="str">
        <x:v>S0673</x:v>
      </x:c>
      <x:c r="B674" s="1" t="n">
        <x:v>8</x:v>
      </x:c>
      <x:c r="C674" s="1" t="str">
        <x:v>basic</x:v>
      </x:c>
      <x:c r="D674" s="8" t="n">
        <x:v>9.99</x:v>
      </x:c>
      <x:c r="E674" s="1" t="n">
        <x:v>2</x:v>
      </x:c>
      <x:c r="F674" s="1" t="n">
        <x:v>20</x:v>
      </x:c>
      <x:c r="G674" s="1" t="n">
        <x:v>1</x:v>
      </x:c>
      <x:c r="H674" s="1" t="n">
        <x:v>0</x:v>
      </x:c>
      <x:c r="I674" s="1" t="n">
        <x:v>1</x:v>
      </x:c>
      <x:c r="J674" s="1" t="str">
        <x:v>no</x:v>
      </x:c>
      <x:c r="K674" s="1" t="n">
        <x:f>2*H674+E674+IF(G674&gt;30,2,0)-IF(B674&gt;24,1,0)</x:f>
        <x:v>2</x:v>
      </x:c>
      <x:c r="L674" s="1" t="str">
        <x:f>IF(K674&gt;=3,"yes","no")</x:f>
        <x:v>no</x:v>
      </x:c>
      <x:c r="M674" s="1"/>
      <x:c r="N674" s="1"/>
      <x:c r="O674" s="1"/>
    </x:row>
    <x:row r="675">
      <x:c r="A675" s="1" t="str">
        <x:v>S0674</x:v>
      </x:c>
      <x:c r="B675" s="1" t="n">
        <x:v>36</x:v>
      </x:c>
      <x:c r="C675" s="1" t="str">
        <x:v>basic</x:v>
      </x:c>
      <x:c r="D675" s="8" t="n">
        <x:v>9.99</x:v>
      </x:c>
      <x:c r="E675" s="1" t="n">
        <x:v>3</x:v>
      </x:c>
      <x:c r="F675" s="1" t="n">
        <x:v>22</x:v>
      </x:c>
      <x:c r="G675" s="1" t="n">
        <x:v>1</x:v>
      </x:c>
      <x:c r="H675" s="1" t="n">
        <x:v>0</x:v>
      </x:c>
      <x:c r="I675" s="1" t="n">
        <x:v>0</x:v>
      </x:c>
      <x:c r="J675" s="1" t="str">
        <x:v>no</x:v>
      </x:c>
      <x:c r="K675" s="1" t="n">
        <x:f>2*H675+E675+IF(G675&gt;30,2,0)-IF(B675&gt;24,1,0)</x:f>
        <x:v>2</x:v>
      </x:c>
      <x:c r="L675" s="1" t="str">
        <x:f>IF(K675&gt;=3,"yes","no")</x:f>
        <x:v>no</x:v>
      </x:c>
      <x:c r="M675" s="1"/>
      <x:c r="N675" s="1"/>
      <x:c r="O675" s="1"/>
    </x:row>
    <x:row r="676">
      <x:c r="A676" s="1" t="str">
        <x:v>S0675</x:v>
      </x:c>
      <x:c r="B676" s="1" t="n">
        <x:v>19</x:v>
      </x:c>
      <x:c r="C676" s="1" t="str">
        <x:v>basic</x:v>
      </x:c>
      <x:c r="D676" s="8" t="n">
        <x:v>9.99</x:v>
      </x:c>
      <x:c r="E676" s="1" t="n">
        <x:v>0</x:v>
      </x:c>
      <x:c r="F676" s="1" t="n">
        <x:v>11</x:v>
      </x:c>
      <x:c r="G676" s="1" t="n">
        <x:v>3</x:v>
      </x:c>
      <x:c r="H676" s="1" t="n">
        <x:v>0</x:v>
      </x:c>
      <x:c r="I676" s="1" t="n">
        <x:v>0</x:v>
      </x:c>
      <x:c r="J676" s="1" t="str">
        <x:v>no</x:v>
      </x:c>
      <x:c r="K676" s="1" t="n">
        <x:f>2*H676+E676+IF(G676&gt;30,2,0)-IF(B676&gt;24,1,0)</x:f>
        <x:v>0</x:v>
      </x:c>
      <x:c r="L676" s="1" t="str">
        <x:f>IF(K676&gt;=3,"yes","no")</x:f>
        <x:v>no</x:v>
      </x:c>
      <x:c r="M676" s="1"/>
      <x:c r="N676" s="1"/>
      <x:c r="O676" s="1"/>
    </x:row>
    <x:row r="677">
      <x:c r="A677" s="1" t="str">
        <x:v>S0676</x:v>
      </x:c>
      <x:c r="B677" s="1" t="n">
        <x:v>18</x:v>
      </x:c>
      <x:c r="C677" s="1" t="str">
        <x:v>premium</x:v>
      </x:c>
      <x:c r="D677" s="8" t="n">
        <x:v>15.99</x:v>
      </x:c>
      <x:c r="E677" s="1" t="n">
        <x:v>3</x:v>
      </x:c>
      <x:c r="F677" s="1" t="n">
        <x:v>12</x:v>
      </x:c>
      <x:c r="G677" s="1" t="n">
        <x:v>17</x:v>
      </x:c>
      <x:c r="H677" s="1" t="n">
        <x:v>0</x:v>
      </x:c>
      <x:c r="I677" s="1" t="n">
        <x:v>1</x:v>
      </x:c>
      <x:c r="J677" s="1" t="str">
        <x:v>no</x:v>
      </x:c>
      <x:c r="K677" s="1" t="n">
        <x:f>2*H677+E677+IF(G677&gt;30,2,0)-IF(B677&gt;24,1,0)</x:f>
        <x:v>3</x:v>
      </x:c>
      <x:c r="L677" s="1" t="str">
        <x:f>IF(K677&gt;=3,"yes","no")</x:f>
        <x:v>yes</x:v>
      </x:c>
      <x:c r="M677" s="1"/>
      <x:c r="N677" s="1"/>
      <x:c r="O677" s="1"/>
    </x:row>
    <x:row r="678">
      <x:c r="A678" s="1" t="str">
        <x:v>S0677</x:v>
      </x:c>
      <x:c r="B678" s="1" t="n">
        <x:v>36</x:v>
      </x:c>
      <x:c r="C678" s="1" t="str">
        <x:v>basic</x:v>
      </x:c>
      <x:c r="D678" s="8" t="n">
        <x:v>9.99</x:v>
      </x:c>
      <x:c r="E678" s="1" t="n">
        <x:v>2</x:v>
      </x:c>
      <x:c r="F678" s="1" t="n">
        <x:v>18</x:v>
      </x:c>
      <x:c r="G678" s="1" t="n">
        <x:v>2</x:v>
      </x:c>
      <x:c r="H678" s="1" t="n">
        <x:v>2</x:v>
      </x:c>
      <x:c r="I678" s="1" t="n">
        <x:v>0</x:v>
      </x:c>
      <x:c r="J678" s="1" t="str">
        <x:v>no</x:v>
      </x:c>
      <x:c r="K678" s="1" t="n">
        <x:f>2*H678+E678+IF(G678&gt;30,2,0)-IF(B678&gt;24,1,0)</x:f>
        <x:v>5</x:v>
      </x:c>
      <x:c r="L678" s="1" t="str">
        <x:f>IF(K678&gt;=3,"yes","no")</x:f>
        <x:v>yes</x:v>
      </x:c>
      <x:c r="M678" s="1"/>
      <x:c r="N678" s="1"/>
      <x:c r="O678" s="1"/>
    </x:row>
    <x:row r="679">
      <x:c r="A679" s="1" t="str">
        <x:v>S0678</x:v>
      </x:c>
      <x:c r="B679" s="1" t="n">
        <x:v>8</x:v>
      </x:c>
      <x:c r="C679" s="1" t="str">
        <x:v>premium</x:v>
      </x:c>
      <x:c r="D679" s="8" t="n">
        <x:v>15.99</x:v>
      </x:c>
      <x:c r="E679" s="1" t="n">
        <x:v>0</x:v>
      </x:c>
      <x:c r="F679" s="1" t="n">
        <x:v>0</x:v>
      </x:c>
      <x:c r="G679" s="1" t="n">
        <x:v>34</x:v>
      </x:c>
      <x:c r="H679" s="1" t="n">
        <x:v>0</x:v>
      </x:c>
      <x:c r="I679" s="1" t="n">
        <x:v>0</x:v>
      </x:c>
      <x:c r="J679" s="1" t="str">
        <x:v>yes</x:v>
      </x:c>
      <x:c r="K679" s="1" t="n">
        <x:f>2*H679+E679+IF(G679&gt;30,2,0)-IF(B679&gt;24,1,0)</x:f>
        <x:v>2</x:v>
      </x:c>
      <x:c r="L679" s="1" t="str">
        <x:f>IF(K679&gt;=3,"yes","no")</x:f>
        <x:v>no</x:v>
      </x:c>
      <x:c r="M679" s="1"/>
      <x:c r="N679" s="1"/>
      <x:c r="O679" s="1"/>
    </x:row>
    <x:row r="680">
      <x:c r="A680" s="1" t="str">
        <x:v>S0679</x:v>
      </x:c>
      <x:c r="B680" s="1" t="n">
        <x:v>26</x:v>
      </x:c>
      <x:c r="C680" s="1" t="str">
        <x:v>basic</x:v>
      </x:c>
      <x:c r="D680" s="8" t="n">
        <x:v>9.99</x:v>
      </x:c>
      <x:c r="E680" s="1" t="n">
        <x:v>4</x:v>
      </x:c>
      <x:c r="F680" s="1" t="n">
        <x:v>25</x:v>
      </x:c>
      <x:c r="G680" s="1" t="n">
        <x:v>3</x:v>
      </x:c>
      <x:c r="H680" s="1" t="n">
        <x:v>0</x:v>
      </x:c>
      <x:c r="I680" s="1" t="n">
        <x:v>1</x:v>
      </x:c>
      <x:c r="J680" s="1" t="str">
        <x:v>yes</x:v>
      </x:c>
      <x:c r="K680" s="1" t="n">
        <x:f>2*H680+E680+IF(G680&gt;30,2,0)-IF(B680&gt;24,1,0)</x:f>
        <x:v>3</x:v>
      </x:c>
      <x:c r="L680" s="1" t="str">
        <x:f>IF(K680&gt;=3,"yes","no")</x:f>
        <x:v>yes</x:v>
      </x:c>
      <x:c r="M680" s="1"/>
      <x:c r="N680" s="1"/>
      <x:c r="O680" s="1"/>
    </x:row>
    <x:row r="681">
      <x:c r="A681" s="1" t="str">
        <x:v>S0680</x:v>
      </x:c>
      <x:c r="B681" s="1" t="n">
        <x:v>22</x:v>
      </x:c>
      <x:c r="C681" s="1" t="str">
        <x:v>basic</x:v>
      </x:c>
      <x:c r="D681" s="8" t="n">
        <x:v>9.99</x:v>
      </x:c>
      <x:c r="E681" s="1" t="n">
        <x:v>0</x:v>
      </x:c>
      <x:c r="F681" s="1" t="n">
        <x:v>0</x:v>
      </x:c>
      <x:c r="G681" s="1" t="n">
        <x:v>60</x:v>
      </x:c>
      <x:c r="H681" s="1" t="n">
        <x:v>0</x:v>
      </x:c>
      <x:c r="I681" s="1" t="n">
        <x:v>0</x:v>
      </x:c>
      <x:c r="J681" s="1" t="str">
        <x:v>yes</x:v>
      </x:c>
      <x:c r="K681" s="1" t="n">
        <x:f>2*H681+E681+IF(G681&gt;30,2,0)-IF(B681&gt;24,1,0)</x:f>
        <x:v>2</x:v>
      </x:c>
      <x:c r="L681" s="1" t="str">
        <x:f>IF(K681&gt;=3,"yes","no")</x:f>
        <x:v>no</x:v>
      </x:c>
      <x:c r="M681" s="1"/>
      <x:c r="N681" s="1"/>
      <x:c r="O681" s="1"/>
    </x:row>
    <x:row r="682">
      <x:c r="A682" s="1" t="str">
        <x:v>S0681</x:v>
      </x:c>
      <x:c r="B682" s="1" t="n">
        <x:v>8</x:v>
      </x:c>
      <x:c r="C682" s="1" t="str">
        <x:v>basic</x:v>
      </x:c>
      <x:c r="D682" s="8" t="n">
        <x:v>9.99</x:v>
      </x:c>
      <x:c r="E682" s="1" t="n">
        <x:v>0</x:v>
      </x:c>
      <x:c r="F682" s="1" t="n">
        <x:v>0</x:v>
      </x:c>
      <x:c r="G682" s="1" t="n">
        <x:v>57</x:v>
      </x:c>
      <x:c r="H682" s="1" t="n">
        <x:v>1</x:v>
      </x:c>
      <x:c r="I682" s="1" t="n">
        <x:v>1</x:v>
      </x:c>
      <x:c r="J682" s="1" t="str">
        <x:v>yes</x:v>
      </x:c>
      <x:c r="K682" s="1" t="n">
        <x:f>2*H682+E682+IF(G682&gt;30,2,0)-IF(B682&gt;24,1,0)</x:f>
        <x:v>4</x:v>
      </x:c>
      <x:c r="L682" s="1" t="str">
        <x:f>IF(K682&gt;=3,"yes","no")</x:f>
        <x:v>yes</x:v>
      </x:c>
      <x:c r="M682" s="1"/>
      <x:c r="N682" s="1"/>
      <x:c r="O682" s="1"/>
    </x:row>
    <x:row r="683">
      <x:c r="A683" s="1" t="str">
        <x:v>S0682</x:v>
      </x:c>
      <x:c r="B683" s="1" t="n">
        <x:v>33</x:v>
      </x:c>
      <x:c r="C683" s="1" t="str">
        <x:v>premium</x:v>
      </x:c>
      <x:c r="D683" s="8" t="n">
        <x:v>15.99</x:v>
      </x:c>
      <x:c r="E683" s="1" t="n">
        <x:v>0</x:v>
      </x:c>
      <x:c r="F683" s="1" t="n">
        <x:v>41</x:v>
      </x:c>
      <x:c r="G683" s="1" t="n">
        <x:v>5</x:v>
      </x:c>
      <x:c r="H683" s="1" t="n">
        <x:v>0</x:v>
      </x:c>
      <x:c r="I683" s="1" t="n">
        <x:v>1</x:v>
      </x:c>
      <x:c r="J683" s="1" t="str">
        <x:v>no</x:v>
      </x:c>
      <x:c r="K683" s="1" t="n">
        <x:f>2*H683+E683+IF(G683&gt;30,2,0)-IF(B683&gt;24,1,0)</x:f>
        <x:v>-1</x:v>
      </x:c>
      <x:c r="L683" s="1" t="str">
        <x:f>IF(K683&gt;=3,"yes","no")</x:f>
        <x:v>no</x:v>
      </x:c>
      <x:c r="M683" s="1"/>
      <x:c r="N683" s="1"/>
      <x:c r="O683" s="1"/>
    </x:row>
    <x:row r="684">
      <x:c r="A684" s="1" t="str">
        <x:v>S0683</x:v>
      </x:c>
      <x:c r="B684" s="1" t="n">
        <x:v>1</x:v>
      </x:c>
      <x:c r="C684" s="1" t="str">
        <x:v>basic</x:v>
      </x:c>
      <x:c r="D684" s="8" t="n">
        <x:v>9.99</x:v>
      </x:c>
      <x:c r="E684" s="1" t="n">
        <x:v>2</x:v>
      </x:c>
      <x:c r="F684" s="1" t="n">
        <x:v>14</x:v>
      </x:c>
      <x:c r="G684" s="1" t="n">
        <x:v>6</x:v>
      </x:c>
      <x:c r="H684" s="1" t="n">
        <x:v>1</x:v>
      </x:c>
      <x:c r="I684" s="1" t="n">
        <x:v>1</x:v>
      </x:c>
      <x:c r="J684" s="1" t="str">
        <x:v>no</x:v>
      </x:c>
      <x:c r="K684" s="1" t="n">
        <x:f>2*H684+E684+IF(G684&gt;30,2,0)-IF(B684&gt;24,1,0)</x:f>
        <x:v>4</x:v>
      </x:c>
      <x:c r="L684" s="1" t="str">
        <x:f>IF(K684&gt;=3,"yes","no")</x:f>
        <x:v>yes</x:v>
      </x:c>
      <x:c r="M684" s="1"/>
      <x:c r="N684" s="1"/>
      <x:c r="O684" s="1"/>
    </x:row>
    <x:row r="685">
      <x:c r="A685" s="1" t="str">
        <x:v>S0684</x:v>
      </x:c>
      <x:c r="B685" s="1" t="n">
        <x:v>15</x:v>
      </x:c>
      <x:c r="C685" s="1" t="str">
        <x:v>basic</x:v>
      </x:c>
      <x:c r="D685" s="8" t="n">
        <x:v>9.99</x:v>
      </x:c>
      <x:c r="E685" s="1" t="n">
        <x:v>3</x:v>
      </x:c>
      <x:c r="F685" s="1" t="n">
        <x:v>19</x:v>
      </x:c>
      <x:c r="G685" s="1" t="n">
        <x:v>20</x:v>
      </x:c>
      <x:c r="H685" s="1" t="n">
        <x:v>0</x:v>
      </x:c>
      <x:c r="I685" s="1" t="n">
        <x:v>1</x:v>
      </x:c>
      <x:c r="J685" s="1" t="str">
        <x:v>no</x:v>
      </x:c>
      <x:c r="K685" s="1" t="n">
        <x:f>2*H685+E685+IF(G685&gt;30,2,0)-IF(B685&gt;24,1,0)</x:f>
        <x:v>3</x:v>
      </x:c>
      <x:c r="L685" s="1" t="str">
        <x:f>IF(K685&gt;=3,"yes","no")</x:f>
        <x:v>yes</x:v>
      </x:c>
      <x:c r="M685" s="1"/>
      <x:c r="N685" s="1"/>
      <x:c r="O685" s="1"/>
    </x:row>
    <x:row r="686">
      <x:c r="A686" s="1" t="str">
        <x:v>S0685</x:v>
      </x:c>
      <x:c r="B686" s="1" t="n">
        <x:v>31</x:v>
      </x:c>
      <x:c r="C686" s="1" t="str">
        <x:v>basic</x:v>
      </x:c>
      <x:c r="D686" s="8" t="n">
        <x:v>9.99</x:v>
      </x:c>
      <x:c r="E686" s="1" t="n">
        <x:v>0</x:v>
      </x:c>
      <x:c r="F686" s="1" t="n">
        <x:v>15</x:v>
      </x:c>
      <x:c r="G686" s="1" t="n">
        <x:v>26</x:v>
      </x:c>
      <x:c r="H686" s="1" t="n">
        <x:v>0</x:v>
      </x:c>
      <x:c r="I686" s="1" t="n">
        <x:v>0</x:v>
      </x:c>
      <x:c r="J686" s="1" t="str">
        <x:v>no</x:v>
      </x:c>
      <x:c r="K686" s="1" t="n">
        <x:f>2*H686+E686+IF(G686&gt;30,2,0)-IF(B686&gt;24,1,0)</x:f>
        <x:v>-1</x:v>
      </x:c>
      <x:c r="L686" s="1" t="str">
        <x:f>IF(K686&gt;=3,"yes","no")</x:f>
        <x:v>no</x:v>
      </x:c>
      <x:c r="M686" s="1"/>
      <x:c r="N686" s="1"/>
      <x:c r="O686" s="1"/>
    </x:row>
    <x:row r="687">
      <x:c r="A687" s="1" t="str">
        <x:v>S0686</x:v>
      </x:c>
      <x:c r="B687" s="1" t="n">
        <x:v>2</x:v>
      </x:c>
      <x:c r="C687" s="1" t="str">
        <x:v>premium</x:v>
      </x:c>
      <x:c r="D687" s="8" t="n">
        <x:v>15.99</x:v>
      </x:c>
      <x:c r="E687" s="1" t="n">
        <x:v>2</x:v>
      </x:c>
      <x:c r="F687" s="1" t="n">
        <x:v>17</x:v>
      </x:c>
      <x:c r="G687" s="1" t="n">
        <x:v>1</x:v>
      </x:c>
      <x:c r="H687" s="1" t="n">
        <x:v>2</x:v>
      </x:c>
      <x:c r="I687" s="1" t="n">
        <x:v>1</x:v>
      </x:c>
      <x:c r="J687" s="1" t="str">
        <x:v>yes</x:v>
      </x:c>
      <x:c r="K687" s="1" t="n">
        <x:f>2*H687+E687+IF(G687&gt;30,2,0)-IF(B687&gt;24,1,0)</x:f>
        <x:v>6</x:v>
      </x:c>
      <x:c r="L687" s="1" t="str">
        <x:f>IF(K687&gt;=3,"yes","no")</x:f>
        <x:v>yes</x:v>
      </x:c>
      <x:c r="M687" s="1"/>
      <x:c r="N687" s="1"/>
      <x:c r="O687" s="1"/>
    </x:row>
    <x:row r="688">
      <x:c r="A688" s="1" t="str">
        <x:v>S0687</x:v>
      </x:c>
      <x:c r="B688" s="1" t="n">
        <x:v>21</x:v>
      </x:c>
      <x:c r="C688" s="1" t="str">
        <x:v>basic</x:v>
      </x:c>
      <x:c r="D688" s="8" t="n">
        <x:v>9.99</x:v>
      </x:c>
      <x:c r="E688" s="1" t="n">
        <x:v>2</x:v>
      </x:c>
      <x:c r="F688" s="1" t="n">
        <x:v>1</x:v>
      </x:c>
      <x:c r="G688" s="1" t="n">
        <x:v>29</x:v>
      </x:c>
      <x:c r="H688" s="1" t="n">
        <x:v>1</x:v>
      </x:c>
      <x:c r="I688" s="1" t="n">
        <x:v>0</x:v>
      </x:c>
      <x:c r="J688" s="1" t="str">
        <x:v>yes</x:v>
      </x:c>
      <x:c r="K688" s="1" t="n">
        <x:f>2*H688+E688+IF(G688&gt;30,2,0)-IF(B688&gt;24,1,0)</x:f>
        <x:v>4</x:v>
      </x:c>
      <x:c r="L688" s="1" t="str">
        <x:f>IF(K688&gt;=3,"yes","no")</x:f>
        <x:v>yes</x:v>
      </x:c>
      <x:c r="M688" s="1"/>
      <x:c r="N688" s="1"/>
      <x:c r="O688" s="1"/>
    </x:row>
    <x:row r="689">
      <x:c r="A689" s="1" t="str">
        <x:v>S0688</x:v>
      </x:c>
      <x:c r="B689" s="1" t="n">
        <x:v>28</x:v>
      </x:c>
      <x:c r="C689" s="1" t="str">
        <x:v>basic</x:v>
      </x:c>
      <x:c r="D689" s="8" t="n">
        <x:v>9.99</x:v>
      </x:c>
      <x:c r="E689" s="1" t="n">
        <x:v>0</x:v>
      </x:c>
      <x:c r="F689" s="1" t="n">
        <x:v>10</x:v>
      </x:c>
      <x:c r="G689" s="1" t="n">
        <x:v>4</x:v>
      </x:c>
      <x:c r="H689" s="1" t="n">
        <x:v>0</x:v>
      </x:c>
      <x:c r="I689" s="1" t="n">
        <x:v>0</x:v>
      </x:c>
      <x:c r="J689" s="1" t="str">
        <x:v>no</x:v>
      </x:c>
      <x:c r="K689" s="1" t="n">
        <x:f>2*H689+E689+IF(G689&gt;30,2,0)-IF(B689&gt;24,1,0)</x:f>
        <x:v>-1</x:v>
      </x:c>
      <x:c r="L689" s="1" t="str">
        <x:f>IF(K689&gt;=3,"yes","no")</x:f>
        <x:v>no</x:v>
      </x:c>
      <x:c r="M689" s="1"/>
      <x:c r="N689" s="1"/>
      <x:c r="O689" s="1"/>
    </x:row>
    <x:row r="690">
      <x:c r="A690" s="1" t="str">
        <x:v>S0689</x:v>
      </x:c>
      <x:c r="B690" s="1" t="n">
        <x:v>43</x:v>
      </x:c>
      <x:c r="C690" s="1" t="str">
        <x:v>basic</x:v>
      </x:c>
      <x:c r="D690" s="8" t="n">
        <x:v>9.99</x:v>
      </x:c>
      <x:c r="E690" s="1" t="n">
        <x:v>0</x:v>
      </x:c>
      <x:c r="F690" s="1" t="n">
        <x:v>24</x:v>
      </x:c>
      <x:c r="G690" s="1" t="n">
        <x:v>3</x:v>
      </x:c>
      <x:c r="H690" s="1" t="n">
        <x:v>0</x:v>
      </x:c>
      <x:c r="I690" s="1" t="n">
        <x:v>0</x:v>
      </x:c>
      <x:c r="J690" s="1" t="str">
        <x:v>no</x:v>
      </x:c>
      <x:c r="K690" s="1" t="n">
        <x:f>2*H690+E690+IF(G690&gt;30,2,0)-IF(B690&gt;24,1,0)</x:f>
        <x:v>-1</x:v>
      </x:c>
      <x:c r="L690" s="1" t="str">
        <x:f>IF(K690&gt;=3,"yes","no")</x:f>
        <x:v>no</x:v>
      </x:c>
      <x:c r="M690" s="1"/>
      <x:c r="N690" s="1"/>
      <x:c r="O690" s="1"/>
    </x:row>
    <x:row r="691">
      <x:c r="A691" s="1" t="str">
        <x:v>S0690</x:v>
      </x:c>
      <x:c r="B691" s="1" t="n">
        <x:v>13</x:v>
      </x:c>
      <x:c r="C691" s="1" t="str">
        <x:v>premium</x:v>
      </x:c>
      <x:c r="D691" s="8" t="n">
        <x:v>15.99</x:v>
      </x:c>
      <x:c r="E691" s="1" t="n">
        <x:v>3</x:v>
      </x:c>
      <x:c r="F691" s="1" t="n">
        <x:v>27</x:v>
      </x:c>
      <x:c r="G691" s="1" t="n">
        <x:v>2</x:v>
      </x:c>
      <x:c r="H691" s="1" t="n">
        <x:v>0</x:v>
      </x:c>
      <x:c r="I691" s="1" t="n">
        <x:v>1</x:v>
      </x:c>
      <x:c r="J691" s="1" t="str">
        <x:v>yes</x:v>
      </x:c>
      <x:c r="K691" s="1" t="n">
        <x:f>2*H691+E691+IF(G691&gt;30,2,0)-IF(B691&gt;24,1,0)</x:f>
        <x:v>3</x:v>
      </x:c>
      <x:c r="L691" s="1" t="str">
        <x:f>IF(K691&gt;=3,"yes","no")</x:f>
        <x:v>yes</x:v>
      </x:c>
      <x:c r="M691" s="1"/>
      <x:c r="N691" s="1"/>
      <x:c r="O691" s="1"/>
    </x:row>
    <x:row r="692">
      <x:c r="A692" s="1" t="str">
        <x:v>S0691</x:v>
      </x:c>
      <x:c r="B692" s="1" t="n">
        <x:v>45</x:v>
      </x:c>
      <x:c r="C692" s="1" t="str">
        <x:v>premium</x:v>
      </x:c>
      <x:c r="D692" s="8" t="n">
        <x:v>15.99</x:v>
      </x:c>
      <x:c r="E692" s="1" t="n">
        <x:v>0</x:v>
      </x:c>
      <x:c r="F692" s="1" t="n">
        <x:v>11</x:v>
      </x:c>
      <x:c r="G692" s="1" t="n">
        <x:v>5</x:v>
      </x:c>
      <x:c r="H692" s="1" t="n">
        <x:v>0</x:v>
      </x:c>
      <x:c r="I692" s="1" t="n">
        <x:v>0</x:v>
      </x:c>
      <x:c r="J692" s="1" t="str">
        <x:v>no</x:v>
      </x:c>
      <x:c r="K692" s="1" t="n">
        <x:f>2*H692+E692+IF(G692&gt;30,2,0)-IF(B692&gt;24,1,0)</x:f>
        <x:v>-1</x:v>
      </x:c>
      <x:c r="L692" s="1" t="str">
        <x:f>IF(K692&gt;=3,"yes","no")</x:f>
        <x:v>no</x:v>
      </x:c>
      <x:c r="M692" s="1"/>
      <x:c r="N692" s="1"/>
      <x:c r="O692" s="1"/>
    </x:row>
    <x:row r="693">
      <x:c r="A693" s="1" t="str">
        <x:v>S0692</x:v>
      </x:c>
      <x:c r="B693" s="1" t="n">
        <x:v>23</x:v>
      </x:c>
      <x:c r="C693" s="1" t="str">
        <x:v>premium</x:v>
      </x:c>
      <x:c r="D693" s="8" t="n">
        <x:v>15.99</x:v>
      </x:c>
      <x:c r="E693" s="1" t="n">
        <x:v>0</x:v>
      </x:c>
      <x:c r="F693" s="1" t="n">
        <x:v>9</x:v>
      </x:c>
      <x:c r="G693" s="1" t="n">
        <x:v>4</x:v>
      </x:c>
      <x:c r="H693" s="1" t="n">
        <x:v>0</x:v>
      </x:c>
      <x:c r="I693" s="1" t="n">
        <x:v>0</x:v>
      </x:c>
      <x:c r="J693" s="1" t="str">
        <x:v>no</x:v>
      </x:c>
      <x:c r="K693" s="1" t="n">
        <x:f>2*H693+E693+IF(G693&gt;30,2,0)-IF(B693&gt;24,1,0)</x:f>
        <x:v>0</x:v>
      </x:c>
      <x:c r="L693" s="1" t="str">
        <x:f>IF(K693&gt;=3,"yes","no")</x:f>
        <x:v>no</x:v>
      </x:c>
      <x:c r="M693" s="1"/>
      <x:c r="N693" s="1"/>
      <x:c r="O693" s="1"/>
    </x:row>
    <x:row r="694">
      <x:c r="A694" s="1" t="str">
        <x:v>S0693</x:v>
      </x:c>
      <x:c r="B694" s="1" t="n">
        <x:v>23</x:v>
      </x:c>
      <x:c r="C694" s="1" t="str">
        <x:v>basic</x:v>
      </x:c>
      <x:c r="D694" s="8" t="n">
        <x:v>9.99</x:v>
      </x:c>
      <x:c r="E694" s="1" t="n">
        <x:v>0</x:v>
      </x:c>
      <x:c r="F694" s="1" t="n">
        <x:v>15</x:v>
      </x:c>
      <x:c r="G694" s="1" t="n">
        <x:v>4</x:v>
      </x:c>
      <x:c r="H694" s="1" t="n">
        <x:v>0</x:v>
      </x:c>
      <x:c r="I694" s="1" t="n">
        <x:v>0</x:v>
      </x:c>
      <x:c r="J694" s="1" t="str">
        <x:v>no</x:v>
      </x:c>
      <x:c r="K694" s="1" t="n">
        <x:f>2*H694+E694+IF(G694&gt;30,2,0)-IF(B694&gt;24,1,0)</x:f>
        <x:v>0</x:v>
      </x:c>
      <x:c r="L694" s="1" t="str">
        <x:f>IF(K694&gt;=3,"yes","no")</x:f>
        <x:v>no</x:v>
      </x:c>
      <x:c r="M694" s="1"/>
      <x:c r="N694" s="1"/>
      <x:c r="O694" s="1"/>
    </x:row>
    <x:row r="695">
      <x:c r="A695" s="1" t="str">
        <x:v>S0694</x:v>
      </x:c>
      <x:c r="B695" s="1" t="n">
        <x:v>15</x:v>
      </x:c>
      <x:c r="C695" s="1" t="str">
        <x:v>premium</x:v>
      </x:c>
      <x:c r="D695" s="8" t="n">
        <x:v>15.99</x:v>
      </x:c>
      <x:c r="E695" s="1" t="n">
        <x:v>2</x:v>
      </x:c>
      <x:c r="F695" s="1" t="n">
        <x:v>15</x:v>
      </x:c>
      <x:c r="G695" s="1" t="n">
        <x:v>6</x:v>
      </x:c>
      <x:c r="H695" s="1" t="n">
        <x:v>0</x:v>
      </x:c>
      <x:c r="I695" s="1" t="n">
        <x:v>1</x:v>
      </x:c>
      <x:c r="J695" s="1" t="str">
        <x:v>no</x:v>
      </x:c>
      <x:c r="K695" s="1" t="n">
        <x:f>2*H695+E695+IF(G695&gt;30,2,0)-IF(B695&gt;24,1,0)</x:f>
        <x:v>2</x:v>
      </x:c>
      <x:c r="L695" s="1" t="str">
        <x:f>IF(K695&gt;=3,"yes","no")</x:f>
        <x:v>no</x:v>
      </x:c>
      <x:c r="M695" s="1"/>
      <x:c r="N695" s="1"/>
      <x:c r="O695" s="1"/>
    </x:row>
    <x:row r="696">
      <x:c r="A696" s="1" t="str">
        <x:v>S0695</x:v>
      </x:c>
      <x:c r="B696" s="1" t="n">
        <x:v>33</x:v>
      </x:c>
      <x:c r="C696" s="1" t="str">
        <x:v>premium</x:v>
      </x:c>
      <x:c r="D696" s="8" t="n">
        <x:v>15.99</x:v>
      </x:c>
      <x:c r="E696" s="1" t="n">
        <x:v>0</x:v>
      </x:c>
      <x:c r="F696" s="1" t="n">
        <x:v>19</x:v>
      </x:c>
      <x:c r="G696" s="1" t="n">
        <x:v>2</x:v>
      </x:c>
      <x:c r="H696" s="1" t="n">
        <x:v>0</x:v>
      </x:c>
      <x:c r="I696" s="1" t="n">
        <x:v>0</x:v>
      </x:c>
      <x:c r="J696" s="1" t="str">
        <x:v>no</x:v>
      </x:c>
      <x:c r="K696" s="1" t="n">
        <x:f>2*H696+E696+IF(G696&gt;30,2,0)-IF(B696&gt;24,1,0)</x:f>
        <x:v>-1</x:v>
      </x:c>
      <x:c r="L696" s="1" t="str">
        <x:f>IF(K696&gt;=3,"yes","no")</x:f>
        <x:v>no</x:v>
      </x:c>
      <x:c r="M696" s="1"/>
      <x:c r="N696" s="1"/>
      <x:c r="O696" s="1"/>
    </x:row>
    <x:row r="697">
      <x:c r="A697" s="1" t="str">
        <x:v>S0696</x:v>
      </x:c>
      <x:c r="B697" s="1" t="n">
        <x:v>9</x:v>
      </x:c>
      <x:c r="C697" s="1" t="str">
        <x:v>basic</x:v>
      </x:c>
      <x:c r="D697" s="8" t="n">
        <x:v>9.99</x:v>
      </x:c>
      <x:c r="E697" s="1" t="n">
        <x:v>1</x:v>
      </x:c>
      <x:c r="F697" s="1" t="n">
        <x:v>0</x:v>
      </x:c>
      <x:c r="G697" s="1" t="n">
        <x:v>57</x:v>
      </x:c>
      <x:c r="H697" s="1" t="n">
        <x:v>2</x:v>
      </x:c>
      <x:c r="I697" s="1" t="n">
        <x:v>1</x:v>
      </x:c>
      <x:c r="J697" s="1" t="str">
        <x:v>yes</x:v>
      </x:c>
      <x:c r="K697" s="1" t="n">
        <x:f>2*H697+E697+IF(G697&gt;30,2,0)-IF(B697&gt;24,1,0)</x:f>
        <x:v>7</x:v>
      </x:c>
      <x:c r="L697" s="1" t="str">
        <x:f>IF(K697&gt;=3,"yes","no")</x:f>
        <x:v>yes</x:v>
      </x:c>
      <x:c r="M697" s="1"/>
      <x:c r="N697" s="1"/>
      <x:c r="O697" s="1"/>
    </x:row>
    <x:row r="698">
      <x:c r="A698" s="1" t="str">
        <x:v>S0697</x:v>
      </x:c>
      <x:c r="B698" s="1" t="n">
        <x:v>48</x:v>
      </x:c>
      <x:c r="C698" s="1" t="str">
        <x:v>premium</x:v>
      </x:c>
      <x:c r="D698" s="8" t="n">
        <x:v>15.99</x:v>
      </x:c>
      <x:c r="E698" s="1" t="n">
        <x:v>0</x:v>
      </x:c>
      <x:c r="F698" s="1" t="n">
        <x:v>2</x:v>
      </x:c>
      <x:c r="G698" s="1" t="n">
        <x:v>22</x:v>
      </x:c>
      <x:c r="H698" s="1" t="n">
        <x:v>1</x:v>
      </x:c>
      <x:c r="I698" s="1" t="n">
        <x:v>0</x:v>
      </x:c>
      <x:c r="J698" s="1" t="str">
        <x:v>no</x:v>
      </x:c>
      <x:c r="K698" s="1" t="n">
        <x:f>2*H698+E698+IF(G698&gt;30,2,0)-IF(B698&gt;24,1,0)</x:f>
        <x:v>1</x:v>
      </x:c>
      <x:c r="L698" s="1" t="str">
        <x:f>IF(K698&gt;=3,"yes","no")</x:f>
        <x:v>no</x:v>
      </x:c>
      <x:c r="M698" s="1"/>
      <x:c r="N698" s="1"/>
      <x:c r="O698" s="1"/>
    </x:row>
    <x:row r="699">
      <x:c r="A699" s="1" t="str">
        <x:v>S0698</x:v>
      </x:c>
      <x:c r="B699" s="1" t="n">
        <x:v>8</x:v>
      </x:c>
      <x:c r="C699" s="1" t="str">
        <x:v>basic</x:v>
      </x:c>
      <x:c r="D699" s="8" t="n">
        <x:v>9.99</x:v>
      </x:c>
      <x:c r="E699" s="1" t="n">
        <x:v>1</x:v>
      </x:c>
      <x:c r="F699" s="1" t="n">
        <x:v>13</x:v>
      </x:c>
      <x:c r="G699" s="1" t="n">
        <x:v>4</x:v>
      </x:c>
      <x:c r="H699" s="1" t="n">
        <x:v>0</x:v>
      </x:c>
      <x:c r="I699" s="1" t="n">
        <x:v>1</x:v>
      </x:c>
      <x:c r="J699" s="1" t="str">
        <x:v>no</x:v>
      </x:c>
      <x:c r="K699" s="1" t="n">
        <x:f>2*H699+E699+IF(G699&gt;30,2,0)-IF(B699&gt;24,1,0)</x:f>
        <x:v>1</x:v>
      </x:c>
      <x:c r="L699" s="1" t="str">
        <x:f>IF(K699&gt;=3,"yes","no")</x:f>
        <x:v>no</x:v>
      </x:c>
      <x:c r="M699" s="1"/>
      <x:c r="N699" s="1"/>
      <x:c r="O699" s="1"/>
    </x:row>
    <x:row r="700">
      <x:c r="A700" s="1" t="str">
        <x:v>S0699</x:v>
      </x:c>
      <x:c r="B700" s="1" t="n">
        <x:v>21</x:v>
      </x:c>
      <x:c r="C700" s="1" t="str">
        <x:v>basic</x:v>
      </x:c>
      <x:c r="D700" s="8" t="n">
        <x:v>9.99</x:v>
      </x:c>
      <x:c r="E700" s="1" t="n">
        <x:v>1</x:v>
      </x:c>
      <x:c r="F700" s="1" t="n">
        <x:v>13</x:v>
      </x:c>
      <x:c r="G700" s="1" t="n">
        <x:v>13</x:v>
      </x:c>
      <x:c r="H700" s="1" t="n">
        <x:v>0</x:v>
      </x:c>
      <x:c r="I700" s="1" t="n">
        <x:v>0</x:v>
      </x:c>
      <x:c r="J700" s="1" t="str">
        <x:v>no</x:v>
      </x:c>
      <x:c r="K700" s="1" t="n">
        <x:f>2*H700+E700+IF(G700&gt;30,2,0)-IF(B700&gt;24,1,0)</x:f>
        <x:v>1</x:v>
      </x:c>
      <x:c r="L700" s="1" t="str">
        <x:f>IF(K700&gt;=3,"yes","no")</x:f>
        <x:v>no</x:v>
      </x:c>
      <x:c r="M700" s="1"/>
      <x:c r="N700" s="1"/>
      <x:c r="O700" s="1"/>
    </x:row>
    <x:row r="701">
      <x:c r="A701" s="1" t="str">
        <x:v>S0700</x:v>
      </x:c>
      <x:c r="B701" s="1" t="n">
        <x:v>13</x:v>
      </x:c>
      <x:c r="C701" s="1" t="str">
        <x:v>basic</x:v>
      </x:c>
      <x:c r="D701" s="8" t="n">
        <x:v>9.99</x:v>
      </x:c>
      <x:c r="E701" s="1" t="n">
        <x:v>0</x:v>
      </x:c>
      <x:c r="F701" s="1" t="n">
        <x:v>21</x:v>
      </x:c>
      <x:c r="G701" s="1" t="n">
        <x:v>4</x:v>
      </x:c>
      <x:c r="H701" s="1" t="n">
        <x:v>0</x:v>
      </x:c>
      <x:c r="I701" s="1" t="n">
        <x:v>0</x:v>
      </x:c>
      <x:c r="J701" s="1" t="str">
        <x:v>no</x:v>
      </x:c>
      <x:c r="K701" s="1" t="n">
        <x:f>2*H701+E701+IF(G701&gt;30,2,0)-IF(B701&gt;24,1,0)</x:f>
        <x:v>0</x:v>
      </x:c>
      <x:c r="L701" s="1" t="str">
        <x:f>IF(K701&gt;=3,"yes","no")</x:f>
        <x:v>no</x:v>
      </x:c>
      <x:c r="M701" s="1"/>
      <x:c r="N701" s="1"/>
      <x:c r="O701" s="1"/>
    </x:row>
    <x:row r="702">
      <x:c r="A702" s="1" t="str">
        <x:v>S0701</x:v>
      </x:c>
      <x:c r="B702" s="1" t="n">
        <x:v>43</x:v>
      </x:c>
      <x:c r="C702" s="1" t="str">
        <x:v>basic</x:v>
      </x:c>
      <x:c r="D702" s="8" t="n">
        <x:v>9.99</x:v>
      </x:c>
      <x:c r="E702" s="1" t="n">
        <x:v>0</x:v>
      </x:c>
      <x:c r="F702" s="1" t="n">
        <x:v>27</x:v>
      </x:c>
      <x:c r="G702" s="1" t="n">
        <x:v>0</x:v>
      </x:c>
      <x:c r="H702" s="1" t="n">
        <x:v>0</x:v>
      </x:c>
      <x:c r="I702" s="1" t="n">
        <x:v>0</x:v>
      </x:c>
      <x:c r="J702" s="1" t="str">
        <x:v>no</x:v>
      </x:c>
      <x:c r="K702" s="1" t="n">
        <x:f>2*H702+E702+IF(G702&gt;30,2,0)-IF(B702&gt;24,1,0)</x:f>
        <x:v>-1</x:v>
      </x:c>
      <x:c r="L702" s="1" t="str">
        <x:f>IF(K702&gt;=3,"yes","no")</x:f>
        <x:v>no</x:v>
      </x:c>
      <x:c r="M702" s="1"/>
      <x:c r="N702" s="1"/>
      <x:c r="O702" s="1"/>
    </x:row>
    <x:row r="703">
      <x:c r="A703" s="1" t="str">
        <x:v>S0702</x:v>
      </x:c>
      <x:c r="B703" s="1" t="n">
        <x:v>4</x:v>
      </x:c>
      <x:c r="C703" s="1" t="str">
        <x:v>basic</x:v>
      </x:c>
      <x:c r="D703" s="8" t="n">
        <x:v>9.99</x:v>
      </x:c>
      <x:c r="E703" s="1" t="n">
        <x:v>1</x:v>
      </x:c>
      <x:c r="F703" s="1" t="n">
        <x:v>22</x:v>
      </x:c>
      <x:c r="G703" s="1" t="n">
        <x:v>0</x:v>
      </x:c>
      <x:c r="H703" s="1" t="n">
        <x:v>0</x:v>
      </x:c>
      <x:c r="I703" s="1" t="n">
        <x:v>0</x:v>
      </x:c>
      <x:c r="J703" s="1" t="str">
        <x:v>no</x:v>
      </x:c>
      <x:c r="K703" s="1" t="n">
        <x:f>2*H703+E703+IF(G703&gt;30,2,0)-IF(B703&gt;24,1,0)</x:f>
        <x:v>1</x:v>
      </x:c>
      <x:c r="L703" s="1" t="str">
        <x:f>IF(K703&gt;=3,"yes","no")</x:f>
        <x:v>no</x:v>
      </x:c>
      <x:c r="M703" s="1"/>
      <x:c r="N703" s="1"/>
      <x:c r="O703" s="1"/>
    </x:row>
    <x:row r="704">
      <x:c r="A704" s="1" t="str">
        <x:v>S0703</x:v>
      </x:c>
      <x:c r="B704" s="1" t="n">
        <x:v>16</x:v>
      </x:c>
      <x:c r="C704" s="1" t="str">
        <x:v>basic</x:v>
      </x:c>
      <x:c r="D704" s="8" t="n">
        <x:v>9.99</x:v>
      </x:c>
      <x:c r="E704" s="1" t="n">
        <x:v>3</x:v>
      </x:c>
      <x:c r="F704" s="1" t="n">
        <x:v>15</x:v>
      </x:c>
      <x:c r="G704" s="1" t="n">
        <x:v>26</x:v>
      </x:c>
      <x:c r="H704" s="1" t="n">
        <x:v>0</x:v>
      </x:c>
      <x:c r="I704" s="1" t="n">
        <x:v>1</x:v>
      </x:c>
      <x:c r="J704" s="1" t="str">
        <x:v>no</x:v>
      </x:c>
      <x:c r="K704" s="1" t="n">
        <x:f>2*H704+E704+IF(G704&gt;30,2,0)-IF(B704&gt;24,1,0)</x:f>
        <x:v>3</x:v>
      </x:c>
      <x:c r="L704" s="1" t="str">
        <x:f>IF(K704&gt;=3,"yes","no")</x:f>
        <x:v>yes</x:v>
      </x:c>
      <x:c r="M704" s="1"/>
      <x:c r="N704" s="1"/>
      <x:c r="O704" s="1"/>
    </x:row>
    <x:row r="705">
      <x:c r="A705" s="1" t="str">
        <x:v>S0704</x:v>
      </x:c>
      <x:c r="B705" s="1" t="n">
        <x:v>35</x:v>
      </x:c>
      <x:c r="C705" s="1" t="str">
        <x:v>basic</x:v>
      </x:c>
      <x:c r="D705" s="8" t="n">
        <x:v>9.99</x:v>
      </x:c>
      <x:c r="E705" s="1" t="n">
        <x:v>0</x:v>
      </x:c>
      <x:c r="F705" s="1" t="n">
        <x:v>17</x:v>
      </x:c>
      <x:c r="G705" s="1" t="n">
        <x:v>6</x:v>
      </x:c>
      <x:c r="H705" s="1" t="n">
        <x:v>0</x:v>
      </x:c>
      <x:c r="I705" s="1" t="n">
        <x:v>0</x:v>
      </x:c>
      <x:c r="J705" s="1" t="str">
        <x:v>no</x:v>
      </x:c>
      <x:c r="K705" s="1" t="n">
        <x:f>2*H705+E705+IF(G705&gt;30,2,0)-IF(B705&gt;24,1,0)</x:f>
        <x:v>-1</x:v>
      </x:c>
      <x:c r="L705" s="1" t="str">
        <x:f>IF(K705&gt;=3,"yes","no")</x:f>
        <x:v>no</x:v>
      </x:c>
      <x:c r="M705" s="1"/>
      <x:c r="N705" s="1"/>
      <x:c r="O705" s="1"/>
    </x:row>
    <x:row r="706">
      <x:c r="A706" s="1" t="str">
        <x:v>S0705</x:v>
      </x:c>
      <x:c r="B706" s="1" t="n">
        <x:v>30</x:v>
      </x:c>
      <x:c r="C706" s="1" t="str">
        <x:v>basic</x:v>
      </x:c>
      <x:c r="D706" s="8" t="n">
        <x:v>9.99</x:v>
      </x:c>
      <x:c r="E706" s="1" t="n">
        <x:v>0</x:v>
      </x:c>
      <x:c r="F706" s="1" t="n">
        <x:v>15</x:v>
      </x:c>
      <x:c r="G706" s="1" t="n">
        <x:v>5</x:v>
      </x:c>
      <x:c r="H706" s="1" t="n">
        <x:v>0</x:v>
      </x:c>
      <x:c r="I706" s="1" t="n">
        <x:v>0</x:v>
      </x:c>
      <x:c r="J706" s="1" t="str">
        <x:v>no</x:v>
      </x:c>
      <x:c r="K706" s="1" t="n">
        <x:f>2*H706+E706+IF(G706&gt;30,2,0)-IF(B706&gt;24,1,0)</x:f>
        <x:v>-1</x:v>
      </x:c>
      <x:c r="L706" s="1" t="str">
        <x:f>IF(K706&gt;=3,"yes","no")</x:f>
        <x:v>no</x:v>
      </x:c>
      <x:c r="M706" s="1"/>
      <x:c r="N706" s="1"/>
      <x:c r="O706" s="1"/>
    </x:row>
    <x:row r="707">
      <x:c r="A707" s="1" t="str">
        <x:v>S0706</x:v>
      </x:c>
      <x:c r="B707" s="1" t="n">
        <x:v>46</x:v>
      </x:c>
      <x:c r="C707" s="1" t="str">
        <x:v>premium</x:v>
      </x:c>
      <x:c r="D707" s="8" t="n">
        <x:v>15.99</x:v>
      </x:c>
      <x:c r="E707" s="1" t="n">
        <x:v>0</x:v>
      </x:c>
      <x:c r="F707" s="1" t="n">
        <x:v>20</x:v>
      </x:c>
      <x:c r="G707" s="1" t="n">
        <x:v>12</x:v>
      </x:c>
      <x:c r="H707" s="1" t="n">
        <x:v>0</x:v>
      </x:c>
      <x:c r="I707" s="1" t="n">
        <x:v>0</x:v>
      </x:c>
      <x:c r="J707" s="1" t="str">
        <x:v>no</x:v>
      </x:c>
      <x:c r="K707" s="1" t="n">
        <x:f>2*H707+E707+IF(G707&gt;30,2,0)-IF(B707&gt;24,1,0)</x:f>
        <x:v>-1</x:v>
      </x:c>
      <x:c r="L707" s="1" t="str">
        <x:f>IF(K707&gt;=3,"yes","no")</x:f>
        <x:v>no</x:v>
      </x:c>
      <x:c r="M707" s="1"/>
      <x:c r="N707" s="1"/>
      <x:c r="O707" s="1"/>
    </x:row>
    <x:row r="708">
      <x:c r="A708" s="1" t="str">
        <x:v>S0707</x:v>
      </x:c>
      <x:c r="B708" s="1" t="n">
        <x:v>39</x:v>
      </x:c>
      <x:c r="C708" s="1" t="str">
        <x:v>premium</x:v>
      </x:c>
      <x:c r="D708" s="8" t="n">
        <x:v>15.99</x:v>
      </x:c>
      <x:c r="E708" s="1" t="n">
        <x:v>0</x:v>
      </x:c>
      <x:c r="F708" s="1" t="n">
        <x:v>3</x:v>
      </x:c>
      <x:c r="G708" s="1" t="n">
        <x:v>0</x:v>
      </x:c>
      <x:c r="H708" s="1" t="n">
        <x:v>0</x:v>
      </x:c>
      <x:c r="I708" s="1" t="n">
        <x:v>1</x:v>
      </x:c>
      <x:c r="J708" s="1" t="str">
        <x:v>no</x:v>
      </x:c>
      <x:c r="K708" s="1" t="n">
        <x:f>2*H708+E708+IF(G708&gt;30,2,0)-IF(B708&gt;24,1,0)</x:f>
        <x:v>-1</x:v>
      </x:c>
      <x:c r="L708" s="1" t="str">
        <x:f>IF(K708&gt;=3,"yes","no")</x:f>
        <x:v>no</x:v>
      </x:c>
      <x:c r="M708" s="1"/>
      <x:c r="N708" s="1"/>
      <x:c r="O708" s="1"/>
    </x:row>
    <x:row r="709">
      <x:c r="A709" s="1" t="str">
        <x:v>S0708</x:v>
      </x:c>
      <x:c r="B709" s="1" t="n">
        <x:v>38</x:v>
      </x:c>
      <x:c r="C709" s="1" t="str">
        <x:v>basic</x:v>
      </x:c>
      <x:c r="D709" s="8" t="n">
        <x:v>9.99</x:v>
      </x:c>
      <x:c r="E709" s="1" t="n">
        <x:v>0</x:v>
      </x:c>
      <x:c r="F709" s="1" t="n">
        <x:v>12</x:v>
      </x:c>
      <x:c r="G709" s="1" t="n">
        <x:v>2</x:v>
      </x:c>
      <x:c r="H709" s="1" t="n">
        <x:v>1</x:v>
      </x:c>
      <x:c r="I709" s="1" t="n">
        <x:v>0</x:v>
      </x:c>
      <x:c r="J709" s="1" t="str">
        <x:v>no</x:v>
      </x:c>
      <x:c r="K709" s="1" t="n">
        <x:f>2*H709+E709+IF(G709&gt;30,2,0)-IF(B709&gt;24,1,0)</x:f>
        <x:v>1</x:v>
      </x:c>
      <x:c r="L709" s="1" t="str">
        <x:f>IF(K709&gt;=3,"yes","no")</x:f>
        <x:v>no</x:v>
      </x:c>
      <x:c r="M709" s="1"/>
      <x:c r="N709" s="1"/>
      <x:c r="O709" s="1"/>
    </x:row>
    <x:row r="710">
      <x:c r="A710" s="1" t="str">
        <x:v>S0709</x:v>
      </x:c>
      <x:c r="B710" s="1" t="n">
        <x:v>26</x:v>
      </x:c>
      <x:c r="C710" s="1" t="str">
        <x:v>basic</x:v>
      </x:c>
      <x:c r="D710" s="8" t="n">
        <x:v>9.99</x:v>
      </x:c>
      <x:c r="E710" s="1" t="n">
        <x:v>1</x:v>
      </x:c>
      <x:c r="F710" s="1" t="n">
        <x:v>20</x:v>
      </x:c>
      <x:c r="G710" s="1" t="n">
        <x:v>5</x:v>
      </x:c>
      <x:c r="H710" s="1" t="n">
        <x:v>0</x:v>
      </x:c>
      <x:c r="I710" s="1" t="n">
        <x:v>0</x:v>
      </x:c>
      <x:c r="J710" s="1" t="str">
        <x:v>no</x:v>
      </x:c>
      <x:c r="K710" s="1" t="n">
        <x:f>2*H710+E710+IF(G710&gt;30,2,0)-IF(B710&gt;24,1,0)</x:f>
        <x:v>0</x:v>
      </x:c>
      <x:c r="L710" s="1" t="str">
        <x:f>IF(K710&gt;=3,"yes","no")</x:f>
        <x:v>no</x:v>
      </x:c>
      <x:c r="M710" s="1"/>
      <x:c r="N710" s="1"/>
      <x:c r="O710" s="1"/>
    </x:row>
    <x:row r="711">
      <x:c r="A711" s="1" t="str">
        <x:v>S0710</x:v>
      </x:c>
      <x:c r="B711" s="1" t="n">
        <x:v>27</x:v>
      </x:c>
      <x:c r="C711" s="1" t="str">
        <x:v>basic</x:v>
      </x:c>
      <x:c r="D711" s="8" t="n">
        <x:v>9.99</x:v>
      </x:c>
      <x:c r="E711" s="1" t="n">
        <x:v>0</x:v>
      </x:c>
      <x:c r="F711" s="1" t="n">
        <x:v>2</x:v>
      </x:c>
      <x:c r="G711" s="1" t="n">
        <x:v>28</x:v>
      </x:c>
      <x:c r="H711" s="1" t="n">
        <x:v>0</x:v>
      </x:c>
      <x:c r="I711" s="1" t="n">
        <x:v>0</x:v>
      </x:c>
      <x:c r="J711" s="1" t="str">
        <x:v>yes</x:v>
      </x:c>
      <x:c r="K711" s="1" t="n">
        <x:f>2*H711+E711+IF(G711&gt;30,2,0)-IF(B711&gt;24,1,0)</x:f>
        <x:v>-1</x:v>
      </x:c>
      <x:c r="L711" s="1" t="str">
        <x:f>IF(K711&gt;=3,"yes","no")</x:f>
        <x:v>no</x:v>
      </x:c>
      <x:c r="M711" s="1"/>
      <x:c r="N711" s="1"/>
      <x:c r="O711" s="1"/>
    </x:row>
    <x:row r="712">
      <x:c r="A712" s="1" t="str">
        <x:v>S0711</x:v>
      </x:c>
      <x:c r="B712" s="1" t="n">
        <x:v>33</x:v>
      </x:c>
      <x:c r="C712" s="1" t="str">
        <x:v>premium</x:v>
      </x:c>
      <x:c r="D712" s="8" t="n">
        <x:v>15.99</x:v>
      </x:c>
      <x:c r="E712" s="1" t="n">
        <x:v>1</x:v>
      </x:c>
      <x:c r="F712" s="1" t="n">
        <x:v>14</x:v>
      </x:c>
      <x:c r="G712" s="1" t="n">
        <x:v>10</x:v>
      </x:c>
      <x:c r="H712" s="1" t="n">
        <x:v>0</x:v>
      </x:c>
      <x:c r="I712" s="1" t="n">
        <x:v>0</x:v>
      </x:c>
      <x:c r="J712" s="1" t="str">
        <x:v>no</x:v>
      </x:c>
      <x:c r="K712" s="1" t="n">
        <x:f>2*H712+E712+IF(G712&gt;30,2,0)-IF(B712&gt;24,1,0)</x:f>
        <x:v>0</x:v>
      </x:c>
      <x:c r="L712" s="1" t="str">
        <x:f>IF(K712&gt;=3,"yes","no")</x:f>
        <x:v>no</x:v>
      </x:c>
      <x:c r="M712" s="1"/>
      <x:c r="N712" s="1"/>
      <x:c r="O712" s="1"/>
    </x:row>
    <x:row r="713">
      <x:c r="A713" s="1" t="str">
        <x:v>S0712</x:v>
      </x:c>
      <x:c r="B713" s="1" t="n">
        <x:v>28</x:v>
      </x:c>
      <x:c r="C713" s="1" t="str">
        <x:v>basic</x:v>
      </x:c>
      <x:c r="D713" s="8" t="n">
        <x:v>9.99</x:v>
      </x:c>
      <x:c r="E713" s="1" t="n">
        <x:v>0</x:v>
      </x:c>
      <x:c r="F713" s="1" t="n">
        <x:v>17</x:v>
      </x:c>
      <x:c r="G713" s="1" t="n">
        <x:v>5</x:v>
      </x:c>
      <x:c r="H713" s="1" t="n">
        <x:v>0</x:v>
      </x:c>
      <x:c r="I713" s="1" t="n">
        <x:v>0</x:v>
      </x:c>
      <x:c r="J713" s="1" t="str">
        <x:v>no</x:v>
      </x:c>
      <x:c r="K713" s="1" t="n">
        <x:f>2*H713+E713+IF(G713&gt;30,2,0)-IF(B713&gt;24,1,0)</x:f>
        <x:v>-1</x:v>
      </x:c>
      <x:c r="L713" s="1" t="str">
        <x:f>IF(K713&gt;=3,"yes","no")</x:f>
        <x:v>no</x:v>
      </x:c>
      <x:c r="M713" s="1"/>
      <x:c r="N713" s="1"/>
      <x:c r="O713" s="1"/>
    </x:row>
    <x:row r="714">
      <x:c r="A714" s="1" t="str">
        <x:v>S0713</x:v>
      </x:c>
      <x:c r="B714" s="1" t="n">
        <x:v>19</x:v>
      </x:c>
      <x:c r="C714" s="1" t="str">
        <x:v>basic</x:v>
      </x:c>
      <x:c r="D714" s="8" t="n">
        <x:v>9.99</x:v>
      </x:c>
      <x:c r="E714" s="1" t="n">
        <x:v>2</x:v>
      </x:c>
      <x:c r="F714" s="1" t="n">
        <x:v>28</x:v>
      </x:c>
      <x:c r="G714" s="1" t="n">
        <x:v>6</x:v>
      </x:c>
      <x:c r="H714" s="1" t="n">
        <x:v>0</x:v>
      </x:c>
      <x:c r="I714" s="1" t="n">
        <x:v>0</x:v>
      </x:c>
      <x:c r="J714" s="1" t="str">
        <x:v>no</x:v>
      </x:c>
      <x:c r="K714" s="1" t="n">
        <x:f>2*H714+E714+IF(G714&gt;30,2,0)-IF(B714&gt;24,1,0)</x:f>
        <x:v>2</x:v>
      </x:c>
      <x:c r="L714" s="1" t="str">
        <x:f>IF(K714&gt;=3,"yes","no")</x:f>
        <x:v>no</x:v>
      </x:c>
      <x:c r="M714" s="1"/>
      <x:c r="N714" s="1"/>
      <x:c r="O714" s="1"/>
    </x:row>
    <x:row r="715">
      <x:c r="A715" s="1" t="str">
        <x:v>S0714</x:v>
      </x:c>
      <x:c r="B715" s="1" t="n">
        <x:v>1</x:v>
      </x:c>
      <x:c r="C715" s="1" t="str">
        <x:v>basic</x:v>
      </x:c>
      <x:c r="D715" s="8" t="n">
        <x:v>9.99</x:v>
      </x:c>
      <x:c r="E715" s="1" t="n">
        <x:v>0</x:v>
      </x:c>
      <x:c r="F715" s="1" t="n">
        <x:v>22</x:v>
      </x:c>
      <x:c r="G715" s="1" t="n">
        <x:v>0</x:v>
      </x:c>
      <x:c r="H715" s="1" t="n">
        <x:v>0</x:v>
      </x:c>
      <x:c r="I715" s="1" t="n">
        <x:v>0</x:v>
      </x:c>
      <x:c r="J715" s="1" t="str">
        <x:v>no</x:v>
      </x:c>
      <x:c r="K715" s="1" t="n">
        <x:f>2*H715+E715+IF(G715&gt;30,2,0)-IF(B715&gt;24,1,0)</x:f>
        <x:v>0</x:v>
      </x:c>
      <x:c r="L715" s="1" t="str">
        <x:f>IF(K715&gt;=3,"yes","no")</x:f>
        <x:v>no</x:v>
      </x:c>
      <x:c r="M715" s="1"/>
      <x:c r="N715" s="1"/>
      <x:c r="O715" s="1"/>
    </x:row>
    <x:row r="716">
      <x:c r="A716" s="1" t="str">
        <x:v>S0715</x:v>
      </x:c>
      <x:c r="B716" s="1" t="n">
        <x:v>34</x:v>
      </x:c>
      <x:c r="C716" s="1" t="str">
        <x:v>premium</x:v>
      </x:c>
      <x:c r="D716" s="8" t="n">
        <x:v>15.99</x:v>
      </x:c>
      <x:c r="E716" s="1" t="n">
        <x:v>0</x:v>
      </x:c>
      <x:c r="F716" s="1" t="n">
        <x:v>20</x:v>
      </x:c>
      <x:c r="G716" s="1" t="n">
        <x:v>6</x:v>
      </x:c>
      <x:c r="H716" s="1" t="n">
        <x:v>0</x:v>
      </x:c>
      <x:c r="I716" s="1" t="n">
        <x:v>0</x:v>
      </x:c>
      <x:c r="J716" s="1" t="str">
        <x:v>no</x:v>
      </x:c>
      <x:c r="K716" s="1" t="n">
        <x:f>2*H716+E716+IF(G716&gt;30,2,0)-IF(B716&gt;24,1,0)</x:f>
        <x:v>-1</x:v>
      </x:c>
      <x:c r="L716" s="1" t="str">
        <x:f>IF(K716&gt;=3,"yes","no")</x:f>
        <x:v>no</x:v>
      </x:c>
      <x:c r="M716" s="1"/>
      <x:c r="N716" s="1"/>
      <x:c r="O716" s="1"/>
    </x:row>
    <x:row r="717">
      <x:c r="A717" s="1" t="str">
        <x:v>S0716</x:v>
      </x:c>
      <x:c r="B717" s="1" t="n">
        <x:v>3</x:v>
      </x:c>
      <x:c r="C717" s="1" t="str">
        <x:v>premium</x:v>
      </x:c>
      <x:c r="D717" s="8" t="n">
        <x:v>15.99</x:v>
      </x:c>
      <x:c r="E717" s="1" t="n">
        <x:v>2</x:v>
      </x:c>
      <x:c r="F717" s="1" t="n">
        <x:v>30</x:v>
      </x:c>
      <x:c r="G717" s="1" t="n">
        <x:v>4</x:v>
      </x:c>
      <x:c r="H717" s="1" t="n">
        <x:v>0</x:v>
      </x:c>
      <x:c r="I717" s="1" t="n">
        <x:v>0</x:v>
      </x:c>
      <x:c r="J717" s="1" t="str">
        <x:v>yes</x:v>
      </x:c>
      <x:c r="K717" s="1" t="n">
        <x:f>2*H717+E717+IF(G717&gt;30,2,0)-IF(B717&gt;24,1,0)</x:f>
        <x:v>2</x:v>
      </x:c>
      <x:c r="L717" s="1" t="str">
        <x:f>IF(K717&gt;=3,"yes","no")</x:f>
        <x:v>no</x:v>
      </x:c>
      <x:c r="M717" s="1"/>
      <x:c r="N717" s="1"/>
      <x:c r="O717" s="1"/>
    </x:row>
    <x:row r="718">
      <x:c r="A718" s="1" t="str">
        <x:v>S0717</x:v>
      </x:c>
      <x:c r="B718" s="1" t="n">
        <x:v>22</x:v>
      </x:c>
      <x:c r="C718" s="1" t="str">
        <x:v>basic</x:v>
      </x:c>
      <x:c r="D718" s="8" t="n">
        <x:v>9.99</x:v>
      </x:c>
      <x:c r="E718" s="1" t="n">
        <x:v>1</x:v>
      </x:c>
      <x:c r="F718" s="1" t="n">
        <x:v>12</x:v>
      </x:c>
      <x:c r="G718" s="1" t="n">
        <x:v>22</x:v>
      </x:c>
      <x:c r="H718" s="1" t="n">
        <x:v>0</x:v>
      </x:c>
      <x:c r="I718" s="1" t="n">
        <x:v>0</x:v>
      </x:c>
      <x:c r="J718" s="1" t="str">
        <x:v>yes</x:v>
      </x:c>
      <x:c r="K718" s="1" t="n">
        <x:f>2*H718+E718+IF(G718&gt;30,2,0)-IF(B718&gt;24,1,0)</x:f>
        <x:v>1</x:v>
      </x:c>
      <x:c r="L718" s="1" t="str">
        <x:f>IF(K718&gt;=3,"yes","no")</x:f>
        <x:v>no</x:v>
      </x:c>
      <x:c r="M718" s="1"/>
      <x:c r="N718" s="1"/>
      <x:c r="O718" s="1"/>
    </x:row>
    <x:row r="719">
      <x:c r="A719" s="1" t="str">
        <x:v>S0718</x:v>
      </x:c>
      <x:c r="B719" s="1" t="n">
        <x:v>21</x:v>
      </x:c>
      <x:c r="C719" s="1" t="str">
        <x:v>premium</x:v>
      </x:c>
      <x:c r="D719" s="8" t="n">
        <x:v>15.99</x:v>
      </x:c>
      <x:c r="E719" s="1" t="n">
        <x:v>0</x:v>
      </x:c>
      <x:c r="F719" s="1" t="n">
        <x:v>16</x:v>
      </x:c>
      <x:c r="G719" s="1" t="n">
        <x:v>21</x:v>
      </x:c>
      <x:c r="H719" s="1" t="n">
        <x:v>0</x:v>
      </x:c>
      <x:c r="I719" s="1" t="n">
        <x:v>1</x:v>
      </x:c>
      <x:c r="J719" s="1" t="str">
        <x:v>no</x:v>
      </x:c>
      <x:c r="K719" s="1" t="n">
        <x:f>2*H719+E719+IF(G719&gt;30,2,0)-IF(B719&gt;24,1,0)</x:f>
        <x:v>0</x:v>
      </x:c>
      <x:c r="L719" s="1" t="str">
        <x:f>IF(K719&gt;=3,"yes","no")</x:f>
        <x:v>no</x:v>
      </x:c>
      <x:c r="M719" s="1"/>
      <x:c r="N719" s="1"/>
      <x:c r="O719" s="1"/>
    </x:row>
    <x:row r="720">
      <x:c r="A720" s="1" t="str">
        <x:v>S0719</x:v>
      </x:c>
      <x:c r="B720" s="1" t="n">
        <x:v>12</x:v>
      </x:c>
      <x:c r="C720" s="1" t="str">
        <x:v>basic</x:v>
      </x:c>
      <x:c r="D720" s="8" t="n">
        <x:v>9.99</x:v>
      </x:c>
      <x:c r="E720" s="1" t="n">
        <x:v>0</x:v>
      </x:c>
      <x:c r="F720" s="1" t="n">
        <x:v>16</x:v>
      </x:c>
      <x:c r="G720" s="1" t="n">
        <x:v>27</x:v>
      </x:c>
      <x:c r="H720" s="1" t="n">
        <x:v>0</x:v>
      </x:c>
      <x:c r="I720" s="1" t="n">
        <x:v>0</x:v>
      </x:c>
      <x:c r="J720" s="1" t="str">
        <x:v>no</x:v>
      </x:c>
      <x:c r="K720" s="1" t="n">
        <x:f>2*H720+E720+IF(G720&gt;30,2,0)-IF(B720&gt;24,1,0)</x:f>
        <x:v>0</x:v>
      </x:c>
      <x:c r="L720" s="1" t="str">
        <x:f>IF(K720&gt;=3,"yes","no")</x:f>
        <x:v>no</x:v>
      </x:c>
      <x:c r="M720" s="1"/>
      <x:c r="N720" s="1"/>
      <x:c r="O720" s="1"/>
    </x:row>
    <x:row r="721">
      <x:c r="A721" s="1" t="str">
        <x:v>S0720</x:v>
      </x:c>
      <x:c r="B721" s="1" t="n">
        <x:v>46</x:v>
      </x:c>
      <x:c r="C721" s="1" t="str">
        <x:v>basic</x:v>
      </x:c>
      <x:c r="D721" s="8" t="n">
        <x:v>9.99</x:v>
      </x:c>
      <x:c r="E721" s="1" t="n">
        <x:v>0</x:v>
      </x:c>
      <x:c r="F721" s="1" t="n">
        <x:v>0</x:v>
      </x:c>
      <x:c r="G721" s="1" t="n">
        <x:v>38</x:v>
      </x:c>
      <x:c r="H721" s="1" t="n">
        <x:v>0</x:v>
      </x:c>
      <x:c r="I721" s="1" t="n">
        <x:v>0</x:v>
      </x:c>
      <x:c r="J721" s="1" t="str">
        <x:v>no</x:v>
      </x:c>
      <x:c r="K721" s="1" t="n">
        <x:f>2*H721+E721+IF(G721&gt;30,2,0)-IF(B721&gt;24,1,0)</x:f>
        <x:v>1</x:v>
      </x:c>
      <x:c r="L721" s="1" t="str">
        <x:f>IF(K721&gt;=3,"yes","no")</x:f>
        <x:v>no</x:v>
      </x:c>
      <x:c r="M721" s="1"/>
      <x:c r="N721" s="1"/>
      <x:c r="O721" s="1"/>
    </x:row>
    <x:row r="722">
      <x:c r="A722" s="1" t="str">
        <x:v>S0721</x:v>
      </x:c>
      <x:c r="B722" s="1" t="n">
        <x:v>25</x:v>
      </x:c>
      <x:c r="C722" s="1" t="str">
        <x:v>basic</x:v>
      </x:c>
      <x:c r="D722" s="8" t="n">
        <x:v>9.99</x:v>
      </x:c>
      <x:c r="E722" s="1" t="n">
        <x:v>2</x:v>
      </x:c>
      <x:c r="F722" s="1" t="n">
        <x:v>0</x:v>
      </x:c>
      <x:c r="G722" s="1" t="n">
        <x:v>52</x:v>
      </x:c>
      <x:c r="H722" s="1" t="n">
        <x:v>1</x:v>
      </x:c>
      <x:c r="I722" s="1" t="n">
        <x:v>0</x:v>
      </x:c>
      <x:c r="J722" s="1" t="str">
        <x:v>yes</x:v>
      </x:c>
      <x:c r="K722" s="1" t="n">
        <x:f>2*H722+E722+IF(G722&gt;30,2,0)-IF(B722&gt;24,1,0)</x:f>
        <x:v>5</x:v>
      </x:c>
      <x:c r="L722" s="1" t="str">
        <x:f>IF(K722&gt;=3,"yes","no")</x:f>
        <x:v>yes</x:v>
      </x:c>
      <x:c r="M722" s="1"/>
      <x:c r="N722" s="1"/>
      <x:c r="O722" s="1"/>
    </x:row>
    <x:row r="723">
      <x:c r="A723" s="1" t="str">
        <x:v>S0722</x:v>
      </x:c>
      <x:c r="B723" s="1" t="n">
        <x:v>36</x:v>
      </x:c>
      <x:c r="C723" s="1" t="str">
        <x:v>premium</x:v>
      </x:c>
      <x:c r="D723" s="8" t="n">
        <x:v>15.99</x:v>
      </x:c>
      <x:c r="E723" s="1" t="n">
        <x:v>0</x:v>
      </x:c>
      <x:c r="F723" s="1" t="n">
        <x:v>1</x:v>
      </x:c>
      <x:c r="G723" s="1" t="n">
        <x:v>27</x:v>
      </x:c>
      <x:c r="H723" s="1" t="n">
        <x:v>0</x:v>
      </x:c>
      <x:c r="I723" s="1" t="n">
        <x:v>1</x:v>
      </x:c>
      <x:c r="J723" s="1" t="str">
        <x:v>no</x:v>
      </x:c>
      <x:c r="K723" s="1" t="n">
        <x:f>2*H723+E723+IF(G723&gt;30,2,0)-IF(B723&gt;24,1,0)</x:f>
        <x:v>-1</x:v>
      </x:c>
      <x:c r="L723" s="1" t="str">
        <x:f>IF(K723&gt;=3,"yes","no")</x:f>
        <x:v>no</x:v>
      </x:c>
      <x:c r="M723" s="1"/>
      <x:c r="N723" s="1"/>
      <x:c r="O723" s="1"/>
    </x:row>
    <x:row r="724">
      <x:c r="A724" s="1" t="str">
        <x:v>S0723</x:v>
      </x:c>
      <x:c r="B724" s="1" t="n">
        <x:v>14</x:v>
      </x:c>
      <x:c r="C724" s="1" t="str">
        <x:v>basic</x:v>
      </x:c>
      <x:c r="D724" s="8" t="n">
        <x:v>9.99</x:v>
      </x:c>
      <x:c r="E724" s="1" t="n">
        <x:v>3</x:v>
      </x:c>
      <x:c r="F724" s="1" t="n">
        <x:v>19</x:v>
      </x:c>
      <x:c r="G724" s="1" t="n">
        <x:v>1</x:v>
      </x:c>
      <x:c r="H724" s="1" t="n">
        <x:v>0</x:v>
      </x:c>
      <x:c r="I724" s="1" t="n">
        <x:v>0</x:v>
      </x:c>
      <x:c r="J724" s="1" t="str">
        <x:v>no</x:v>
      </x:c>
      <x:c r="K724" s="1" t="n">
        <x:f>2*H724+E724+IF(G724&gt;30,2,0)-IF(B724&gt;24,1,0)</x:f>
        <x:v>3</x:v>
      </x:c>
      <x:c r="L724" s="1" t="str">
        <x:f>IF(K724&gt;=3,"yes","no")</x:f>
        <x:v>yes</x:v>
      </x:c>
      <x:c r="M724" s="1"/>
      <x:c r="N724" s="1"/>
      <x:c r="O724" s="1"/>
    </x:row>
    <x:row r="725">
      <x:c r="A725" s="1" t="str">
        <x:v>S0724</x:v>
      </x:c>
      <x:c r="B725" s="1" t="n">
        <x:v>24</x:v>
      </x:c>
      <x:c r="C725" s="1" t="str">
        <x:v>basic</x:v>
      </x:c>
      <x:c r="D725" s="8" t="n">
        <x:v>9.99</x:v>
      </x:c>
      <x:c r="E725" s="1" t="n">
        <x:v>0</x:v>
      </x:c>
      <x:c r="F725" s="1" t="n">
        <x:v>15</x:v>
      </x:c>
      <x:c r="G725" s="1" t="n">
        <x:v>19</x:v>
      </x:c>
      <x:c r="H725" s="1" t="n">
        <x:v>0</x:v>
      </x:c>
      <x:c r="I725" s="1" t="n">
        <x:v>0</x:v>
      </x:c>
      <x:c r="J725" s="1" t="str">
        <x:v>no</x:v>
      </x:c>
      <x:c r="K725" s="1" t="n">
        <x:f>2*H725+E725+IF(G725&gt;30,2,0)-IF(B725&gt;24,1,0)</x:f>
        <x:v>0</x:v>
      </x:c>
      <x:c r="L725" s="1" t="str">
        <x:f>IF(K725&gt;=3,"yes","no")</x:f>
        <x:v>no</x:v>
      </x:c>
      <x:c r="M725" s="1"/>
      <x:c r="N725" s="1"/>
      <x:c r="O725" s="1"/>
    </x:row>
    <x:row r="726">
      <x:c r="A726" s="1" t="str">
        <x:v>S0725</x:v>
      </x:c>
      <x:c r="B726" s="1" t="n">
        <x:v>1</x:v>
      </x:c>
      <x:c r="C726" s="1" t="str">
        <x:v>premium</x:v>
      </x:c>
      <x:c r="D726" s="8" t="n">
        <x:v>15.99</x:v>
      </x:c>
      <x:c r="E726" s="1" t="n">
        <x:v>0</x:v>
      </x:c>
      <x:c r="F726" s="1" t="n">
        <x:v>20</x:v>
      </x:c>
      <x:c r="G726" s="1" t="n">
        <x:v>7</x:v>
      </x:c>
      <x:c r="H726" s="1" t="n">
        <x:v>0</x:v>
      </x:c>
      <x:c r="I726" s="1" t="n">
        <x:v>0</x:v>
      </x:c>
      <x:c r="J726" s="1" t="str">
        <x:v>no</x:v>
      </x:c>
      <x:c r="K726" s="1" t="n">
        <x:f>2*H726+E726+IF(G726&gt;30,2,0)-IF(B726&gt;24,1,0)</x:f>
        <x:v>0</x:v>
      </x:c>
      <x:c r="L726" s="1" t="str">
        <x:f>IF(K726&gt;=3,"yes","no")</x:f>
        <x:v>no</x:v>
      </x:c>
      <x:c r="M726" s="1"/>
      <x:c r="N726" s="1"/>
      <x:c r="O726" s="1"/>
    </x:row>
    <x:row r="727">
      <x:c r="A727" s="1" t="str">
        <x:v>S0726</x:v>
      </x:c>
      <x:c r="B727" s="1" t="n">
        <x:v>25</x:v>
      </x:c>
      <x:c r="C727" s="1" t="str">
        <x:v>basic</x:v>
      </x:c>
      <x:c r="D727" s="8" t="n">
        <x:v>9.99</x:v>
      </x:c>
      <x:c r="E727" s="1" t="n">
        <x:v>1</x:v>
      </x:c>
      <x:c r="F727" s="1" t="n">
        <x:v>0</x:v>
      </x:c>
      <x:c r="G727" s="1" t="n">
        <x:v>51</x:v>
      </x:c>
      <x:c r="H727" s="1" t="n">
        <x:v>0</x:v>
      </x:c>
      <x:c r="I727" s="1" t="n">
        <x:v>0</x:v>
      </x:c>
      <x:c r="J727" s="1" t="str">
        <x:v>no</x:v>
      </x:c>
      <x:c r="K727" s="1" t="n">
        <x:f>2*H727+E727+IF(G727&gt;30,2,0)-IF(B727&gt;24,1,0)</x:f>
        <x:v>2</x:v>
      </x:c>
      <x:c r="L727" s="1" t="str">
        <x:f>IF(K727&gt;=3,"yes","no")</x:f>
        <x:v>no</x:v>
      </x:c>
      <x:c r="M727" s="1"/>
      <x:c r="N727" s="1"/>
      <x:c r="O727" s="1"/>
    </x:row>
    <x:row r="728">
      <x:c r="A728" s="1" t="str">
        <x:v>S0727</x:v>
      </x:c>
      <x:c r="B728" s="1" t="n">
        <x:v>47</x:v>
      </x:c>
      <x:c r="C728" s="1" t="str">
        <x:v>premium</x:v>
      </x:c>
      <x:c r="D728" s="8" t="n">
        <x:v>15.99</x:v>
      </x:c>
      <x:c r="E728" s="1" t="n">
        <x:v>0</x:v>
      </x:c>
      <x:c r="F728" s="1" t="n">
        <x:v>26</x:v>
      </x:c>
      <x:c r="G728" s="1" t="n">
        <x:v>3</x:v>
      </x:c>
      <x:c r="H728" s="1" t="n">
        <x:v>0</x:v>
      </x:c>
      <x:c r="I728" s="1" t="n">
        <x:v>1</x:v>
      </x:c>
      <x:c r="J728" s="1" t="str">
        <x:v>no</x:v>
      </x:c>
      <x:c r="K728" s="1" t="n">
        <x:f>2*H728+E728+IF(G728&gt;30,2,0)-IF(B728&gt;24,1,0)</x:f>
        <x:v>-1</x:v>
      </x:c>
      <x:c r="L728" s="1" t="str">
        <x:f>IF(K728&gt;=3,"yes","no")</x:f>
        <x:v>no</x:v>
      </x:c>
      <x:c r="M728" s="1"/>
      <x:c r="N728" s="1"/>
      <x:c r="O728" s="1"/>
    </x:row>
    <x:row r="729">
      <x:c r="A729" s="1" t="str">
        <x:v>S0728</x:v>
      </x:c>
      <x:c r="B729" s="1" t="n">
        <x:v>6</x:v>
      </x:c>
      <x:c r="C729" s="1" t="str">
        <x:v>basic</x:v>
      </x:c>
      <x:c r="D729" s="8" t="n">
        <x:v>9.99</x:v>
      </x:c>
      <x:c r="E729" s="1" t="n">
        <x:v>1</x:v>
      </x:c>
      <x:c r="F729" s="1" t="n">
        <x:v>20</x:v>
      </x:c>
      <x:c r="G729" s="1" t="n">
        <x:v>28</x:v>
      </x:c>
      <x:c r="H729" s="1" t="n">
        <x:v>0</x:v>
      </x:c>
      <x:c r="I729" s="1" t="n">
        <x:v>0</x:v>
      </x:c>
      <x:c r="J729" s="1" t="str">
        <x:v>no</x:v>
      </x:c>
      <x:c r="K729" s="1" t="n">
        <x:f>2*H729+E729+IF(G729&gt;30,2,0)-IF(B729&gt;24,1,0)</x:f>
        <x:v>1</x:v>
      </x:c>
      <x:c r="L729" s="1" t="str">
        <x:f>IF(K729&gt;=3,"yes","no")</x:f>
        <x:v>no</x:v>
      </x:c>
      <x:c r="M729" s="1"/>
      <x:c r="N729" s="1"/>
      <x:c r="O729" s="1"/>
    </x:row>
    <x:row r="730">
      <x:c r="A730" s="1" t="str">
        <x:v>S0729</x:v>
      </x:c>
      <x:c r="B730" s="1" t="n">
        <x:v>45</x:v>
      </x:c>
      <x:c r="C730" s="1" t="str">
        <x:v>basic</x:v>
      </x:c>
      <x:c r="D730" s="8" t="n">
        <x:v>9.99</x:v>
      </x:c>
      <x:c r="E730" s="1" t="n">
        <x:v>0</x:v>
      </x:c>
      <x:c r="F730" s="1" t="n">
        <x:v>14</x:v>
      </x:c>
      <x:c r="G730" s="1" t="n">
        <x:v>7</x:v>
      </x:c>
      <x:c r="H730" s="1" t="n">
        <x:v>0</x:v>
      </x:c>
      <x:c r="I730" s="1" t="n">
        <x:v>0</x:v>
      </x:c>
      <x:c r="J730" s="1" t="str">
        <x:v>no</x:v>
      </x:c>
      <x:c r="K730" s="1" t="n">
        <x:f>2*H730+E730+IF(G730&gt;30,2,0)-IF(B730&gt;24,1,0)</x:f>
        <x:v>-1</x:v>
      </x:c>
      <x:c r="L730" s="1" t="str">
        <x:f>IF(K730&gt;=3,"yes","no")</x:f>
        <x:v>no</x:v>
      </x:c>
      <x:c r="M730" s="1"/>
      <x:c r="N730" s="1"/>
      <x:c r="O730" s="1"/>
    </x:row>
    <x:row r="731">
      <x:c r="A731" s="1" t="str">
        <x:v>S0730</x:v>
      </x:c>
      <x:c r="B731" s="1" t="n">
        <x:v>31</x:v>
      </x:c>
      <x:c r="C731" s="1" t="str">
        <x:v>premium</x:v>
      </x:c>
      <x:c r="D731" s="8" t="n">
        <x:v>15.99</x:v>
      </x:c>
      <x:c r="E731" s="1" t="n">
        <x:v>0</x:v>
      </x:c>
      <x:c r="F731" s="1" t="n">
        <x:v>32</x:v>
      </x:c>
      <x:c r="G731" s="1" t="n">
        <x:v>5</x:v>
      </x:c>
      <x:c r="H731" s="1" t="n">
        <x:v>0</x:v>
      </x:c>
      <x:c r="I731" s="1" t="n">
        <x:v>1</x:v>
      </x:c>
      <x:c r="J731" s="1" t="str">
        <x:v>no</x:v>
      </x:c>
      <x:c r="K731" s="1" t="n">
        <x:f>2*H731+E731+IF(G731&gt;30,2,0)-IF(B731&gt;24,1,0)</x:f>
        <x:v>-1</x:v>
      </x:c>
      <x:c r="L731" s="1" t="str">
        <x:f>IF(K731&gt;=3,"yes","no")</x:f>
        <x:v>no</x:v>
      </x:c>
      <x:c r="M731" s="1"/>
      <x:c r="N731" s="1"/>
      <x:c r="O731" s="1"/>
    </x:row>
    <x:row r="732">
      <x:c r="A732" s="1" t="str">
        <x:v>S0731</x:v>
      </x:c>
      <x:c r="B732" s="1" t="n">
        <x:v>2</x:v>
      </x:c>
      <x:c r="C732" s="1" t="str">
        <x:v>basic</x:v>
      </x:c>
      <x:c r="D732" s="8" t="n">
        <x:v>9.99</x:v>
      </x:c>
      <x:c r="E732" s="1" t="n">
        <x:v>1</x:v>
      </x:c>
      <x:c r="F732" s="1" t="n">
        <x:v>15</x:v>
      </x:c>
      <x:c r="G732" s="1" t="n">
        <x:v>22</x:v>
      </x:c>
      <x:c r="H732" s="1" t="n">
        <x:v>0</x:v>
      </x:c>
      <x:c r="I732" s="1" t="n">
        <x:v>1</x:v>
      </x:c>
      <x:c r="J732" s="1" t="str">
        <x:v>no</x:v>
      </x:c>
      <x:c r="K732" s="1" t="n">
        <x:f>2*H732+E732+IF(G732&gt;30,2,0)-IF(B732&gt;24,1,0)</x:f>
        <x:v>1</x:v>
      </x:c>
      <x:c r="L732" s="1" t="str">
        <x:f>IF(K732&gt;=3,"yes","no")</x:f>
        <x:v>no</x:v>
      </x:c>
      <x:c r="M732" s="1"/>
      <x:c r="N732" s="1"/>
      <x:c r="O732" s="1"/>
    </x:row>
    <x:row r="733">
      <x:c r="A733" s="1" t="str">
        <x:v>S0732</x:v>
      </x:c>
      <x:c r="B733" s="1" t="n">
        <x:v>34</x:v>
      </x:c>
      <x:c r="C733" s="1" t="str">
        <x:v>basic</x:v>
      </x:c>
      <x:c r="D733" s="8" t="n">
        <x:v>9.99</x:v>
      </x:c>
      <x:c r="E733" s="1" t="n">
        <x:v>0</x:v>
      </x:c>
      <x:c r="F733" s="1" t="n">
        <x:v>9</x:v>
      </x:c>
      <x:c r="G733" s="1" t="n">
        <x:v>21</x:v>
      </x:c>
      <x:c r="H733" s="1" t="n">
        <x:v>0</x:v>
      </x:c>
      <x:c r="I733" s="1" t="n">
        <x:v>0</x:v>
      </x:c>
      <x:c r="J733" s="1" t="str">
        <x:v>no</x:v>
      </x:c>
      <x:c r="K733" s="1" t="n">
        <x:f>2*H733+E733+IF(G733&gt;30,2,0)-IF(B733&gt;24,1,0)</x:f>
        <x:v>-1</x:v>
      </x:c>
      <x:c r="L733" s="1" t="str">
        <x:f>IF(K733&gt;=3,"yes","no")</x:f>
        <x:v>no</x:v>
      </x:c>
      <x:c r="M733" s="1"/>
      <x:c r="N733" s="1"/>
      <x:c r="O733" s="1"/>
    </x:row>
    <x:row r="734">
      <x:c r="A734" s="1" t="str">
        <x:v>S0733</x:v>
      </x:c>
      <x:c r="B734" s="1" t="n">
        <x:v>48</x:v>
      </x:c>
      <x:c r="C734" s="1" t="str">
        <x:v>basic</x:v>
      </x:c>
      <x:c r="D734" s="8" t="n">
        <x:v>9.99</x:v>
      </x:c>
      <x:c r="E734" s="1" t="n">
        <x:v>1</x:v>
      </x:c>
      <x:c r="F734" s="1" t="n">
        <x:v>0</x:v>
      </x:c>
      <x:c r="G734" s="1" t="n">
        <x:v>47</x:v>
      </x:c>
      <x:c r="H734" s="1" t="n">
        <x:v>0</x:v>
      </x:c>
      <x:c r="I734" s="1" t="n">
        <x:v>0</x:v>
      </x:c>
      <x:c r="J734" s="1" t="str">
        <x:v>yes</x:v>
      </x:c>
      <x:c r="K734" s="1" t="n">
        <x:f>2*H734+E734+IF(G734&gt;30,2,0)-IF(B734&gt;24,1,0)</x:f>
        <x:v>2</x:v>
      </x:c>
      <x:c r="L734" s="1" t="str">
        <x:f>IF(K734&gt;=3,"yes","no")</x:f>
        <x:v>no</x:v>
      </x:c>
      <x:c r="M734" s="1"/>
      <x:c r="N734" s="1"/>
      <x:c r="O734" s="1"/>
    </x:row>
    <x:row r="735">
      <x:c r="A735" s="1" t="str">
        <x:v>S0734</x:v>
      </x:c>
      <x:c r="B735" s="1" t="n">
        <x:v>32</x:v>
      </x:c>
      <x:c r="C735" s="1" t="str">
        <x:v>basic</x:v>
      </x:c>
      <x:c r="D735" s="8" t="n">
        <x:v>9.99</x:v>
      </x:c>
      <x:c r="E735" s="1" t="n">
        <x:v>4</x:v>
      </x:c>
      <x:c r="F735" s="1" t="n">
        <x:v>8</x:v>
      </x:c>
      <x:c r="G735" s="1" t="n">
        <x:v>16</x:v>
      </x:c>
      <x:c r="H735" s="1" t="n">
        <x:v>0</x:v>
      </x:c>
      <x:c r="I735" s="1" t="n">
        <x:v>1</x:v>
      </x:c>
      <x:c r="J735" s="1" t="str">
        <x:v>no</x:v>
      </x:c>
      <x:c r="K735" s="1" t="n">
        <x:f>2*H735+E735+IF(G735&gt;30,2,0)-IF(B735&gt;24,1,0)</x:f>
        <x:v>3</x:v>
      </x:c>
      <x:c r="L735" s="1" t="str">
        <x:f>IF(K735&gt;=3,"yes","no")</x:f>
        <x:v>yes</x:v>
      </x:c>
      <x:c r="M735" s="1"/>
      <x:c r="N735" s="1"/>
      <x:c r="O735" s="1"/>
    </x:row>
    <x:row r="736">
      <x:c r="A736" s="1" t="str">
        <x:v>S0735</x:v>
      </x:c>
      <x:c r="B736" s="1" t="n">
        <x:v>38</x:v>
      </x:c>
      <x:c r="C736" s="1" t="str">
        <x:v>basic</x:v>
      </x:c>
      <x:c r="D736" s="8" t="n">
        <x:v>9.99</x:v>
      </x:c>
      <x:c r="E736" s="1" t="n">
        <x:v>2</x:v>
      </x:c>
      <x:c r="F736" s="1" t="n">
        <x:v>19</x:v>
      </x:c>
      <x:c r="G736" s="1" t="n">
        <x:v>0</x:v>
      </x:c>
      <x:c r="H736" s="1" t="n">
        <x:v>0</x:v>
      </x:c>
      <x:c r="I736" s="1" t="n">
        <x:v>0</x:v>
      </x:c>
      <x:c r="J736" s="1" t="str">
        <x:v>no</x:v>
      </x:c>
      <x:c r="K736" s="1" t="n">
        <x:f>2*H736+E736+IF(G736&gt;30,2,0)-IF(B736&gt;24,1,0)</x:f>
        <x:v>1</x:v>
      </x:c>
      <x:c r="L736" s="1" t="str">
        <x:f>IF(K736&gt;=3,"yes","no")</x:f>
        <x:v>no</x:v>
      </x:c>
      <x:c r="M736" s="1"/>
      <x:c r="N736" s="1"/>
      <x:c r="O736" s="1"/>
    </x:row>
    <x:row r="737">
      <x:c r="A737" s="1" t="str">
        <x:v>S0736</x:v>
      </x:c>
      <x:c r="B737" s="1" t="n">
        <x:v>2</x:v>
      </x:c>
      <x:c r="C737" s="1" t="str">
        <x:v>basic</x:v>
      </x:c>
      <x:c r="D737" s="8" t="n">
        <x:v>9.99</x:v>
      </x:c>
      <x:c r="E737" s="1" t="n">
        <x:v>0</x:v>
      </x:c>
      <x:c r="F737" s="1" t="n">
        <x:v>19</x:v>
      </x:c>
      <x:c r="G737" s="1" t="n">
        <x:v>3</x:v>
      </x:c>
      <x:c r="H737" s="1" t="n">
        <x:v>0</x:v>
      </x:c>
      <x:c r="I737" s="1" t="n">
        <x:v>1</x:v>
      </x:c>
      <x:c r="J737" s="1" t="str">
        <x:v>no</x:v>
      </x:c>
      <x:c r="K737" s="1" t="n">
        <x:f>2*H737+E737+IF(G737&gt;30,2,0)-IF(B737&gt;24,1,0)</x:f>
        <x:v>0</x:v>
      </x:c>
      <x:c r="L737" s="1" t="str">
        <x:f>IF(K737&gt;=3,"yes","no")</x:f>
        <x:v>no</x:v>
      </x:c>
      <x:c r="M737" s="1"/>
      <x:c r="N737" s="1"/>
      <x:c r="O737" s="1"/>
    </x:row>
    <x:row r="738">
      <x:c r="A738" s="1" t="str">
        <x:v>S0737</x:v>
      </x:c>
      <x:c r="B738" s="1" t="n">
        <x:v>19</x:v>
      </x:c>
      <x:c r="C738" s="1" t="str">
        <x:v>basic</x:v>
      </x:c>
      <x:c r="D738" s="8" t="n">
        <x:v>9.99</x:v>
      </x:c>
      <x:c r="E738" s="1" t="n">
        <x:v>0</x:v>
      </x:c>
      <x:c r="F738" s="1" t="n">
        <x:v>1</x:v>
      </x:c>
      <x:c r="G738" s="1" t="n">
        <x:v>18</x:v>
      </x:c>
      <x:c r="H738" s="1" t="n">
        <x:v>0</x:v>
      </x:c>
      <x:c r="I738" s="1" t="n">
        <x:v>1</x:v>
      </x:c>
      <x:c r="J738" s="1" t="str">
        <x:v>yes</x:v>
      </x:c>
      <x:c r="K738" s="1" t="n">
        <x:f>2*H738+E738+IF(G738&gt;30,2,0)-IF(B738&gt;24,1,0)</x:f>
        <x:v>0</x:v>
      </x:c>
      <x:c r="L738" s="1" t="str">
        <x:f>IF(K738&gt;=3,"yes","no")</x:f>
        <x:v>no</x:v>
      </x:c>
      <x:c r="M738" s="1"/>
      <x:c r="N738" s="1"/>
      <x:c r="O738" s="1"/>
    </x:row>
    <x:row r="739">
      <x:c r="A739" s="1" t="str">
        <x:v>S0738</x:v>
      </x:c>
      <x:c r="B739" s="1" t="n">
        <x:v>42</x:v>
      </x:c>
      <x:c r="C739" s="1" t="str">
        <x:v>basic</x:v>
      </x:c>
      <x:c r="D739" s="8" t="n">
        <x:v>9.99</x:v>
      </x:c>
      <x:c r="E739" s="1" t="n">
        <x:v>0</x:v>
      </x:c>
      <x:c r="F739" s="1" t="n">
        <x:v>0</x:v>
      </x:c>
      <x:c r="G739" s="1" t="n">
        <x:v>38</x:v>
      </x:c>
      <x:c r="H739" s="1" t="n">
        <x:v>1</x:v>
      </x:c>
      <x:c r="I739" s="1" t="n">
        <x:v>0</x:v>
      </x:c>
      <x:c r="J739" s="1" t="str">
        <x:v>yes</x:v>
      </x:c>
      <x:c r="K739" s="1" t="n">
        <x:f>2*H739+E739+IF(G739&gt;30,2,0)-IF(B739&gt;24,1,0)</x:f>
        <x:v>3</x:v>
      </x:c>
      <x:c r="L739" s="1" t="str">
        <x:f>IF(K739&gt;=3,"yes","no")</x:f>
        <x:v>yes</x:v>
      </x:c>
      <x:c r="M739" s="1"/>
      <x:c r="N739" s="1"/>
      <x:c r="O739" s="1"/>
    </x:row>
    <x:row r="740">
      <x:c r="A740" s="1" t="str">
        <x:v>S0739</x:v>
      </x:c>
      <x:c r="B740" s="1" t="n">
        <x:v>42</x:v>
      </x:c>
      <x:c r="C740" s="1" t="str">
        <x:v>premium</x:v>
      </x:c>
      <x:c r="D740" s="8" t="n">
        <x:v>15.99</x:v>
      </x:c>
      <x:c r="E740" s="1" t="n">
        <x:v>2</x:v>
      </x:c>
      <x:c r="F740" s="1" t="n">
        <x:v>25</x:v>
      </x:c>
      <x:c r="G740" s="1" t="n">
        <x:v>2</x:v>
      </x:c>
      <x:c r="H740" s="1" t="n">
        <x:v>0</x:v>
      </x:c>
      <x:c r="I740" s="1" t="n">
        <x:v>0</x:v>
      </x:c>
      <x:c r="J740" s="1" t="str">
        <x:v>no</x:v>
      </x:c>
      <x:c r="K740" s="1" t="n">
        <x:f>2*H740+E740+IF(G740&gt;30,2,0)-IF(B740&gt;24,1,0)</x:f>
        <x:v>1</x:v>
      </x:c>
      <x:c r="L740" s="1" t="str">
        <x:f>IF(K740&gt;=3,"yes","no")</x:f>
        <x:v>no</x:v>
      </x:c>
      <x:c r="M740" s="1"/>
      <x:c r="N740" s="1"/>
      <x:c r="O740" s="1"/>
    </x:row>
    <x:row r="741">
      <x:c r="A741" s="1" t="str">
        <x:v>S0740</x:v>
      </x:c>
      <x:c r="B741" s="1" t="n">
        <x:v>22</x:v>
      </x:c>
      <x:c r="C741" s="1" t="str">
        <x:v>premium</x:v>
      </x:c>
      <x:c r="D741" s="8" t="n">
        <x:v>15.99</x:v>
      </x:c>
      <x:c r="E741" s="1" t="n">
        <x:v>0</x:v>
      </x:c>
      <x:c r="F741" s="1" t="n">
        <x:v>0</x:v>
      </x:c>
      <x:c r="G741" s="1" t="n">
        <x:v>36</x:v>
      </x:c>
      <x:c r="H741" s="1" t="n">
        <x:v>2</x:v>
      </x:c>
      <x:c r="I741" s="1" t="n">
        <x:v>1</x:v>
      </x:c>
      <x:c r="J741" s="1" t="str">
        <x:v>yes</x:v>
      </x:c>
      <x:c r="K741" s="1" t="n">
        <x:f>2*H741+E741+IF(G741&gt;30,2,0)-IF(B741&gt;24,1,0)</x:f>
        <x:v>6</x:v>
      </x:c>
      <x:c r="L741" s="1" t="str">
        <x:f>IF(K741&gt;=3,"yes","no")</x:f>
        <x:v>yes</x:v>
      </x:c>
      <x:c r="M741" s="1"/>
      <x:c r="N741" s="1"/>
      <x:c r="O741" s="1"/>
    </x:row>
    <x:row r="742">
      <x:c r="A742" s="1" t="str">
        <x:v>S0741</x:v>
      </x:c>
      <x:c r="B742" s="1" t="n">
        <x:v>25</x:v>
      </x:c>
      <x:c r="C742" s="1" t="str">
        <x:v>premium</x:v>
      </x:c>
      <x:c r="D742" s="8" t="n">
        <x:v>15.99</x:v>
      </x:c>
      <x:c r="E742" s="1" t="n">
        <x:v>0</x:v>
      </x:c>
      <x:c r="F742" s="1" t="n">
        <x:v>12</x:v>
      </x:c>
      <x:c r="G742" s="1" t="n">
        <x:v>27</x:v>
      </x:c>
      <x:c r="H742" s="1" t="n">
        <x:v>0</x:v>
      </x:c>
      <x:c r="I742" s="1" t="n">
        <x:v>0</x:v>
      </x:c>
      <x:c r="J742" s="1" t="str">
        <x:v>no</x:v>
      </x:c>
      <x:c r="K742" s="1" t="n">
        <x:f>2*H742+E742+IF(G742&gt;30,2,0)-IF(B742&gt;24,1,0)</x:f>
        <x:v>-1</x:v>
      </x:c>
      <x:c r="L742" s="1" t="str">
        <x:f>IF(K742&gt;=3,"yes","no")</x:f>
        <x:v>no</x:v>
      </x:c>
      <x:c r="M742" s="1"/>
      <x:c r="N742" s="1"/>
      <x:c r="O742" s="1"/>
    </x:row>
    <x:row r="743">
      <x:c r="A743" s="1" t="str">
        <x:v>S0742</x:v>
      </x:c>
      <x:c r="B743" s="1" t="n">
        <x:v>36</x:v>
      </x:c>
      <x:c r="C743" s="1" t="str">
        <x:v>basic</x:v>
      </x:c>
      <x:c r="D743" s="8" t="n">
        <x:v>9.99</x:v>
      </x:c>
      <x:c r="E743" s="1" t="n">
        <x:v>1</x:v>
      </x:c>
      <x:c r="F743" s="1" t="n">
        <x:v>6</x:v>
      </x:c>
      <x:c r="G743" s="1" t="n">
        <x:v>29</x:v>
      </x:c>
      <x:c r="H743" s="1" t="n">
        <x:v>0</x:v>
      </x:c>
      <x:c r="I743" s="1" t="n">
        <x:v>0</x:v>
      </x:c>
      <x:c r="J743" s="1" t="str">
        <x:v>no</x:v>
      </x:c>
      <x:c r="K743" s="1" t="n">
        <x:f>2*H743+E743+IF(G743&gt;30,2,0)-IF(B743&gt;24,1,0)</x:f>
        <x:v>0</x:v>
      </x:c>
      <x:c r="L743" s="1" t="str">
        <x:f>IF(K743&gt;=3,"yes","no")</x:f>
        <x:v>no</x:v>
      </x:c>
      <x:c r="M743" s="1"/>
      <x:c r="N743" s="1"/>
      <x:c r="O743" s="1"/>
    </x:row>
    <x:row r="744">
      <x:c r="A744" s="1" t="str">
        <x:v>S0743</x:v>
      </x:c>
      <x:c r="B744" s="1" t="n">
        <x:v>37</x:v>
      </x:c>
      <x:c r="C744" s="1" t="str">
        <x:v>premium</x:v>
      </x:c>
      <x:c r="D744" s="8" t="n">
        <x:v>15.99</x:v>
      </x:c>
      <x:c r="E744" s="1" t="n">
        <x:v>0</x:v>
      </x:c>
      <x:c r="F744" s="1" t="n">
        <x:v>20</x:v>
      </x:c>
      <x:c r="G744" s="1" t="n">
        <x:v>2</x:v>
      </x:c>
      <x:c r="H744" s="1" t="n">
        <x:v>0</x:v>
      </x:c>
      <x:c r="I744" s="1" t="n">
        <x:v>0</x:v>
      </x:c>
      <x:c r="J744" s="1" t="str">
        <x:v>no</x:v>
      </x:c>
      <x:c r="K744" s="1" t="n">
        <x:f>2*H744+E744+IF(G744&gt;30,2,0)-IF(B744&gt;24,1,0)</x:f>
        <x:v>-1</x:v>
      </x:c>
      <x:c r="L744" s="1" t="str">
        <x:f>IF(K744&gt;=3,"yes","no")</x:f>
        <x:v>no</x:v>
      </x:c>
      <x:c r="M744" s="1"/>
      <x:c r="N744" s="1"/>
      <x:c r="O744" s="1"/>
    </x:row>
    <x:row r="745">
      <x:c r="A745" s="1" t="str">
        <x:v>S0744</x:v>
      </x:c>
      <x:c r="B745" s="1" t="n">
        <x:v>41</x:v>
      </x:c>
      <x:c r="C745" s="1" t="str">
        <x:v>basic</x:v>
      </x:c>
      <x:c r="D745" s="8" t="n">
        <x:v>9.99</x:v>
      </x:c>
      <x:c r="E745" s="1" t="n">
        <x:v>0</x:v>
      </x:c>
      <x:c r="F745" s="1" t="n">
        <x:v>15</x:v>
      </x:c>
      <x:c r="G745" s="1" t="n">
        <x:v>17</x:v>
      </x:c>
      <x:c r="H745" s="1" t="n">
        <x:v>1</x:v>
      </x:c>
      <x:c r="I745" s="1" t="n">
        <x:v>0</x:v>
      </x:c>
      <x:c r="J745" s="1" t="str">
        <x:v>yes</x:v>
      </x:c>
      <x:c r="K745" s="1" t="n">
        <x:f>2*H745+E745+IF(G745&gt;30,2,0)-IF(B745&gt;24,1,0)</x:f>
        <x:v>1</x:v>
      </x:c>
      <x:c r="L745" s="1" t="str">
        <x:f>IF(K745&gt;=3,"yes","no")</x:f>
        <x:v>no</x:v>
      </x:c>
      <x:c r="M745" s="1"/>
      <x:c r="N745" s="1"/>
      <x:c r="O745" s="1"/>
    </x:row>
    <x:row r="746">
      <x:c r="A746" s="1" t="str">
        <x:v>S0745</x:v>
      </x:c>
      <x:c r="B746" s="1" t="n">
        <x:v>42</x:v>
      </x:c>
      <x:c r="C746" s="1" t="str">
        <x:v>basic</x:v>
      </x:c>
      <x:c r="D746" s="8" t="n">
        <x:v>9.99</x:v>
      </x:c>
      <x:c r="E746" s="1" t="n">
        <x:v>0</x:v>
      </x:c>
      <x:c r="F746" s="1" t="n">
        <x:v>19</x:v>
      </x:c>
      <x:c r="G746" s="1" t="n">
        <x:v>2</x:v>
      </x:c>
      <x:c r="H746" s="1" t="n">
        <x:v>0</x:v>
      </x:c>
      <x:c r="I746" s="1" t="n">
        <x:v>1</x:v>
      </x:c>
      <x:c r="J746" s="1" t="str">
        <x:v>no</x:v>
      </x:c>
      <x:c r="K746" s="1" t="n">
        <x:f>2*H746+E746+IF(G746&gt;30,2,0)-IF(B746&gt;24,1,0)</x:f>
        <x:v>-1</x:v>
      </x:c>
      <x:c r="L746" s="1" t="str">
        <x:f>IF(K746&gt;=3,"yes","no")</x:f>
        <x:v>no</x:v>
      </x:c>
      <x:c r="M746" s="1"/>
      <x:c r="N746" s="1"/>
      <x:c r="O746" s="1"/>
    </x:row>
    <x:row r="747">
      <x:c r="A747" s="1" t="str">
        <x:v>S0746</x:v>
      </x:c>
      <x:c r="B747" s="1" t="n">
        <x:v>48</x:v>
      </x:c>
      <x:c r="C747" s="1" t="str">
        <x:v>basic</x:v>
      </x:c>
      <x:c r="D747" s="8" t="n">
        <x:v>9.99</x:v>
      </x:c>
      <x:c r="E747" s="1" t="n">
        <x:v>2</x:v>
      </x:c>
      <x:c r="F747" s="1" t="n">
        <x:v>16</x:v>
      </x:c>
      <x:c r="G747" s="1" t="n">
        <x:v>4</x:v>
      </x:c>
      <x:c r="H747" s="1" t="n">
        <x:v>0</x:v>
      </x:c>
      <x:c r="I747" s="1" t="n">
        <x:v>0</x:v>
      </x:c>
      <x:c r="J747" s="1" t="str">
        <x:v>no</x:v>
      </x:c>
      <x:c r="K747" s="1" t="n">
        <x:f>2*H747+E747+IF(G747&gt;30,2,0)-IF(B747&gt;24,1,0)</x:f>
        <x:v>1</x:v>
      </x:c>
      <x:c r="L747" s="1" t="str">
        <x:f>IF(K747&gt;=3,"yes","no")</x:f>
        <x:v>no</x:v>
      </x:c>
      <x:c r="M747" s="1"/>
      <x:c r="N747" s="1"/>
      <x:c r="O747" s="1"/>
    </x:row>
    <x:row r="748">
      <x:c r="A748" s="1" t="str">
        <x:v>S0747</x:v>
      </x:c>
      <x:c r="B748" s="1" t="n">
        <x:v>36</x:v>
      </x:c>
      <x:c r="C748" s="1" t="str">
        <x:v>basic</x:v>
      </x:c>
      <x:c r="D748" s="8" t="n">
        <x:v>9.99</x:v>
      </x:c>
      <x:c r="E748" s="1" t="n">
        <x:v>0</x:v>
      </x:c>
      <x:c r="F748" s="1" t="n">
        <x:v>17</x:v>
      </x:c>
      <x:c r="G748" s="1" t="n">
        <x:v>11</x:v>
      </x:c>
      <x:c r="H748" s="1" t="n">
        <x:v>0</x:v>
      </x:c>
      <x:c r="I748" s="1" t="n">
        <x:v>0</x:v>
      </x:c>
      <x:c r="J748" s="1" t="str">
        <x:v>no</x:v>
      </x:c>
      <x:c r="K748" s="1" t="n">
        <x:f>2*H748+E748+IF(G748&gt;30,2,0)-IF(B748&gt;24,1,0)</x:f>
        <x:v>-1</x:v>
      </x:c>
      <x:c r="L748" s="1" t="str">
        <x:f>IF(K748&gt;=3,"yes","no")</x:f>
        <x:v>no</x:v>
      </x:c>
      <x:c r="M748" s="1"/>
      <x:c r="N748" s="1"/>
      <x:c r="O748" s="1"/>
    </x:row>
    <x:row r="749">
      <x:c r="A749" s="1" t="str">
        <x:v>S0748</x:v>
      </x:c>
      <x:c r="B749" s="1" t="n">
        <x:v>13</x:v>
      </x:c>
      <x:c r="C749" s="1" t="str">
        <x:v>basic</x:v>
      </x:c>
      <x:c r="D749" s="8" t="n">
        <x:v>9.99</x:v>
      </x:c>
      <x:c r="E749" s="1" t="n">
        <x:v>1</x:v>
      </x:c>
      <x:c r="F749" s="1" t="n">
        <x:v>8</x:v>
      </x:c>
      <x:c r="G749" s="1" t="n">
        <x:v>26</x:v>
      </x:c>
      <x:c r="H749" s="1" t="n">
        <x:v>0</x:v>
      </x:c>
      <x:c r="I749" s="1" t="n">
        <x:v>1</x:v>
      </x:c>
      <x:c r="J749" s="1" t="str">
        <x:v>yes</x:v>
      </x:c>
      <x:c r="K749" s="1" t="n">
        <x:f>2*H749+E749+IF(G749&gt;30,2,0)-IF(B749&gt;24,1,0)</x:f>
        <x:v>1</x:v>
      </x:c>
      <x:c r="L749" s="1" t="str">
        <x:f>IF(K749&gt;=3,"yes","no")</x:f>
        <x:v>no</x:v>
      </x:c>
      <x:c r="M749" s="1"/>
      <x:c r="N749" s="1"/>
      <x:c r="O749" s="1"/>
    </x:row>
    <x:row r="750">
      <x:c r="A750" s="1" t="str">
        <x:v>S0749</x:v>
      </x:c>
      <x:c r="B750" s="1" t="n">
        <x:v>46</x:v>
      </x:c>
      <x:c r="C750" s="1" t="str">
        <x:v>basic</x:v>
      </x:c>
      <x:c r="D750" s="8" t="n">
        <x:v>9.99</x:v>
      </x:c>
      <x:c r="E750" s="1" t="n">
        <x:v>1</x:v>
      </x:c>
      <x:c r="F750" s="1" t="n">
        <x:v>0</x:v>
      </x:c>
      <x:c r="G750" s="1" t="n">
        <x:v>55</x:v>
      </x:c>
      <x:c r="H750" s="1" t="n">
        <x:v>0</x:v>
      </x:c>
      <x:c r="I750" s="1" t="n">
        <x:v>0</x:v>
      </x:c>
      <x:c r="J750" s="1" t="str">
        <x:v>no</x:v>
      </x:c>
      <x:c r="K750" s="1" t="n">
        <x:f>2*H750+E750+IF(G750&gt;30,2,0)-IF(B750&gt;24,1,0)</x:f>
        <x:v>2</x:v>
      </x:c>
      <x:c r="L750" s="1" t="str">
        <x:f>IF(K750&gt;=3,"yes","no")</x:f>
        <x:v>no</x:v>
      </x:c>
      <x:c r="M750" s="1"/>
      <x:c r="N750" s="1"/>
      <x:c r="O750" s="1"/>
    </x:row>
    <x:row r="751">
      <x:c r="A751" s="1" t="str">
        <x:v>S0750</x:v>
      </x:c>
      <x:c r="B751" s="1" t="n">
        <x:v>35</x:v>
      </x:c>
      <x:c r="C751" s="1" t="str">
        <x:v>premium</x:v>
      </x:c>
      <x:c r="D751" s="8" t="n">
        <x:v>15.99</x:v>
      </x:c>
      <x:c r="E751" s="1" t="n">
        <x:v>2</x:v>
      </x:c>
      <x:c r="F751" s="1" t="n">
        <x:v>0</x:v>
      </x:c>
      <x:c r="G751" s="1" t="n">
        <x:v>59</x:v>
      </x:c>
      <x:c r="H751" s="1" t="n">
        <x:v>0</x:v>
      </x:c>
      <x:c r="I751" s="1" t="n">
        <x:v>0</x:v>
      </x:c>
      <x:c r="J751" s="1" t="str">
        <x:v>no</x:v>
      </x:c>
      <x:c r="K751" s="1" t="n">
        <x:f>2*H751+E751+IF(G751&gt;30,2,0)-IF(B751&gt;24,1,0)</x:f>
        <x:v>3</x:v>
      </x:c>
      <x:c r="L751" s="1" t="str">
        <x:f>IF(K751&gt;=3,"yes","no")</x:f>
        <x:v>yes</x:v>
      </x:c>
      <x:c r="M751" s="1"/>
      <x:c r="N751" s="1"/>
      <x:c r="O751" s="1"/>
    </x:row>
    <x:row r="752">
      <x:c r="A752" s="1" t="str">
        <x:v>S0751</x:v>
      </x:c>
      <x:c r="B752" s="1" t="n">
        <x:v>9</x:v>
      </x:c>
      <x:c r="C752" s="1" t="str">
        <x:v>basic</x:v>
      </x:c>
      <x:c r="D752" s="8" t="n">
        <x:v>9.99</x:v>
      </x:c>
      <x:c r="E752" s="1" t="n">
        <x:v>0</x:v>
      </x:c>
      <x:c r="F752" s="1" t="n">
        <x:v>15</x:v>
      </x:c>
      <x:c r="G752" s="1" t="n">
        <x:v>16</x:v>
      </x:c>
      <x:c r="H752" s="1" t="n">
        <x:v>0</x:v>
      </x:c>
      <x:c r="I752" s="1" t="n">
        <x:v>0</x:v>
      </x:c>
      <x:c r="J752" s="1" t="str">
        <x:v>no</x:v>
      </x:c>
      <x:c r="K752" s="1" t="n">
        <x:f>2*H752+E752+IF(G752&gt;30,2,0)-IF(B752&gt;24,1,0)</x:f>
        <x:v>0</x:v>
      </x:c>
      <x:c r="L752" s="1" t="str">
        <x:f>IF(K752&gt;=3,"yes","no")</x:f>
        <x:v>no</x:v>
      </x:c>
      <x:c r="M752" s="1"/>
      <x:c r="N752" s="1"/>
      <x:c r="O752" s="1"/>
    </x:row>
    <x:row r="753">
      <x:c r="A753" s="1" t="str">
        <x:v>S0752</x:v>
      </x:c>
      <x:c r="B753" s="1" t="n">
        <x:v>42</x:v>
      </x:c>
      <x:c r="C753" s="1" t="str">
        <x:v>basic</x:v>
      </x:c>
      <x:c r="D753" s="8" t="n">
        <x:v>9.99</x:v>
      </x:c>
      <x:c r="E753" s="1" t="n">
        <x:v>0</x:v>
      </x:c>
      <x:c r="F753" s="1" t="n">
        <x:v>12</x:v>
      </x:c>
      <x:c r="G753" s="1" t="n">
        <x:v>14</x:v>
      </x:c>
      <x:c r="H753" s="1" t="n">
        <x:v>0</x:v>
      </x:c>
      <x:c r="I753" s="1" t="n">
        <x:v>1</x:v>
      </x:c>
      <x:c r="J753" s="1" t="str">
        <x:v>no</x:v>
      </x:c>
      <x:c r="K753" s="1" t="n">
        <x:f>2*H753+E753+IF(G753&gt;30,2,0)-IF(B753&gt;24,1,0)</x:f>
        <x:v>-1</x:v>
      </x:c>
      <x:c r="L753" s="1" t="str">
        <x:f>IF(K753&gt;=3,"yes","no")</x:f>
        <x:v>no</x:v>
      </x:c>
      <x:c r="M753" s="1"/>
      <x:c r="N753" s="1"/>
      <x:c r="O753" s="1"/>
    </x:row>
    <x:row r="754">
      <x:c r="A754" s="1" t="str">
        <x:v>S0753</x:v>
      </x:c>
      <x:c r="B754" s="1" t="n">
        <x:v>23</x:v>
      </x:c>
      <x:c r="C754" s="1" t="str">
        <x:v>basic</x:v>
      </x:c>
      <x:c r="D754" s="8" t="n">
        <x:v>9.99</x:v>
      </x:c>
      <x:c r="E754" s="1" t="n">
        <x:v>0</x:v>
      </x:c>
      <x:c r="F754" s="1" t="n">
        <x:v>12</x:v>
      </x:c>
      <x:c r="G754" s="1" t="n">
        <x:v>2</x:v>
      </x:c>
      <x:c r="H754" s="1" t="n">
        <x:v>0</x:v>
      </x:c>
      <x:c r="I754" s="1" t="n">
        <x:v>0</x:v>
      </x:c>
      <x:c r="J754" s="1" t="str">
        <x:v>no</x:v>
      </x:c>
      <x:c r="K754" s="1" t="n">
        <x:f>2*H754+E754+IF(G754&gt;30,2,0)-IF(B754&gt;24,1,0)</x:f>
        <x:v>0</x:v>
      </x:c>
      <x:c r="L754" s="1" t="str">
        <x:f>IF(K754&gt;=3,"yes","no")</x:f>
        <x:v>no</x:v>
      </x:c>
      <x:c r="M754" s="1"/>
      <x:c r="N754" s="1"/>
      <x:c r="O754" s="1"/>
    </x:row>
    <x:row r="755">
      <x:c r="A755" s="1" t="str">
        <x:v>S0754</x:v>
      </x:c>
      <x:c r="B755" s="1" t="n">
        <x:v>21</x:v>
      </x:c>
      <x:c r="C755" s="1" t="str">
        <x:v>basic</x:v>
      </x:c>
      <x:c r="D755" s="8" t="n">
        <x:v>9.99</x:v>
      </x:c>
      <x:c r="E755" s="1" t="n">
        <x:v>2</x:v>
      </x:c>
      <x:c r="F755" s="1" t="n">
        <x:v>17</x:v>
      </x:c>
      <x:c r="G755" s="1" t="n">
        <x:v>6</x:v>
      </x:c>
      <x:c r="H755" s="1" t="n">
        <x:v>0</x:v>
      </x:c>
      <x:c r="I755" s="1" t="n">
        <x:v>0</x:v>
      </x:c>
      <x:c r="J755" s="1" t="str">
        <x:v>no</x:v>
      </x:c>
      <x:c r="K755" s="1" t="n">
        <x:f>2*H755+E755+IF(G755&gt;30,2,0)-IF(B755&gt;24,1,0)</x:f>
        <x:v>2</x:v>
      </x:c>
      <x:c r="L755" s="1" t="str">
        <x:f>IF(K755&gt;=3,"yes","no")</x:f>
        <x:v>no</x:v>
      </x:c>
      <x:c r="M755" s="1"/>
      <x:c r="N755" s="1"/>
      <x:c r="O755" s="1"/>
    </x:row>
    <x:row r="756">
      <x:c r="A756" s="1" t="str">
        <x:v>S0755</x:v>
      </x:c>
      <x:c r="B756" s="1" t="n">
        <x:v>35</x:v>
      </x:c>
      <x:c r="C756" s="1" t="str">
        <x:v>basic</x:v>
      </x:c>
      <x:c r="D756" s="8" t="n">
        <x:v>9.99</x:v>
      </x:c>
      <x:c r="E756" s="1" t="n">
        <x:v>0</x:v>
      </x:c>
      <x:c r="F756" s="1" t="n">
        <x:v>0</x:v>
      </x:c>
      <x:c r="G756" s="1" t="n">
        <x:v>57</x:v>
      </x:c>
      <x:c r="H756" s="1" t="n">
        <x:v>0</x:v>
      </x:c>
      <x:c r="I756" s="1" t="n">
        <x:v>0</x:v>
      </x:c>
      <x:c r="J756" s="1" t="str">
        <x:v>no</x:v>
      </x:c>
      <x:c r="K756" s="1" t="n">
        <x:f>2*H756+E756+IF(G756&gt;30,2,0)-IF(B756&gt;24,1,0)</x:f>
        <x:v>1</x:v>
      </x:c>
      <x:c r="L756" s="1" t="str">
        <x:f>IF(K756&gt;=3,"yes","no")</x:f>
        <x:v>no</x:v>
      </x:c>
      <x:c r="M756" s="1"/>
      <x:c r="N756" s="1"/>
      <x:c r="O756" s="1"/>
    </x:row>
    <x:row r="757">
      <x:c r="A757" s="1" t="str">
        <x:v>S0756</x:v>
      </x:c>
      <x:c r="B757" s="1" t="n">
        <x:v>13</x:v>
      </x:c>
      <x:c r="C757" s="1" t="str">
        <x:v>premium</x:v>
      </x:c>
      <x:c r="D757" s="8" t="n">
        <x:v>15.99</x:v>
      </x:c>
      <x:c r="E757" s="1" t="n">
        <x:v>1</x:v>
      </x:c>
      <x:c r="F757" s="1" t="n">
        <x:v>0</x:v>
      </x:c>
      <x:c r="G757" s="1" t="n">
        <x:v>35</x:v>
      </x:c>
      <x:c r="H757" s="1" t="n">
        <x:v>0</x:v>
      </x:c>
      <x:c r="I757" s="1" t="n">
        <x:v>0</x:v>
      </x:c>
      <x:c r="J757" s="1" t="str">
        <x:v>yes</x:v>
      </x:c>
      <x:c r="K757" s="1" t="n">
        <x:f>2*H757+E757+IF(G757&gt;30,2,0)-IF(B757&gt;24,1,0)</x:f>
        <x:v>3</x:v>
      </x:c>
      <x:c r="L757" s="1" t="str">
        <x:f>IF(K757&gt;=3,"yes","no")</x:f>
        <x:v>yes</x:v>
      </x:c>
      <x:c r="M757" s="1"/>
      <x:c r="N757" s="1"/>
      <x:c r="O757" s="1"/>
    </x:row>
    <x:row r="758">
      <x:c r="A758" s="1" t="str">
        <x:v>S0757</x:v>
      </x:c>
      <x:c r="B758" s="1" t="n">
        <x:v>28</x:v>
      </x:c>
      <x:c r="C758" s="1" t="str">
        <x:v>basic</x:v>
      </x:c>
      <x:c r="D758" s="8" t="n">
        <x:v>9.99</x:v>
      </x:c>
      <x:c r="E758" s="1" t="n">
        <x:v>1</x:v>
      </x:c>
      <x:c r="F758" s="1" t="n">
        <x:v>0</x:v>
      </x:c>
      <x:c r="G758" s="1" t="n">
        <x:v>50</x:v>
      </x:c>
      <x:c r="H758" s="1" t="n">
        <x:v>0</x:v>
      </x:c>
      <x:c r="I758" s="1" t="n">
        <x:v>0</x:v>
      </x:c>
      <x:c r="J758" s="1" t="str">
        <x:v>yes</x:v>
      </x:c>
      <x:c r="K758" s="1" t="n">
        <x:f>2*H758+E758+IF(G758&gt;30,2,0)-IF(B758&gt;24,1,0)</x:f>
        <x:v>2</x:v>
      </x:c>
      <x:c r="L758" s="1" t="str">
        <x:f>IF(K758&gt;=3,"yes","no")</x:f>
        <x:v>no</x:v>
      </x:c>
      <x:c r="M758" s="1"/>
      <x:c r="N758" s="1"/>
      <x:c r="O758" s="1"/>
    </x:row>
    <x:row r="759">
      <x:c r="A759" s="1" t="str">
        <x:v>S0758</x:v>
      </x:c>
      <x:c r="B759" s="1" t="n">
        <x:v>30</x:v>
      </x:c>
      <x:c r="C759" s="1" t="str">
        <x:v>basic</x:v>
      </x:c>
      <x:c r="D759" s="8" t="n">
        <x:v>9.99</x:v>
      </x:c>
      <x:c r="E759" s="1" t="n">
        <x:v>3</x:v>
      </x:c>
      <x:c r="F759" s="1" t="n">
        <x:v>18</x:v>
      </x:c>
      <x:c r="G759" s="1" t="n">
        <x:v>4</x:v>
      </x:c>
      <x:c r="H759" s="1" t="n">
        <x:v>1</x:v>
      </x:c>
      <x:c r="I759" s="1" t="n">
        <x:v>0</x:v>
      </x:c>
      <x:c r="J759" s="1" t="str">
        <x:v>yes</x:v>
      </x:c>
      <x:c r="K759" s="1" t="n">
        <x:f>2*H759+E759+IF(G759&gt;30,2,0)-IF(B759&gt;24,1,0)</x:f>
        <x:v>4</x:v>
      </x:c>
      <x:c r="L759" s="1" t="str">
        <x:f>IF(K759&gt;=3,"yes","no")</x:f>
        <x:v>yes</x:v>
      </x:c>
      <x:c r="M759" s="1"/>
      <x:c r="N759" s="1"/>
      <x:c r="O759" s="1"/>
    </x:row>
    <x:row r="760">
      <x:c r="A760" s="1" t="str">
        <x:v>S0759</x:v>
      </x:c>
      <x:c r="B760" s="1" t="n">
        <x:v>25</x:v>
      </x:c>
      <x:c r="C760" s="1" t="str">
        <x:v>basic</x:v>
      </x:c>
      <x:c r="D760" s="8" t="n">
        <x:v>9.99</x:v>
      </x:c>
      <x:c r="E760" s="1" t="n">
        <x:v>0</x:v>
      </x:c>
      <x:c r="F760" s="1" t="n">
        <x:v>13</x:v>
      </x:c>
      <x:c r="G760" s="1" t="n">
        <x:v>21</x:v>
      </x:c>
      <x:c r="H760" s="1" t="n">
        <x:v>0</x:v>
      </x:c>
      <x:c r="I760" s="1" t="n">
        <x:v>0</x:v>
      </x:c>
      <x:c r="J760" s="1" t="str">
        <x:v>no</x:v>
      </x:c>
      <x:c r="K760" s="1" t="n">
        <x:f>2*H760+E760+IF(G760&gt;30,2,0)-IF(B760&gt;24,1,0)</x:f>
        <x:v>-1</x:v>
      </x:c>
      <x:c r="L760" s="1" t="str">
        <x:f>IF(K760&gt;=3,"yes","no")</x:f>
        <x:v>no</x:v>
      </x:c>
      <x:c r="M760" s="1"/>
      <x:c r="N760" s="1"/>
      <x:c r="O760" s="1"/>
    </x:row>
    <x:row r="761">
      <x:c r="A761" s="1" t="str">
        <x:v>S0760</x:v>
      </x:c>
      <x:c r="B761" s="1" t="n">
        <x:v>22</x:v>
      </x:c>
      <x:c r="C761" s="1" t="str">
        <x:v>premium</x:v>
      </x:c>
      <x:c r="D761" s="8" t="n">
        <x:v>15.99</x:v>
      </x:c>
      <x:c r="E761" s="1" t="n">
        <x:v>0</x:v>
      </x:c>
      <x:c r="F761" s="1" t="n">
        <x:v>14</x:v>
      </x:c>
      <x:c r="G761" s="1" t="n">
        <x:v>7</x:v>
      </x:c>
      <x:c r="H761" s="1" t="n">
        <x:v>0</x:v>
      </x:c>
      <x:c r="I761" s="1" t="n">
        <x:v>0</x:v>
      </x:c>
      <x:c r="J761" s="1" t="str">
        <x:v>no</x:v>
      </x:c>
      <x:c r="K761" s="1" t="n">
        <x:f>2*H761+E761+IF(G761&gt;30,2,0)-IF(B761&gt;24,1,0)</x:f>
        <x:v>0</x:v>
      </x:c>
      <x:c r="L761" s="1" t="str">
        <x:f>IF(K761&gt;=3,"yes","no")</x:f>
        <x:v>no</x:v>
      </x:c>
      <x:c r="M761" s="1"/>
      <x:c r="N761" s="1"/>
      <x:c r="O761" s="1"/>
    </x:row>
    <x:row r="762">
      <x:c r="A762" s="1" t="str">
        <x:v>S0761</x:v>
      </x:c>
      <x:c r="B762" s="1" t="n">
        <x:v>14</x:v>
      </x:c>
      <x:c r="C762" s="1" t="str">
        <x:v>basic</x:v>
      </x:c>
      <x:c r="D762" s="8" t="n">
        <x:v>9.99</x:v>
      </x:c>
      <x:c r="E762" s="1" t="n">
        <x:v>0</x:v>
      </x:c>
      <x:c r="F762" s="1" t="n">
        <x:v>23</x:v>
      </x:c>
      <x:c r="G762" s="1" t="n">
        <x:v>7</x:v>
      </x:c>
      <x:c r="H762" s="1" t="n">
        <x:v>0</x:v>
      </x:c>
      <x:c r="I762" s="1" t="n">
        <x:v>1</x:v>
      </x:c>
      <x:c r="J762" s="1" t="str">
        <x:v>no</x:v>
      </x:c>
      <x:c r="K762" s="1" t="n">
        <x:f>2*H762+E762+IF(G762&gt;30,2,0)-IF(B762&gt;24,1,0)</x:f>
        <x:v>0</x:v>
      </x:c>
      <x:c r="L762" s="1" t="str">
        <x:f>IF(K762&gt;=3,"yes","no")</x:f>
        <x:v>no</x:v>
      </x:c>
      <x:c r="M762" s="1"/>
      <x:c r="N762" s="1"/>
      <x:c r="O762" s="1"/>
    </x:row>
    <x:row r="763">
      <x:c r="A763" s="1" t="str">
        <x:v>S0762</x:v>
      </x:c>
      <x:c r="B763" s="1" t="n">
        <x:v>21</x:v>
      </x:c>
      <x:c r="C763" s="1" t="str">
        <x:v>premium</x:v>
      </x:c>
      <x:c r="D763" s="8" t="n">
        <x:v>15.99</x:v>
      </x:c>
      <x:c r="E763" s="1" t="n">
        <x:v>0</x:v>
      </x:c>
      <x:c r="F763" s="1" t="n">
        <x:v>28</x:v>
      </x:c>
      <x:c r="G763" s="1" t="n">
        <x:v>2</x:v>
      </x:c>
      <x:c r="H763" s="1" t="n">
        <x:v>0</x:v>
      </x:c>
      <x:c r="I763" s="1" t="n">
        <x:v>0</x:v>
      </x:c>
      <x:c r="J763" s="1" t="str">
        <x:v>no</x:v>
      </x:c>
      <x:c r="K763" s="1" t="n">
        <x:f>2*H763+E763+IF(G763&gt;30,2,0)-IF(B763&gt;24,1,0)</x:f>
        <x:v>0</x:v>
      </x:c>
      <x:c r="L763" s="1" t="str">
        <x:f>IF(K763&gt;=3,"yes","no")</x:f>
        <x:v>no</x:v>
      </x:c>
      <x:c r="M763" s="1"/>
      <x:c r="N763" s="1"/>
      <x:c r="O763" s="1"/>
    </x:row>
    <x:row r="764">
      <x:c r="A764" s="1" t="str">
        <x:v>S0763</x:v>
      </x:c>
      <x:c r="B764" s="1" t="n">
        <x:v>44</x:v>
      </x:c>
      <x:c r="C764" s="1" t="str">
        <x:v>premium</x:v>
      </x:c>
      <x:c r="D764" s="8" t="n">
        <x:v>15.99</x:v>
      </x:c>
      <x:c r="E764" s="1" t="n">
        <x:v>0</x:v>
      </x:c>
      <x:c r="F764" s="1" t="n">
        <x:v>12</x:v>
      </x:c>
      <x:c r="G764" s="1" t="n">
        <x:v>27</x:v>
      </x:c>
      <x:c r="H764" s="1" t="n">
        <x:v>0</x:v>
      </x:c>
      <x:c r="I764" s="1" t="n">
        <x:v>0</x:v>
      </x:c>
      <x:c r="J764" s="1" t="str">
        <x:v>no</x:v>
      </x:c>
      <x:c r="K764" s="1" t="n">
        <x:f>2*H764+E764+IF(G764&gt;30,2,0)-IF(B764&gt;24,1,0)</x:f>
        <x:v>-1</x:v>
      </x:c>
      <x:c r="L764" s="1" t="str">
        <x:f>IF(K764&gt;=3,"yes","no")</x:f>
        <x:v>no</x:v>
      </x:c>
      <x:c r="M764" s="1"/>
      <x:c r="N764" s="1"/>
      <x:c r="O764" s="1"/>
    </x:row>
    <x:row r="765">
      <x:c r="A765" s="1" t="str">
        <x:v>S0764</x:v>
      </x:c>
      <x:c r="B765" s="1" t="n">
        <x:v>43</x:v>
      </x:c>
      <x:c r="C765" s="1" t="str">
        <x:v>basic</x:v>
      </x:c>
      <x:c r="D765" s="8" t="n">
        <x:v>9.99</x:v>
      </x:c>
      <x:c r="E765" s="1" t="n">
        <x:v>4</x:v>
      </x:c>
      <x:c r="F765" s="1" t="n">
        <x:v>12</x:v>
      </x:c>
      <x:c r="G765" s="1" t="n">
        <x:v>3</x:v>
      </x:c>
      <x:c r="H765" s="1" t="n">
        <x:v>0</x:v>
      </x:c>
      <x:c r="I765" s="1" t="n">
        <x:v>1</x:v>
      </x:c>
      <x:c r="J765" s="1" t="str">
        <x:v>no</x:v>
      </x:c>
      <x:c r="K765" s="1" t="n">
        <x:f>2*H765+E765+IF(G765&gt;30,2,0)-IF(B765&gt;24,1,0)</x:f>
        <x:v>3</x:v>
      </x:c>
      <x:c r="L765" s="1" t="str">
        <x:f>IF(K765&gt;=3,"yes","no")</x:f>
        <x:v>yes</x:v>
      </x:c>
      <x:c r="M765" s="1"/>
      <x:c r="N765" s="1"/>
      <x:c r="O765" s="1"/>
    </x:row>
    <x:row r="766">
      <x:c r="A766" s="1" t="str">
        <x:v>S0765</x:v>
      </x:c>
      <x:c r="B766" s="1" t="n">
        <x:v>11</x:v>
      </x:c>
      <x:c r="C766" s="1" t="str">
        <x:v>basic</x:v>
      </x:c>
      <x:c r="D766" s="8" t="n">
        <x:v>9.99</x:v>
      </x:c>
      <x:c r="E766" s="1" t="n">
        <x:v>2</x:v>
      </x:c>
      <x:c r="F766" s="1" t="n">
        <x:v>29</x:v>
      </x:c>
      <x:c r="G766" s="1" t="n">
        <x:v>18</x:v>
      </x:c>
      <x:c r="H766" s="1" t="n">
        <x:v>0</x:v>
      </x:c>
      <x:c r="I766" s="1" t="n">
        <x:v>0</x:v>
      </x:c>
      <x:c r="J766" s="1" t="str">
        <x:v>no</x:v>
      </x:c>
      <x:c r="K766" s="1" t="n">
        <x:f>2*H766+E766+IF(G766&gt;30,2,0)-IF(B766&gt;24,1,0)</x:f>
        <x:v>2</x:v>
      </x:c>
      <x:c r="L766" s="1" t="str">
        <x:f>IF(K766&gt;=3,"yes","no")</x:f>
        <x:v>no</x:v>
      </x:c>
      <x:c r="M766" s="1"/>
      <x:c r="N766" s="1"/>
      <x:c r="O766" s="1"/>
    </x:row>
    <x:row r="767">
      <x:c r="A767" s="1" t="str">
        <x:v>S0766</x:v>
      </x:c>
      <x:c r="B767" s="1" t="n">
        <x:v>8</x:v>
      </x:c>
      <x:c r="C767" s="1" t="str">
        <x:v>premium</x:v>
      </x:c>
      <x:c r="D767" s="8" t="n">
        <x:v>15.99</x:v>
      </x:c>
      <x:c r="E767" s="1" t="n">
        <x:v>4</x:v>
      </x:c>
      <x:c r="F767" s="1" t="n">
        <x:v>24</x:v>
      </x:c>
      <x:c r="G767" s="1" t="n">
        <x:v>9</x:v>
      </x:c>
      <x:c r="H767" s="1" t="n">
        <x:v>1</x:v>
      </x:c>
      <x:c r="I767" s="1" t="n">
        <x:v>0</x:v>
      </x:c>
      <x:c r="J767" s="1" t="str">
        <x:v>yes</x:v>
      </x:c>
      <x:c r="K767" s="1" t="n">
        <x:f>2*H767+E767+IF(G767&gt;30,2,0)-IF(B767&gt;24,1,0)</x:f>
        <x:v>6</x:v>
      </x:c>
      <x:c r="L767" s="1" t="str">
        <x:f>IF(K767&gt;=3,"yes","no")</x:f>
        <x:v>yes</x:v>
      </x:c>
      <x:c r="M767" s="1"/>
      <x:c r="N767" s="1"/>
      <x:c r="O767" s="1"/>
    </x:row>
    <x:row r="768">
      <x:c r="A768" s="1" t="str">
        <x:v>S0767</x:v>
      </x:c>
      <x:c r="B768" s="1" t="n">
        <x:v>38</x:v>
      </x:c>
      <x:c r="C768" s="1" t="str">
        <x:v>basic</x:v>
      </x:c>
      <x:c r="D768" s="8" t="n">
        <x:v>9.99</x:v>
      </x:c>
      <x:c r="E768" s="1" t="n">
        <x:v>0</x:v>
      </x:c>
      <x:c r="F768" s="1" t="n">
        <x:v>15</x:v>
      </x:c>
      <x:c r="G768" s="1" t="n">
        <x:v>0</x:v>
      </x:c>
      <x:c r="H768" s="1" t="n">
        <x:v>0</x:v>
      </x:c>
      <x:c r="I768" s="1" t="n">
        <x:v>0</x:v>
      </x:c>
      <x:c r="J768" s="1" t="str">
        <x:v>no</x:v>
      </x:c>
      <x:c r="K768" s="1" t="n">
        <x:f>2*H768+E768+IF(G768&gt;30,2,0)-IF(B768&gt;24,1,0)</x:f>
        <x:v>-1</x:v>
      </x:c>
      <x:c r="L768" s="1" t="str">
        <x:f>IF(K768&gt;=3,"yes","no")</x:f>
        <x:v>no</x:v>
      </x:c>
      <x:c r="M768" s="1"/>
      <x:c r="N768" s="1"/>
      <x:c r="O768" s="1"/>
    </x:row>
    <x:row r="769">
      <x:c r="A769" s="1" t="str">
        <x:v>S0768</x:v>
      </x:c>
      <x:c r="B769" s="1" t="n">
        <x:v>46</x:v>
      </x:c>
      <x:c r="C769" s="1" t="str">
        <x:v>premium</x:v>
      </x:c>
      <x:c r="D769" s="8" t="n">
        <x:v>15.99</x:v>
      </x:c>
      <x:c r="E769" s="1" t="n">
        <x:v>3</x:v>
      </x:c>
      <x:c r="F769" s="1" t="n">
        <x:v>25</x:v>
      </x:c>
      <x:c r="G769" s="1" t="n">
        <x:v>4</x:v>
      </x:c>
      <x:c r="H769" s="1" t="n">
        <x:v>0</x:v>
      </x:c>
      <x:c r="I769" s="1" t="n">
        <x:v>1</x:v>
      </x:c>
      <x:c r="J769" s="1" t="str">
        <x:v>no</x:v>
      </x:c>
      <x:c r="K769" s="1" t="n">
        <x:f>2*H769+E769+IF(G769&gt;30,2,0)-IF(B769&gt;24,1,0)</x:f>
        <x:v>2</x:v>
      </x:c>
      <x:c r="L769" s="1" t="str">
        <x:f>IF(K769&gt;=3,"yes","no")</x:f>
        <x:v>no</x:v>
      </x:c>
      <x:c r="M769" s="1"/>
      <x:c r="N769" s="1"/>
      <x:c r="O769" s="1"/>
    </x:row>
    <x:row r="770">
      <x:c r="A770" s="1" t="str">
        <x:v>S0769</x:v>
      </x:c>
      <x:c r="B770" s="1" t="n">
        <x:v>35</x:v>
      </x:c>
      <x:c r="C770" s="1" t="str">
        <x:v>premium</x:v>
      </x:c>
      <x:c r="D770" s="8" t="n">
        <x:v>15.99</x:v>
      </x:c>
      <x:c r="E770" s="1" t="n">
        <x:v>3</x:v>
      </x:c>
      <x:c r="F770" s="1" t="n">
        <x:v>14</x:v>
      </x:c>
      <x:c r="G770" s="1" t="n">
        <x:v>1</x:v>
      </x:c>
      <x:c r="H770" s="1" t="n">
        <x:v>1</x:v>
      </x:c>
      <x:c r="I770" s="1" t="n">
        <x:v>0</x:v>
      </x:c>
      <x:c r="J770" s="1" t="str">
        <x:v>no</x:v>
      </x:c>
      <x:c r="K770" s="1" t="n">
        <x:f>2*H770+E770+IF(G770&gt;30,2,0)-IF(B770&gt;24,1,0)</x:f>
        <x:v>4</x:v>
      </x:c>
      <x:c r="L770" s="1" t="str">
        <x:f>IF(K770&gt;=3,"yes","no")</x:f>
        <x:v>yes</x:v>
      </x:c>
      <x:c r="M770" s="1"/>
      <x:c r="N770" s="1"/>
      <x:c r="O770" s="1"/>
    </x:row>
    <x:row r="771">
      <x:c r="A771" s="1" t="str">
        <x:v>S0770</x:v>
      </x:c>
      <x:c r="B771" s="1" t="n">
        <x:v>2</x:v>
      </x:c>
      <x:c r="C771" s="1" t="str">
        <x:v>basic</x:v>
      </x:c>
      <x:c r="D771" s="8" t="n">
        <x:v>9.99</x:v>
      </x:c>
      <x:c r="E771" s="1" t="n">
        <x:v>0</x:v>
      </x:c>
      <x:c r="F771" s="1" t="n">
        <x:v>4</x:v>
      </x:c>
      <x:c r="G771" s="1" t="n">
        <x:v>4</x:v>
      </x:c>
      <x:c r="H771" s="1" t="n">
        <x:v>0</x:v>
      </x:c>
      <x:c r="I771" s="1" t="n">
        <x:v>0</x:v>
      </x:c>
      <x:c r="J771" s="1" t="str">
        <x:v>no</x:v>
      </x:c>
      <x:c r="K771" s="1" t="n">
        <x:f>2*H771+E771+IF(G771&gt;30,2,0)-IF(B771&gt;24,1,0)</x:f>
        <x:v>0</x:v>
      </x:c>
      <x:c r="L771" s="1" t="str">
        <x:f>IF(K771&gt;=3,"yes","no")</x:f>
        <x:v>no</x:v>
      </x:c>
      <x:c r="M771" s="1"/>
      <x:c r="N771" s="1"/>
      <x:c r="O771" s="1"/>
    </x:row>
    <x:row r="772">
      <x:c r="A772" s="1" t="str">
        <x:v>S0771</x:v>
      </x:c>
      <x:c r="B772" s="1" t="n">
        <x:v>1</x:v>
      </x:c>
      <x:c r="C772" s="1" t="str">
        <x:v>basic</x:v>
      </x:c>
      <x:c r="D772" s="8" t="n">
        <x:v>9.99</x:v>
      </x:c>
      <x:c r="E772" s="1" t="n">
        <x:v>2</x:v>
      </x:c>
      <x:c r="F772" s="1" t="n">
        <x:v>22</x:v>
      </x:c>
      <x:c r="G772" s="1" t="n">
        <x:v>1</x:v>
      </x:c>
      <x:c r="H772" s="1" t="n">
        <x:v>0</x:v>
      </x:c>
      <x:c r="I772" s="1" t="n">
        <x:v>0</x:v>
      </x:c>
      <x:c r="J772" s="1" t="str">
        <x:v>no</x:v>
      </x:c>
      <x:c r="K772" s="1" t="n">
        <x:f>2*H772+E772+IF(G772&gt;30,2,0)-IF(B772&gt;24,1,0)</x:f>
        <x:v>2</x:v>
      </x:c>
      <x:c r="L772" s="1" t="str">
        <x:f>IF(K772&gt;=3,"yes","no")</x:f>
        <x:v>no</x:v>
      </x:c>
      <x:c r="M772" s="1"/>
      <x:c r="N772" s="1"/>
      <x:c r="O772" s="1"/>
    </x:row>
    <x:row r="773">
      <x:c r="A773" s="1" t="str">
        <x:v>S0772</x:v>
      </x:c>
      <x:c r="B773" s="1" t="n">
        <x:v>22</x:v>
      </x:c>
      <x:c r="C773" s="1" t="str">
        <x:v>basic</x:v>
      </x:c>
      <x:c r="D773" s="8" t="n">
        <x:v>9.99</x:v>
      </x:c>
      <x:c r="E773" s="1" t="n">
        <x:v>1</x:v>
      </x:c>
      <x:c r="F773" s="1" t="n">
        <x:v>0</x:v>
      </x:c>
      <x:c r="G773" s="1" t="n">
        <x:v>52</x:v>
      </x:c>
      <x:c r="H773" s="1" t="n">
        <x:v>0</x:v>
      </x:c>
      <x:c r="I773" s="1" t="n">
        <x:v>0</x:v>
      </x:c>
      <x:c r="J773" s="1" t="str">
        <x:v>yes</x:v>
      </x:c>
      <x:c r="K773" s="1" t="n">
        <x:f>2*H773+E773+IF(G773&gt;30,2,0)-IF(B773&gt;24,1,0)</x:f>
        <x:v>3</x:v>
      </x:c>
      <x:c r="L773" s="1" t="str">
        <x:f>IF(K773&gt;=3,"yes","no")</x:f>
        <x:v>yes</x:v>
      </x:c>
      <x:c r="M773" s="1"/>
      <x:c r="N773" s="1"/>
      <x:c r="O773" s="1"/>
    </x:row>
    <x:row r="774">
      <x:c r="A774" s="1" t="str">
        <x:v>S0773</x:v>
      </x:c>
      <x:c r="B774" s="1" t="n">
        <x:v>47</x:v>
      </x:c>
      <x:c r="C774" s="1" t="str">
        <x:v>basic</x:v>
      </x:c>
      <x:c r="D774" s="8" t="n">
        <x:v>9.99</x:v>
      </x:c>
      <x:c r="E774" s="1" t="n">
        <x:v>0</x:v>
      </x:c>
      <x:c r="F774" s="1" t="n">
        <x:v>14</x:v>
      </x:c>
      <x:c r="G774" s="1" t="n">
        <x:v>13</x:v>
      </x:c>
      <x:c r="H774" s="1" t="n">
        <x:v>0</x:v>
      </x:c>
      <x:c r="I774" s="1" t="n">
        <x:v>0</x:v>
      </x:c>
      <x:c r="J774" s="1" t="str">
        <x:v>no</x:v>
      </x:c>
      <x:c r="K774" s="1" t="n">
        <x:f>2*H774+E774+IF(G774&gt;30,2,0)-IF(B774&gt;24,1,0)</x:f>
        <x:v>-1</x:v>
      </x:c>
      <x:c r="L774" s="1" t="str">
        <x:f>IF(K774&gt;=3,"yes","no")</x:f>
        <x:v>no</x:v>
      </x:c>
      <x:c r="M774" s="1"/>
      <x:c r="N774" s="1"/>
      <x:c r="O774" s="1"/>
    </x:row>
    <x:row r="775">
      <x:c r="A775" s="1" t="str">
        <x:v>S0774</x:v>
      </x:c>
      <x:c r="B775" s="1" t="n">
        <x:v>19</x:v>
      </x:c>
      <x:c r="C775" s="1" t="str">
        <x:v>basic</x:v>
      </x:c>
      <x:c r="D775" s="8" t="n">
        <x:v>9.99</x:v>
      </x:c>
      <x:c r="E775" s="1" t="n">
        <x:v>0</x:v>
      </x:c>
      <x:c r="F775" s="1" t="n">
        <x:v>21</x:v>
      </x:c>
      <x:c r="G775" s="1" t="n">
        <x:v>5</x:v>
      </x:c>
      <x:c r="H775" s="1" t="n">
        <x:v>0</x:v>
      </x:c>
      <x:c r="I775" s="1" t="n">
        <x:v>0</x:v>
      </x:c>
      <x:c r="J775" s="1" t="str">
        <x:v>no</x:v>
      </x:c>
      <x:c r="K775" s="1" t="n">
        <x:f>2*H775+E775+IF(G775&gt;30,2,0)-IF(B775&gt;24,1,0)</x:f>
        <x:v>0</x:v>
      </x:c>
      <x:c r="L775" s="1" t="str">
        <x:f>IF(K775&gt;=3,"yes","no")</x:f>
        <x:v>no</x:v>
      </x:c>
      <x:c r="M775" s="1"/>
      <x:c r="N775" s="1"/>
      <x:c r="O775" s="1"/>
    </x:row>
    <x:row r="776">
      <x:c r="A776" s="1" t="str">
        <x:v>S0775</x:v>
      </x:c>
      <x:c r="B776" s="1" t="n">
        <x:v>1</x:v>
      </x:c>
      <x:c r="C776" s="1" t="str">
        <x:v>premium</x:v>
      </x:c>
      <x:c r="D776" s="8" t="n">
        <x:v>15.99</x:v>
      </x:c>
      <x:c r="E776" s="1" t="n">
        <x:v>0</x:v>
      </x:c>
      <x:c r="F776" s="1" t="n">
        <x:v>15</x:v>
      </x:c>
      <x:c r="G776" s="1" t="n">
        <x:v>4</x:v>
      </x:c>
      <x:c r="H776" s="1" t="n">
        <x:v>0</x:v>
      </x:c>
      <x:c r="I776" s="1" t="n">
        <x:v>1</x:v>
      </x:c>
      <x:c r="J776" s="1" t="str">
        <x:v>no</x:v>
      </x:c>
      <x:c r="K776" s="1" t="n">
        <x:f>2*H776+E776+IF(G776&gt;30,2,0)-IF(B776&gt;24,1,0)</x:f>
        <x:v>0</x:v>
      </x:c>
      <x:c r="L776" s="1" t="str">
        <x:f>IF(K776&gt;=3,"yes","no")</x:f>
        <x:v>no</x:v>
      </x:c>
      <x:c r="M776" s="1"/>
      <x:c r="N776" s="1"/>
      <x:c r="O776" s="1"/>
    </x:row>
    <x:row r="777">
      <x:c r="A777" s="1" t="str">
        <x:v>S0776</x:v>
      </x:c>
      <x:c r="B777" s="1" t="n">
        <x:v>41</x:v>
      </x:c>
      <x:c r="C777" s="1" t="str">
        <x:v>premium</x:v>
      </x:c>
      <x:c r="D777" s="8" t="n">
        <x:v>15.99</x:v>
      </x:c>
      <x:c r="E777" s="1" t="n">
        <x:v>0</x:v>
      </x:c>
      <x:c r="F777" s="1" t="n">
        <x:v>4</x:v>
      </x:c>
      <x:c r="G777" s="1" t="n">
        <x:v>27</x:v>
      </x:c>
      <x:c r="H777" s="1" t="n">
        <x:v>0</x:v>
      </x:c>
      <x:c r="I777" s="1" t="n">
        <x:v>0</x:v>
      </x:c>
      <x:c r="J777" s="1" t="str">
        <x:v>no</x:v>
      </x:c>
      <x:c r="K777" s="1" t="n">
        <x:f>2*H777+E777+IF(G777&gt;30,2,0)-IF(B777&gt;24,1,0)</x:f>
        <x:v>-1</x:v>
      </x:c>
      <x:c r="L777" s="1" t="str">
        <x:f>IF(K777&gt;=3,"yes","no")</x:f>
        <x:v>no</x:v>
      </x:c>
      <x:c r="M777" s="1"/>
      <x:c r="N777" s="1"/>
      <x:c r="O777" s="1"/>
    </x:row>
    <x:row r="778">
      <x:c r="A778" s="1" t="str">
        <x:v>S0777</x:v>
      </x:c>
      <x:c r="B778" s="1" t="n">
        <x:v>20</x:v>
      </x:c>
      <x:c r="C778" s="1" t="str">
        <x:v>basic</x:v>
      </x:c>
      <x:c r="D778" s="8" t="n">
        <x:v>9.99</x:v>
      </x:c>
      <x:c r="E778" s="1" t="n">
        <x:v>0</x:v>
      </x:c>
      <x:c r="F778" s="1" t="n">
        <x:v>2</x:v>
      </x:c>
      <x:c r="G778" s="1" t="n">
        <x:v>20</x:v>
      </x:c>
      <x:c r="H778" s="1" t="n">
        <x:v>0</x:v>
      </x:c>
      <x:c r="I778" s="1" t="n">
        <x:v>0</x:v>
      </x:c>
      <x:c r="J778" s="1" t="str">
        <x:v>yes</x:v>
      </x:c>
      <x:c r="K778" s="1" t="n">
        <x:f>2*H778+E778+IF(G778&gt;30,2,0)-IF(B778&gt;24,1,0)</x:f>
        <x:v>0</x:v>
      </x:c>
      <x:c r="L778" s="1" t="str">
        <x:f>IF(K778&gt;=3,"yes","no")</x:f>
        <x:v>no</x:v>
      </x:c>
      <x:c r="M778" s="1"/>
      <x:c r="N778" s="1"/>
      <x:c r="O778" s="1"/>
    </x:row>
    <x:row r="779">
      <x:c r="A779" s="1" t="str">
        <x:v>S0778</x:v>
      </x:c>
      <x:c r="B779" s="1" t="n">
        <x:v>7</x:v>
      </x:c>
      <x:c r="C779" s="1" t="str">
        <x:v>basic</x:v>
      </x:c>
      <x:c r="D779" s="8" t="n">
        <x:v>9.99</x:v>
      </x:c>
      <x:c r="E779" s="1" t="n">
        <x:v>0</x:v>
      </x:c>
      <x:c r="F779" s="1" t="n">
        <x:v>6</x:v>
      </x:c>
      <x:c r="G779" s="1" t="n">
        <x:v>4</x:v>
      </x:c>
      <x:c r="H779" s="1" t="n">
        <x:v>0</x:v>
      </x:c>
      <x:c r="I779" s="1" t="n">
        <x:v>0</x:v>
      </x:c>
      <x:c r="J779" s="1" t="str">
        <x:v>no</x:v>
      </x:c>
      <x:c r="K779" s="1" t="n">
        <x:f>2*H779+E779+IF(G779&gt;30,2,0)-IF(B779&gt;24,1,0)</x:f>
        <x:v>0</x:v>
      </x:c>
      <x:c r="L779" s="1" t="str">
        <x:f>IF(K779&gt;=3,"yes","no")</x:f>
        <x:v>no</x:v>
      </x:c>
      <x:c r="M779" s="1"/>
      <x:c r="N779" s="1"/>
      <x:c r="O779" s="1"/>
    </x:row>
    <x:row r="780">
      <x:c r="A780" s="1" t="str">
        <x:v>S0779</x:v>
      </x:c>
      <x:c r="B780" s="1" t="n">
        <x:v>26</x:v>
      </x:c>
      <x:c r="C780" s="1" t="str">
        <x:v>basic</x:v>
      </x:c>
      <x:c r="D780" s="8" t="n">
        <x:v>9.99</x:v>
      </x:c>
      <x:c r="E780" s="1" t="n">
        <x:v>2</x:v>
      </x:c>
      <x:c r="F780" s="1" t="n">
        <x:v>13</x:v>
      </x:c>
      <x:c r="G780" s="1" t="n">
        <x:v>26</x:v>
      </x:c>
      <x:c r="H780" s="1" t="n">
        <x:v>0</x:v>
      </x:c>
      <x:c r="I780" s="1" t="n">
        <x:v>1</x:v>
      </x:c>
      <x:c r="J780" s="1" t="str">
        <x:v>yes</x:v>
      </x:c>
      <x:c r="K780" s="1" t="n">
        <x:f>2*H780+E780+IF(G780&gt;30,2,0)-IF(B780&gt;24,1,0)</x:f>
        <x:v>1</x:v>
      </x:c>
      <x:c r="L780" s="1" t="str">
        <x:f>IF(K780&gt;=3,"yes","no")</x:f>
        <x:v>no</x:v>
      </x:c>
      <x:c r="M780" s="1"/>
      <x:c r="N780" s="1"/>
      <x:c r="O780" s="1"/>
    </x:row>
    <x:row r="781">
      <x:c r="A781" s="1" t="str">
        <x:v>S0780</x:v>
      </x:c>
      <x:c r="B781" s="1" t="n">
        <x:v>36</x:v>
      </x:c>
      <x:c r="C781" s="1" t="str">
        <x:v>basic</x:v>
      </x:c>
      <x:c r="D781" s="8" t="n">
        <x:v>9.99</x:v>
      </x:c>
      <x:c r="E781" s="1" t="n">
        <x:v>2</x:v>
      </x:c>
      <x:c r="F781" s="1" t="n">
        <x:v>14</x:v>
      </x:c>
      <x:c r="G781" s="1" t="n">
        <x:v>5</x:v>
      </x:c>
      <x:c r="H781" s="1" t="n">
        <x:v>0</x:v>
      </x:c>
      <x:c r="I781" s="1" t="n">
        <x:v>0</x:v>
      </x:c>
      <x:c r="J781" s="1" t="str">
        <x:v>no</x:v>
      </x:c>
      <x:c r="K781" s="1" t="n">
        <x:f>2*H781+E781+IF(G781&gt;30,2,0)-IF(B781&gt;24,1,0)</x:f>
        <x:v>1</x:v>
      </x:c>
      <x:c r="L781" s="1" t="str">
        <x:f>IF(K781&gt;=3,"yes","no")</x:f>
        <x:v>no</x:v>
      </x:c>
      <x:c r="M781" s="1"/>
      <x:c r="N781" s="1"/>
      <x:c r="O781" s="1"/>
    </x:row>
    <x:row r="782">
      <x:c r="A782" s="1" t="str">
        <x:v>S0781</x:v>
      </x:c>
      <x:c r="B782" s="1" t="n">
        <x:v>41</x:v>
      </x:c>
      <x:c r="C782" s="1" t="str">
        <x:v>basic</x:v>
      </x:c>
      <x:c r="D782" s="8" t="n">
        <x:v>9.99</x:v>
      </x:c>
      <x:c r="E782" s="1" t="n">
        <x:v>3</x:v>
      </x:c>
      <x:c r="F782" s="1" t="n">
        <x:v>0</x:v>
      </x:c>
      <x:c r="G782" s="1" t="n">
        <x:v>45</x:v>
      </x:c>
      <x:c r="H782" s="1" t="n">
        <x:v>0</x:v>
      </x:c>
      <x:c r="I782" s="1" t="n">
        <x:v>0</x:v>
      </x:c>
      <x:c r="J782" s="1" t="str">
        <x:v>no</x:v>
      </x:c>
      <x:c r="K782" s="1" t="n">
        <x:f>2*H782+E782+IF(G782&gt;30,2,0)-IF(B782&gt;24,1,0)</x:f>
        <x:v>4</x:v>
      </x:c>
      <x:c r="L782" s="1" t="str">
        <x:f>IF(K782&gt;=3,"yes","no")</x:f>
        <x:v>yes</x:v>
      </x:c>
      <x:c r="M782" s="1"/>
      <x:c r="N782" s="1"/>
      <x:c r="O782" s="1"/>
    </x:row>
    <x:row r="783">
      <x:c r="A783" s="1" t="str">
        <x:v>S0782</x:v>
      </x:c>
      <x:c r="B783" s="1" t="n">
        <x:v>4</x:v>
      </x:c>
      <x:c r="C783" s="1" t="str">
        <x:v>basic</x:v>
      </x:c>
      <x:c r="D783" s="8" t="n">
        <x:v>9.99</x:v>
      </x:c>
      <x:c r="E783" s="1" t="n">
        <x:v>2</x:v>
      </x:c>
      <x:c r="F783" s="1" t="n">
        <x:v>0</x:v>
      </x:c>
      <x:c r="G783" s="1" t="n">
        <x:v>53</x:v>
      </x:c>
      <x:c r="H783" s="1" t="n">
        <x:v>0</x:v>
      </x:c>
      <x:c r="I783" s="1" t="n">
        <x:v>0</x:v>
      </x:c>
      <x:c r="J783" s="1" t="str">
        <x:v>yes</x:v>
      </x:c>
      <x:c r="K783" s="1" t="n">
        <x:f>2*H783+E783+IF(G783&gt;30,2,0)-IF(B783&gt;24,1,0)</x:f>
        <x:v>4</x:v>
      </x:c>
      <x:c r="L783" s="1" t="str">
        <x:f>IF(K783&gt;=3,"yes","no")</x:f>
        <x:v>yes</x:v>
      </x:c>
      <x:c r="M783" s="1"/>
      <x:c r="N783" s="1"/>
      <x:c r="O783" s="1"/>
    </x:row>
    <x:row r="784">
      <x:c r="A784" s="1" t="str">
        <x:v>S0783</x:v>
      </x:c>
      <x:c r="B784" s="1" t="n">
        <x:v>33</x:v>
      </x:c>
      <x:c r="C784" s="1" t="str">
        <x:v>premium</x:v>
      </x:c>
      <x:c r="D784" s="8" t="n">
        <x:v>15.99</x:v>
      </x:c>
      <x:c r="E784" s="1" t="n">
        <x:v>0</x:v>
      </x:c>
      <x:c r="F784" s="1" t="n">
        <x:v>1</x:v>
      </x:c>
      <x:c r="G784" s="1" t="n">
        <x:v>27</x:v>
      </x:c>
      <x:c r="H784" s="1" t="n">
        <x:v>0</x:v>
      </x:c>
      <x:c r="I784" s="1" t="n">
        <x:v>0</x:v>
      </x:c>
      <x:c r="J784" s="1" t="str">
        <x:v>no</x:v>
      </x:c>
      <x:c r="K784" s="1" t="n">
        <x:f>2*H784+E784+IF(G784&gt;30,2,0)-IF(B784&gt;24,1,0)</x:f>
        <x:v>-1</x:v>
      </x:c>
      <x:c r="L784" s="1" t="str">
        <x:f>IF(K784&gt;=3,"yes","no")</x:f>
        <x:v>no</x:v>
      </x:c>
      <x:c r="M784" s="1"/>
      <x:c r="N784" s="1"/>
      <x:c r="O784" s="1"/>
    </x:row>
    <x:row r="785">
      <x:c r="A785" s="1" t="str">
        <x:v>S0784</x:v>
      </x:c>
      <x:c r="B785" s="1" t="n">
        <x:v>14</x:v>
      </x:c>
      <x:c r="C785" s="1" t="str">
        <x:v>basic</x:v>
      </x:c>
      <x:c r="D785" s="8" t="n">
        <x:v>9.99</x:v>
      </x:c>
      <x:c r="E785" s="1" t="n">
        <x:v>0</x:v>
      </x:c>
      <x:c r="F785" s="1" t="n">
        <x:v>12</x:v>
      </x:c>
      <x:c r="G785" s="1" t="n">
        <x:v>7</x:v>
      </x:c>
      <x:c r="H785" s="1" t="n">
        <x:v>0</x:v>
      </x:c>
      <x:c r="I785" s="1" t="n">
        <x:v>0</x:v>
      </x:c>
      <x:c r="J785" s="1" t="str">
        <x:v>no</x:v>
      </x:c>
      <x:c r="K785" s="1" t="n">
        <x:f>2*H785+E785+IF(G785&gt;30,2,0)-IF(B785&gt;24,1,0)</x:f>
        <x:v>0</x:v>
      </x:c>
      <x:c r="L785" s="1" t="str">
        <x:f>IF(K785&gt;=3,"yes","no")</x:f>
        <x:v>no</x:v>
      </x:c>
      <x:c r="M785" s="1"/>
      <x:c r="N785" s="1"/>
      <x:c r="O785" s="1"/>
    </x:row>
    <x:row r="786">
      <x:c r="A786" s="1" t="str">
        <x:v>S0785</x:v>
      </x:c>
      <x:c r="B786" s="1" t="n">
        <x:v>16</x:v>
      </x:c>
      <x:c r="C786" s="1" t="str">
        <x:v>basic</x:v>
      </x:c>
      <x:c r="D786" s="8" t="n">
        <x:v>9.99</x:v>
      </x:c>
      <x:c r="E786" s="1" t="n">
        <x:v>0</x:v>
      </x:c>
      <x:c r="F786" s="1" t="n">
        <x:v>13</x:v>
      </x:c>
      <x:c r="G786" s="1" t="n">
        <x:v>7</x:v>
      </x:c>
      <x:c r="H786" s="1" t="n">
        <x:v>0</x:v>
      </x:c>
      <x:c r="I786" s="1" t="n">
        <x:v>0</x:v>
      </x:c>
      <x:c r="J786" s="1" t="str">
        <x:v>no</x:v>
      </x:c>
      <x:c r="K786" s="1" t="n">
        <x:f>2*H786+E786+IF(G786&gt;30,2,0)-IF(B786&gt;24,1,0)</x:f>
        <x:v>0</x:v>
      </x:c>
      <x:c r="L786" s="1" t="str">
        <x:f>IF(K786&gt;=3,"yes","no")</x:f>
        <x:v>no</x:v>
      </x:c>
      <x:c r="M786" s="1"/>
      <x:c r="N786" s="1"/>
      <x:c r="O786" s="1"/>
    </x:row>
    <x:row r="787">
      <x:c r="A787" s="1" t="str">
        <x:v>S0786</x:v>
      </x:c>
      <x:c r="B787" s="1" t="n">
        <x:v>37</x:v>
      </x:c>
      <x:c r="C787" s="1" t="str">
        <x:v>premium</x:v>
      </x:c>
      <x:c r="D787" s="8" t="n">
        <x:v>15.99</x:v>
      </x:c>
      <x:c r="E787" s="1" t="n">
        <x:v>0</x:v>
      </x:c>
      <x:c r="F787" s="1" t="n">
        <x:v>25</x:v>
      </x:c>
      <x:c r="G787" s="1" t="n">
        <x:v>16</x:v>
      </x:c>
      <x:c r="H787" s="1" t="n">
        <x:v>0</x:v>
      </x:c>
      <x:c r="I787" s="1" t="n">
        <x:v>0</x:v>
      </x:c>
      <x:c r="J787" s="1" t="str">
        <x:v>no</x:v>
      </x:c>
      <x:c r="K787" s="1" t="n">
        <x:f>2*H787+E787+IF(G787&gt;30,2,0)-IF(B787&gt;24,1,0)</x:f>
        <x:v>-1</x:v>
      </x:c>
      <x:c r="L787" s="1" t="str">
        <x:f>IF(K787&gt;=3,"yes","no")</x:f>
        <x:v>no</x:v>
      </x:c>
      <x:c r="M787" s="1"/>
      <x:c r="N787" s="1"/>
      <x:c r="O787" s="1"/>
    </x:row>
    <x:row r="788">
      <x:c r="A788" s="1" t="str">
        <x:v>S0787</x:v>
      </x:c>
      <x:c r="B788" s="1" t="n">
        <x:v>40</x:v>
      </x:c>
      <x:c r="C788" s="1" t="str">
        <x:v>premium</x:v>
      </x:c>
      <x:c r="D788" s="8" t="n">
        <x:v>15.99</x:v>
      </x:c>
      <x:c r="E788" s="1" t="n">
        <x:v>1</x:v>
      </x:c>
      <x:c r="F788" s="1" t="n">
        <x:v>23</x:v>
      </x:c>
      <x:c r="G788" s="1" t="n">
        <x:v>3</x:v>
      </x:c>
      <x:c r="H788" s="1" t="n">
        <x:v>0</x:v>
      </x:c>
      <x:c r="I788" s="1" t="n">
        <x:v>0</x:v>
      </x:c>
      <x:c r="J788" s="1" t="str">
        <x:v>no</x:v>
      </x:c>
      <x:c r="K788" s="1" t="n">
        <x:f>2*H788+E788+IF(G788&gt;30,2,0)-IF(B788&gt;24,1,0)</x:f>
        <x:v>0</x:v>
      </x:c>
      <x:c r="L788" s="1" t="str">
        <x:f>IF(K788&gt;=3,"yes","no")</x:f>
        <x:v>no</x:v>
      </x:c>
      <x:c r="M788" s="1"/>
      <x:c r="N788" s="1"/>
      <x:c r="O788" s="1"/>
    </x:row>
    <x:row r="789">
      <x:c r="A789" s="1" t="str">
        <x:v>S0788</x:v>
      </x:c>
      <x:c r="B789" s="1" t="n">
        <x:v>48</x:v>
      </x:c>
      <x:c r="C789" s="1" t="str">
        <x:v>premium</x:v>
      </x:c>
      <x:c r="D789" s="8" t="n">
        <x:v>15.99</x:v>
      </x:c>
      <x:c r="E789" s="1" t="n">
        <x:v>1</x:v>
      </x:c>
      <x:c r="F789" s="1" t="n">
        <x:v>0</x:v>
      </x:c>
      <x:c r="G789" s="1" t="n">
        <x:v>43</x:v>
      </x:c>
      <x:c r="H789" s="1" t="n">
        <x:v>0</x:v>
      </x:c>
      <x:c r="I789" s="1" t="n">
        <x:v>0</x:v>
      </x:c>
      <x:c r="J789" s="1" t="str">
        <x:v>no</x:v>
      </x:c>
      <x:c r="K789" s="1" t="n">
        <x:f>2*H789+E789+IF(G789&gt;30,2,0)-IF(B789&gt;24,1,0)</x:f>
        <x:v>2</x:v>
      </x:c>
      <x:c r="L789" s="1" t="str">
        <x:f>IF(K789&gt;=3,"yes","no")</x:f>
        <x:v>no</x:v>
      </x:c>
      <x:c r="M789" s="1"/>
      <x:c r="N789" s="1"/>
      <x:c r="O789" s="1"/>
    </x:row>
    <x:row r="790">
      <x:c r="A790" s="1" t="str">
        <x:v>S0789</x:v>
      </x:c>
      <x:c r="B790" s="1" t="n">
        <x:v>33</x:v>
      </x:c>
      <x:c r="C790" s="1" t="str">
        <x:v>premium</x:v>
      </x:c>
      <x:c r="D790" s="8" t="n">
        <x:v>15.99</x:v>
      </x:c>
      <x:c r="E790" s="1" t="n">
        <x:v>1</x:v>
      </x:c>
      <x:c r="F790" s="1" t="n">
        <x:v>14</x:v>
      </x:c>
      <x:c r="G790" s="1" t="n">
        <x:v>13</x:v>
      </x:c>
      <x:c r="H790" s="1" t="n">
        <x:v>0</x:v>
      </x:c>
      <x:c r="I790" s="1" t="n">
        <x:v>1</x:v>
      </x:c>
      <x:c r="J790" s="1" t="str">
        <x:v>no</x:v>
      </x:c>
      <x:c r="K790" s="1" t="n">
        <x:f>2*H790+E790+IF(G790&gt;30,2,0)-IF(B790&gt;24,1,0)</x:f>
        <x:v>0</x:v>
      </x:c>
      <x:c r="L790" s="1" t="str">
        <x:f>IF(K790&gt;=3,"yes","no")</x:f>
        <x:v>no</x:v>
      </x:c>
      <x:c r="M790" s="1"/>
      <x:c r="N790" s="1"/>
      <x:c r="O790" s="1"/>
    </x:row>
    <x:row r="791">
      <x:c r="A791" s="1" t="str">
        <x:v>S0790</x:v>
      </x:c>
      <x:c r="B791" s="1" t="n">
        <x:v>35</x:v>
      </x:c>
      <x:c r="C791" s="1" t="str">
        <x:v>premium</x:v>
      </x:c>
      <x:c r="D791" s="8" t="n">
        <x:v>15.99</x:v>
      </x:c>
      <x:c r="E791" s="1" t="n">
        <x:v>1</x:v>
      </x:c>
      <x:c r="F791" s="1" t="n">
        <x:v>7</x:v>
      </x:c>
      <x:c r="G791" s="1" t="n">
        <x:v>0</x:v>
      </x:c>
      <x:c r="H791" s="1" t="n">
        <x:v>0</x:v>
      </x:c>
      <x:c r="I791" s="1" t="n">
        <x:v>0</x:v>
      </x:c>
      <x:c r="J791" s="1" t="str">
        <x:v>no</x:v>
      </x:c>
      <x:c r="K791" s="1" t="n">
        <x:f>2*H791+E791+IF(G791&gt;30,2,0)-IF(B791&gt;24,1,0)</x:f>
        <x:v>0</x:v>
      </x:c>
      <x:c r="L791" s="1" t="str">
        <x:f>IF(K791&gt;=3,"yes","no")</x:f>
        <x:v>no</x:v>
      </x:c>
      <x:c r="M791" s="1"/>
      <x:c r="N791" s="1"/>
      <x:c r="O791" s="1"/>
    </x:row>
    <x:row r="792">
      <x:c r="A792" s="1" t="str">
        <x:v>S0791</x:v>
      </x:c>
      <x:c r="B792" s="1" t="n">
        <x:v>47</x:v>
      </x:c>
      <x:c r="C792" s="1" t="str">
        <x:v>premium</x:v>
      </x:c>
      <x:c r="D792" s="8" t="n">
        <x:v>15.99</x:v>
      </x:c>
      <x:c r="E792" s="1" t="n">
        <x:v>2</x:v>
      </x:c>
      <x:c r="F792" s="1" t="n">
        <x:v>1</x:v>
      </x:c>
      <x:c r="G792" s="1" t="n">
        <x:v>18</x:v>
      </x:c>
      <x:c r="H792" s="1" t="n">
        <x:v>0</x:v>
      </x:c>
      <x:c r="I792" s="1" t="n">
        <x:v>1</x:v>
      </x:c>
      <x:c r="J792" s="1" t="str">
        <x:v>no</x:v>
      </x:c>
      <x:c r="K792" s="1" t="n">
        <x:f>2*H792+E792+IF(G792&gt;30,2,0)-IF(B792&gt;24,1,0)</x:f>
        <x:v>1</x:v>
      </x:c>
      <x:c r="L792" s="1" t="str">
        <x:f>IF(K792&gt;=3,"yes","no")</x:f>
        <x:v>no</x:v>
      </x:c>
      <x:c r="M792" s="1"/>
      <x:c r="N792" s="1"/>
      <x:c r="O792" s="1"/>
    </x:row>
    <x:row r="793">
      <x:c r="A793" s="1" t="str">
        <x:v>S0792</x:v>
      </x:c>
      <x:c r="B793" s="1" t="n">
        <x:v>13</x:v>
      </x:c>
      <x:c r="C793" s="1" t="str">
        <x:v>premium</x:v>
      </x:c>
      <x:c r="D793" s="8" t="n">
        <x:v>15.99</x:v>
      </x:c>
      <x:c r="E793" s="1" t="n">
        <x:v>0</x:v>
      </x:c>
      <x:c r="F793" s="1" t="n">
        <x:v>0</x:v>
      </x:c>
      <x:c r="G793" s="1" t="n">
        <x:v>57</x:v>
      </x:c>
      <x:c r="H793" s="1" t="n">
        <x:v>0</x:v>
      </x:c>
      <x:c r="I793" s="1" t="n">
        <x:v>0</x:v>
      </x:c>
      <x:c r="J793" s="1" t="str">
        <x:v>yes</x:v>
      </x:c>
      <x:c r="K793" s="1" t="n">
        <x:f>2*H793+E793+IF(G793&gt;30,2,0)-IF(B793&gt;24,1,0)</x:f>
        <x:v>2</x:v>
      </x:c>
      <x:c r="L793" s="1" t="str">
        <x:f>IF(K793&gt;=3,"yes","no")</x:f>
        <x:v>no</x:v>
      </x:c>
      <x:c r="M793" s="1"/>
      <x:c r="N793" s="1"/>
      <x:c r="O793" s="1"/>
    </x:row>
    <x:row r="794">
      <x:c r="A794" s="1" t="str">
        <x:v>S0793</x:v>
      </x:c>
      <x:c r="B794" s="1" t="n">
        <x:v>43</x:v>
      </x:c>
      <x:c r="C794" s="1" t="str">
        <x:v>premium</x:v>
      </x:c>
      <x:c r="D794" s="8" t="n">
        <x:v>15.99</x:v>
      </x:c>
      <x:c r="E794" s="1" t="n">
        <x:v>1</x:v>
      </x:c>
      <x:c r="F794" s="1" t="n">
        <x:v>18</x:v>
      </x:c>
      <x:c r="G794" s="1" t="n">
        <x:v>4</x:v>
      </x:c>
      <x:c r="H794" s="1" t="n">
        <x:v>0</x:v>
      </x:c>
      <x:c r="I794" s="1" t="n">
        <x:v>1</x:v>
      </x:c>
      <x:c r="J794" s="1" t="str">
        <x:v>no</x:v>
      </x:c>
      <x:c r="K794" s="1" t="n">
        <x:f>2*H794+E794+IF(G794&gt;30,2,0)-IF(B794&gt;24,1,0)</x:f>
        <x:v>0</x:v>
      </x:c>
      <x:c r="L794" s="1" t="str">
        <x:f>IF(K794&gt;=3,"yes","no")</x:f>
        <x:v>no</x:v>
      </x:c>
      <x:c r="M794" s="1"/>
      <x:c r="N794" s="1"/>
      <x:c r="O794" s="1"/>
    </x:row>
    <x:row r="795">
      <x:c r="A795" s="1" t="str">
        <x:v>S0794</x:v>
      </x:c>
      <x:c r="B795" s="1" t="n">
        <x:v>43</x:v>
      </x:c>
      <x:c r="C795" s="1" t="str">
        <x:v>basic</x:v>
      </x:c>
      <x:c r="D795" s="8" t="n">
        <x:v>9.99</x:v>
      </x:c>
      <x:c r="E795" s="1" t="n">
        <x:v>0</x:v>
      </x:c>
      <x:c r="F795" s="1" t="n">
        <x:v>11</x:v>
      </x:c>
      <x:c r="G795" s="1" t="n">
        <x:v>3</x:v>
      </x:c>
      <x:c r="H795" s="1" t="n">
        <x:v>0</x:v>
      </x:c>
      <x:c r="I795" s="1" t="n">
        <x:v>0</x:v>
      </x:c>
      <x:c r="J795" s="1" t="str">
        <x:v>no</x:v>
      </x:c>
      <x:c r="K795" s="1" t="n">
        <x:f>2*H795+E795+IF(G795&gt;30,2,0)-IF(B795&gt;24,1,0)</x:f>
        <x:v>-1</x:v>
      </x:c>
      <x:c r="L795" s="1" t="str">
        <x:f>IF(K795&gt;=3,"yes","no")</x:f>
        <x:v>no</x:v>
      </x:c>
      <x:c r="M795" s="1"/>
      <x:c r="N795" s="1"/>
      <x:c r="O795" s="1"/>
    </x:row>
    <x:row r="796">
      <x:c r="A796" s="1" t="str">
        <x:v>S0795</x:v>
      </x:c>
      <x:c r="B796" s="1" t="n">
        <x:v>43</x:v>
      </x:c>
      <x:c r="C796" s="1" t="str">
        <x:v>premium</x:v>
      </x:c>
      <x:c r="D796" s="8" t="n">
        <x:v>15.99</x:v>
      </x:c>
      <x:c r="E796" s="1" t="n">
        <x:v>0</x:v>
      </x:c>
      <x:c r="F796" s="1" t="n">
        <x:v>17</x:v>
      </x:c>
      <x:c r="G796" s="1" t="n">
        <x:v>2</x:v>
      </x:c>
      <x:c r="H796" s="1" t="n">
        <x:v>0</x:v>
      </x:c>
      <x:c r="I796" s="1" t="n">
        <x:v>0</x:v>
      </x:c>
      <x:c r="J796" s="1" t="str">
        <x:v>no</x:v>
      </x:c>
      <x:c r="K796" s="1" t="n">
        <x:f>2*H796+E796+IF(G796&gt;30,2,0)-IF(B796&gt;24,1,0)</x:f>
        <x:v>-1</x:v>
      </x:c>
      <x:c r="L796" s="1" t="str">
        <x:f>IF(K796&gt;=3,"yes","no")</x:f>
        <x:v>no</x:v>
      </x:c>
      <x:c r="M796" s="1"/>
      <x:c r="N796" s="1"/>
      <x:c r="O796" s="1"/>
    </x:row>
    <x:row r="797">
      <x:c r="A797" s="1" t="str">
        <x:v>S0796</x:v>
      </x:c>
      <x:c r="B797" s="1" t="n">
        <x:v>19</x:v>
      </x:c>
      <x:c r="C797" s="1" t="str">
        <x:v>basic</x:v>
      </x:c>
      <x:c r="D797" s="8" t="n">
        <x:v>9.99</x:v>
      </x:c>
      <x:c r="E797" s="1" t="n">
        <x:v>0</x:v>
      </x:c>
      <x:c r="F797" s="1" t="n">
        <x:v>22</x:v>
      </x:c>
      <x:c r="G797" s="1" t="n">
        <x:v>6</x:v>
      </x:c>
      <x:c r="H797" s="1" t="n">
        <x:v>0</x:v>
      </x:c>
      <x:c r="I797" s="1" t="n">
        <x:v>0</x:v>
      </x:c>
      <x:c r="J797" s="1" t="str">
        <x:v>no</x:v>
      </x:c>
      <x:c r="K797" s="1" t="n">
        <x:f>2*H797+E797+IF(G797&gt;30,2,0)-IF(B797&gt;24,1,0)</x:f>
        <x:v>0</x:v>
      </x:c>
      <x:c r="L797" s="1" t="str">
        <x:f>IF(K797&gt;=3,"yes","no")</x:f>
        <x:v>no</x:v>
      </x:c>
      <x:c r="M797" s="1"/>
      <x:c r="N797" s="1"/>
      <x:c r="O797" s="1"/>
    </x:row>
    <x:row r="798">
      <x:c r="A798" s="1" t="str">
        <x:v>S0797</x:v>
      </x:c>
      <x:c r="B798" s="1" t="n">
        <x:v>17</x:v>
      </x:c>
      <x:c r="C798" s="1" t="str">
        <x:v>premium</x:v>
      </x:c>
      <x:c r="D798" s="8" t="n">
        <x:v>15.99</x:v>
      </x:c>
      <x:c r="E798" s="1" t="n">
        <x:v>1</x:v>
      </x:c>
      <x:c r="F798" s="1" t="n">
        <x:v>0</x:v>
      </x:c>
      <x:c r="G798" s="1" t="n">
        <x:v>31</x:v>
      </x:c>
      <x:c r="H798" s="1" t="n">
        <x:v>0</x:v>
      </x:c>
      <x:c r="I798" s="1" t="n">
        <x:v>0</x:v>
      </x:c>
      <x:c r="J798" s="1" t="str">
        <x:v>no</x:v>
      </x:c>
      <x:c r="K798" s="1" t="n">
        <x:f>2*H798+E798+IF(G798&gt;30,2,0)-IF(B798&gt;24,1,0)</x:f>
        <x:v>3</x:v>
      </x:c>
      <x:c r="L798" s="1" t="str">
        <x:f>IF(K798&gt;=3,"yes","no")</x:f>
        <x:v>yes</x:v>
      </x:c>
      <x:c r="M798" s="1"/>
      <x:c r="N798" s="1"/>
      <x:c r="O798" s="1"/>
    </x:row>
    <x:row r="799">
      <x:c r="A799" s="1" t="str">
        <x:v>S0798</x:v>
      </x:c>
      <x:c r="B799" s="1" t="n">
        <x:v>29</x:v>
      </x:c>
      <x:c r="C799" s="1" t="str">
        <x:v>basic</x:v>
      </x:c>
      <x:c r="D799" s="8" t="n">
        <x:v>9.99</x:v>
      </x:c>
      <x:c r="E799" s="1" t="n">
        <x:v>1</x:v>
      </x:c>
      <x:c r="F799" s="1" t="n">
        <x:v>22</x:v>
      </x:c>
      <x:c r="G799" s="1" t="n">
        <x:v>0</x:v>
      </x:c>
      <x:c r="H799" s="1" t="n">
        <x:v>0</x:v>
      </x:c>
      <x:c r="I799" s="1" t="n">
        <x:v>0</x:v>
      </x:c>
      <x:c r="J799" s="1" t="str">
        <x:v>no</x:v>
      </x:c>
      <x:c r="K799" s="1" t="n">
        <x:f>2*H799+E799+IF(G799&gt;30,2,0)-IF(B799&gt;24,1,0)</x:f>
        <x:v>0</x:v>
      </x:c>
      <x:c r="L799" s="1" t="str">
        <x:f>IF(K799&gt;=3,"yes","no")</x:f>
        <x:v>no</x:v>
      </x:c>
      <x:c r="M799" s="1"/>
      <x:c r="N799" s="1"/>
      <x:c r="O799" s="1"/>
    </x:row>
    <x:row r="800">
      <x:c r="A800" s="1" t="str">
        <x:v>S0799</x:v>
      </x:c>
      <x:c r="B800" s="1" t="n">
        <x:v>37</x:v>
      </x:c>
      <x:c r="C800" s="1" t="str">
        <x:v>premium</x:v>
      </x:c>
      <x:c r="D800" s="8" t="n">
        <x:v>15.99</x:v>
      </x:c>
      <x:c r="E800" s="1" t="n">
        <x:v>3</x:v>
      </x:c>
      <x:c r="F800" s="1" t="n">
        <x:v>18</x:v>
      </x:c>
      <x:c r="G800" s="1" t="n">
        <x:v>8</x:v>
      </x:c>
      <x:c r="H800" s="1" t="n">
        <x:v>0</x:v>
      </x:c>
      <x:c r="I800" s="1" t="n">
        <x:v>1</x:v>
      </x:c>
      <x:c r="J800" s="1" t="str">
        <x:v>no</x:v>
      </x:c>
      <x:c r="K800" s="1" t="n">
        <x:f>2*H800+E800+IF(G800&gt;30,2,0)-IF(B800&gt;24,1,0)</x:f>
        <x:v>2</x:v>
      </x:c>
      <x:c r="L800" s="1" t="str">
        <x:f>IF(K800&gt;=3,"yes","no")</x:f>
        <x:v>no</x:v>
      </x:c>
      <x:c r="M800" s="1"/>
      <x:c r="N800" s="1"/>
      <x:c r="O800" s="1"/>
    </x:row>
    <x:row r="801">
      <x:c r="A801" s="1" t="str">
        <x:v>S0800</x:v>
      </x:c>
      <x:c r="B801" s="1" t="n">
        <x:v>6</x:v>
      </x:c>
      <x:c r="C801" s="1" t="str">
        <x:v>basic</x:v>
      </x:c>
      <x:c r="D801" s="8" t="n">
        <x:v>9.99</x:v>
      </x:c>
      <x:c r="E801" s="1" t="n">
        <x:v>1</x:v>
      </x:c>
      <x:c r="F801" s="1" t="n">
        <x:v>24</x:v>
      </x:c>
      <x:c r="G801" s="1" t="n">
        <x:v>0</x:v>
      </x:c>
      <x:c r="H801" s="1" t="n">
        <x:v>0</x:v>
      </x:c>
      <x:c r="I801" s="1" t="n">
        <x:v>0</x:v>
      </x:c>
      <x:c r="J801" s="1" t="str">
        <x:v>no</x:v>
      </x:c>
      <x:c r="K801" s="1" t="n">
        <x:f>2*H801+E801+IF(G801&gt;30,2,0)-IF(B801&gt;24,1,0)</x:f>
        <x:v>1</x:v>
      </x:c>
      <x:c r="L801" s="1" t="str">
        <x:f>IF(K801&gt;=3,"yes","no")</x:f>
        <x:v>no</x:v>
      </x:c>
      <x:c r="M801" s="1"/>
      <x:c r="N801" s="1"/>
      <x:c r="O801" s="1"/>
    </x:row>
    <x:row r="802">
      <x:c r="A802" s="1" t="str">
        <x:v>S0801</x:v>
      </x:c>
      <x:c r="B802" s="1" t="n">
        <x:v>31</x:v>
      </x:c>
      <x:c r="C802" s="1" t="str">
        <x:v>premium</x:v>
      </x:c>
      <x:c r="D802" s="8" t="n">
        <x:v>15.99</x:v>
      </x:c>
      <x:c r="E802" s="1" t="n">
        <x:v>0</x:v>
      </x:c>
      <x:c r="F802" s="1" t="n">
        <x:v>16</x:v>
      </x:c>
      <x:c r="G802" s="1" t="n">
        <x:v>17</x:v>
      </x:c>
      <x:c r="H802" s="1" t="n">
        <x:v>0</x:v>
      </x:c>
      <x:c r="I802" s="1" t="n">
        <x:v>1</x:v>
      </x:c>
      <x:c r="J802" s="1" t="str">
        <x:v>no</x:v>
      </x:c>
      <x:c r="K802" s="1" t="n">
        <x:f>2*H802+E802+IF(G802&gt;30,2,0)-IF(B802&gt;24,1,0)</x:f>
        <x:v>-1</x:v>
      </x:c>
      <x:c r="L802" s="1" t="str">
        <x:f>IF(K802&gt;=3,"yes","no")</x:f>
        <x:v>no</x:v>
      </x:c>
      <x:c r="M802" s="1"/>
      <x:c r="N802" s="1"/>
      <x:c r="O802" s="1"/>
    </x:row>
    <x:row r="803">
      <x:c r="A803" s="1" t="str">
        <x:v>S0802</x:v>
      </x:c>
      <x:c r="B803" s="1" t="n">
        <x:v>18</x:v>
      </x:c>
      <x:c r="C803" s="1" t="str">
        <x:v>basic</x:v>
      </x:c>
      <x:c r="D803" s="8" t="n">
        <x:v>9.99</x:v>
      </x:c>
      <x:c r="E803" s="1" t="n">
        <x:v>0</x:v>
      </x:c>
      <x:c r="F803" s="1" t="n">
        <x:v>13</x:v>
      </x:c>
      <x:c r="G803" s="1" t="n">
        <x:v>3</x:v>
      </x:c>
      <x:c r="H803" s="1" t="n">
        <x:v>0</x:v>
      </x:c>
      <x:c r="I803" s="1" t="n">
        <x:v>0</x:v>
      </x:c>
      <x:c r="J803" s="1" t="str">
        <x:v>no</x:v>
      </x:c>
      <x:c r="K803" s="1" t="n">
        <x:f>2*H803+E803+IF(G803&gt;30,2,0)-IF(B803&gt;24,1,0)</x:f>
        <x:v>0</x:v>
      </x:c>
      <x:c r="L803" s="1" t="str">
        <x:f>IF(K803&gt;=3,"yes","no")</x:f>
        <x:v>no</x:v>
      </x:c>
      <x:c r="M803" s="1"/>
      <x:c r="N803" s="1"/>
      <x:c r="O803" s="1"/>
    </x:row>
    <x:row r="804">
      <x:c r="A804" s="1" t="str">
        <x:v>S0803</x:v>
      </x:c>
      <x:c r="B804" s="1" t="n">
        <x:v>16</x:v>
      </x:c>
      <x:c r="C804" s="1" t="str">
        <x:v>basic</x:v>
      </x:c>
      <x:c r="D804" s="8" t="n">
        <x:v>9.99</x:v>
      </x:c>
      <x:c r="E804" s="1" t="n">
        <x:v>2</x:v>
      </x:c>
      <x:c r="F804" s="1" t="n">
        <x:v>13</x:v>
      </x:c>
      <x:c r="G804" s="1" t="n">
        <x:v>13</x:v>
      </x:c>
      <x:c r="H804" s="1" t="n">
        <x:v>1</x:v>
      </x:c>
      <x:c r="I804" s="1" t="n">
        <x:v>0</x:v>
      </x:c>
      <x:c r="J804" s="1" t="str">
        <x:v>yes</x:v>
      </x:c>
      <x:c r="K804" s="1" t="n">
        <x:f>2*H804+E804+IF(G804&gt;30,2,0)-IF(B804&gt;24,1,0)</x:f>
        <x:v>4</x:v>
      </x:c>
      <x:c r="L804" s="1" t="str">
        <x:f>IF(K804&gt;=3,"yes","no")</x:f>
        <x:v>yes</x:v>
      </x:c>
      <x:c r="M804" s="1"/>
      <x:c r="N804" s="1"/>
      <x:c r="O804" s="1"/>
    </x:row>
    <x:row r="805">
      <x:c r="A805" s="1" t="str">
        <x:v>S0804</x:v>
      </x:c>
      <x:c r="B805" s="1" t="n">
        <x:v>43</x:v>
      </x:c>
      <x:c r="C805" s="1" t="str">
        <x:v>basic</x:v>
      </x:c>
      <x:c r="D805" s="8" t="n">
        <x:v>9.99</x:v>
      </x:c>
      <x:c r="E805" s="1" t="n">
        <x:v>4</x:v>
      </x:c>
      <x:c r="F805" s="1" t="n">
        <x:v>19</x:v>
      </x:c>
      <x:c r="G805" s="1" t="n">
        <x:v>1</x:v>
      </x:c>
      <x:c r="H805" s="1" t="n">
        <x:v>0</x:v>
      </x:c>
      <x:c r="I805" s="1" t="n">
        <x:v>1</x:v>
      </x:c>
      <x:c r="J805" s="1" t="str">
        <x:v>no</x:v>
      </x:c>
      <x:c r="K805" s="1" t="n">
        <x:f>2*H805+E805+IF(G805&gt;30,2,0)-IF(B805&gt;24,1,0)</x:f>
        <x:v>3</x:v>
      </x:c>
      <x:c r="L805" s="1" t="str">
        <x:f>IF(K805&gt;=3,"yes","no")</x:f>
        <x:v>yes</x:v>
      </x:c>
      <x:c r="M805" s="1"/>
      <x:c r="N805" s="1"/>
      <x:c r="O805" s="1"/>
    </x:row>
    <x:row r="806">
      <x:c r="A806" s="1" t="str">
        <x:v>S0805</x:v>
      </x:c>
      <x:c r="B806" s="1" t="n">
        <x:v>2</x:v>
      </x:c>
      <x:c r="C806" s="1" t="str">
        <x:v>basic</x:v>
      </x:c>
      <x:c r="D806" s="8" t="n">
        <x:v>9.99</x:v>
      </x:c>
      <x:c r="E806" s="1" t="n">
        <x:v>0</x:v>
      </x:c>
      <x:c r="F806" s="1" t="n">
        <x:v>8</x:v>
      </x:c>
      <x:c r="G806" s="1" t="n">
        <x:v>11</x:v>
      </x:c>
      <x:c r="H806" s="1" t="n">
        <x:v>0</x:v>
      </x:c>
      <x:c r="I806" s="1" t="n">
        <x:v>0</x:v>
      </x:c>
      <x:c r="J806" s="1" t="str">
        <x:v>no</x:v>
      </x:c>
      <x:c r="K806" s="1" t="n">
        <x:f>2*H806+E806+IF(G806&gt;30,2,0)-IF(B806&gt;24,1,0)</x:f>
        <x:v>0</x:v>
      </x:c>
      <x:c r="L806" s="1" t="str">
        <x:f>IF(K806&gt;=3,"yes","no")</x:f>
        <x:v>no</x:v>
      </x:c>
      <x:c r="M806" s="1"/>
      <x:c r="N806" s="1"/>
      <x:c r="O806" s="1"/>
    </x:row>
    <x:row r="807">
      <x:c r="A807" s="1" t="str">
        <x:v>S0806</x:v>
      </x:c>
      <x:c r="B807" s="1" t="n">
        <x:v>33</x:v>
      </x:c>
      <x:c r="C807" s="1" t="str">
        <x:v>premium</x:v>
      </x:c>
      <x:c r="D807" s="8" t="n">
        <x:v>15.99</x:v>
      </x:c>
      <x:c r="E807" s="1" t="n">
        <x:v>1</x:v>
      </x:c>
      <x:c r="F807" s="1" t="n">
        <x:v>4</x:v>
      </x:c>
      <x:c r="G807" s="1" t="n">
        <x:v>12</x:v>
      </x:c>
      <x:c r="H807" s="1" t="n">
        <x:v>0</x:v>
      </x:c>
      <x:c r="I807" s="1" t="n">
        <x:v>1</x:v>
      </x:c>
      <x:c r="J807" s="1" t="str">
        <x:v>no</x:v>
      </x:c>
      <x:c r="K807" s="1" t="n">
        <x:f>2*H807+E807+IF(G807&gt;30,2,0)-IF(B807&gt;24,1,0)</x:f>
        <x:v>0</x:v>
      </x:c>
      <x:c r="L807" s="1" t="str">
        <x:f>IF(K807&gt;=3,"yes","no")</x:f>
        <x:v>no</x:v>
      </x:c>
      <x:c r="M807" s="1"/>
      <x:c r="N807" s="1"/>
      <x:c r="O807" s="1"/>
    </x:row>
    <x:row r="808">
      <x:c r="A808" s="1" t="str">
        <x:v>S0807</x:v>
      </x:c>
      <x:c r="B808" s="1" t="n">
        <x:v>1</x:v>
      </x:c>
      <x:c r="C808" s="1" t="str">
        <x:v>basic</x:v>
      </x:c>
      <x:c r="D808" s="8" t="n">
        <x:v>9.99</x:v>
      </x:c>
      <x:c r="E808" s="1" t="n">
        <x:v>2</x:v>
      </x:c>
      <x:c r="F808" s="1" t="n">
        <x:v>23</x:v>
      </x:c>
      <x:c r="G808" s="1" t="n">
        <x:v>2</x:v>
      </x:c>
      <x:c r="H808" s="1" t="n">
        <x:v>1</x:v>
      </x:c>
      <x:c r="I808" s="1" t="n">
        <x:v>0</x:v>
      </x:c>
      <x:c r="J808" s="1" t="str">
        <x:v>no</x:v>
      </x:c>
      <x:c r="K808" s="1" t="n">
        <x:f>2*H808+E808+IF(G808&gt;30,2,0)-IF(B808&gt;24,1,0)</x:f>
        <x:v>4</x:v>
      </x:c>
      <x:c r="L808" s="1" t="str">
        <x:f>IF(K808&gt;=3,"yes","no")</x:f>
        <x:v>yes</x:v>
      </x:c>
      <x:c r="M808" s="1"/>
      <x:c r="N808" s="1"/>
      <x:c r="O808" s="1"/>
    </x:row>
    <x:row r="809">
      <x:c r="A809" s="1" t="str">
        <x:v>S0808</x:v>
      </x:c>
      <x:c r="B809" s="1" t="n">
        <x:v>39</x:v>
      </x:c>
      <x:c r="C809" s="1" t="str">
        <x:v>premium</x:v>
      </x:c>
      <x:c r="D809" s="8" t="n">
        <x:v>15.99</x:v>
      </x:c>
      <x:c r="E809" s="1" t="n">
        <x:v>0</x:v>
      </x:c>
      <x:c r="F809" s="1" t="n">
        <x:v>0</x:v>
      </x:c>
      <x:c r="G809" s="1" t="n">
        <x:v>59</x:v>
      </x:c>
      <x:c r="H809" s="1" t="n">
        <x:v>0</x:v>
      </x:c>
      <x:c r="I809" s="1" t="n">
        <x:v>0</x:v>
      </x:c>
      <x:c r="J809" s="1" t="str">
        <x:v>no</x:v>
      </x:c>
      <x:c r="K809" s="1" t="n">
        <x:f>2*H809+E809+IF(G809&gt;30,2,0)-IF(B809&gt;24,1,0)</x:f>
        <x:v>1</x:v>
      </x:c>
      <x:c r="L809" s="1" t="str">
        <x:f>IF(K809&gt;=3,"yes","no")</x:f>
        <x:v>no</x:v>
      </x:c>
      <x:c r="M809" s="1"/>
      <x:c r="N809" s="1"/>
      <x:c r="O809" s="1"/>
    </x:row>
    <x:row r="810">
      <x:c r="A810" s="1" t="str">
        <x:v>S0809</x:v>
      </x:c>
      <x:c r="B810" s="1" t="n">
        <x:v>15</x:v>
      </x:c>
      <x:c r="C810" s="1" t="str">
        <x:v>premium</x:v>
      </x:c>
      <x:c r="D810" s="8" t="n">
        <x:v>15.99</x:v>
      </x:c>
      <x:c r="E810" s="1" t="n">
        <x:v>0</x:v>
      </x:c>
      <x:c r="F810" s="1" t="n">
        <x:v>10</x:v>
      </x:c>
      <x:c r="G810" s="1" t="n">
        <x:v>22</x:v>
      </x:c>
      <x:c r="H810" s="1" t="n">
        <x:v>1</x:v>
      </x:c>
      <x:c r="I810" s="1" t="n">
        <x:v>0</x:v>
      </x:c>
      <x:c r="J810" s="1" t="str">
        <x:v>no</x:v>
      </x:c>
      <x:c r="K810" s="1" t="n">
        <x:f>2*H810+E810+IF(G810&gt;30,2,0)-IF(B810&gt;24,1,0)</x:f>
        <x:v>2</x:v>
      </x:c>
      <x:c r="L810" s="1" t="str">
        <x:f>IF(K810&gt;=3,"yes","no")</x:f>
        <x:v>no</x:v>
      </x:c>
      <x:c r="M810" s="1"/>
      <x:c r="N810" s="1"/>
      <x:c r="O810" s="1"/>
    </x:row>
    <x:row r="811">
      <x:c r="A811" s="1" t="str">
        <x:v>S0810</x:v>
      </x:c>
      <x:c r="B811" s="1" t="n">
        <x:v>4</x:v>
      </x:c>
      <x:c r="C811" s="1" t="str">
        <x:v>basic</x:v>
      </x:c>
      <x:c r="D811" s="8" t="n">
        <x:v>9.99</x:v>
      </x:c>
      <x:c r="E811" s="1" t="n">
        <x:v>0</x:v>
      </x:c>
      <x:c r="F811" s="1" t="n">
        <x:v>6</x:v>
      </x:c>
      <x:c r="G811" s="1" t="n">
        <x:v>28</x:v>
      </x:c>
      <x:c r="H811" s="1" t="n">
        <x:v>0</x:v>
      </x:c>
      <x:c r="I811" s="1" t="n">
        <x:v>0</x:v>
      </x:c>
      <x:c r="J811" s="1" t="str">
        <x:v>no</x:v>
      </x:c>
      <x:c r="K811" s="1" t="n">
        <x:f>2*H811+E811+IF(G811&gt;30,2,0)-IF(B811&gt;24,1,0)</x:f>
        <x:v>0</x:v>
      </x:c>
      <x:c r="L811" s="1" t="str">
        <x:f>IF(K811&gt;=3,"yes","no")</x:f>
        <x:v>no</x:v>
      </x:c>
      <x:c r="M811" s="1"/>
      <x:c r="N811" s="1"/>
      <x:c r="O811" s="1"/>
    </x:row>
    <x:row r="812">
      <x:c r="A812" s="1" t="str">
        <x:v>S0811</x:v>
      </x:c>
      <x:c r="B812" s="1" t="n">
        <x:v>33</x:v>
      </x:c>
      <x:c r="C812" s="1" t="str">
        <x:v>basic</x:v>
      </x:c>
      <x:c r="D812" s="8" t="n">
        <x:v>9.99</x:v>
      </x:c>
      <x:c r="E812" s="1" t="n">
        <x:v>0</x:v>
      </x:c>
      <x:c r="F812" s="1" t="n">
        <x:v>5</x:v>
      </x:c>
      <x:c r="G812" s="1" t="n">
        <x:v>26</x:v>
      </x:c>
      <x:c r="H812" s="1" t="n">
        <x:v>2</x:v>
      </x:c>
      <x:c r="I812" s="1" t="n">
        <x:v>0</x:v>
      </x:c>
      <x:c r="J812" s="1" t="str">
        <x:v>no</x:v>
      </x:c>
      <x:c r="K812" s="1" t="n">
        <x:f>2*H812+E812+IF(G812&gt;30,2,0)-IF(B812&gt;24,1,0)</x:f>
        <x:v>3</x:v>
      </x:c>
      <x:c r="L812" s="1" t="str">
        <x:f>IF(K812&gt;=3,"yes","no")</x:f>
        <x:v>yes</x:v>
      </x:c>
      <x:c r="M812" s="1"/>
      <x:c r="N812" s="1"/>
      <x:c r="O812" s="1"/>
    </x:row>
    <x:row r="813">
      <x:c r="A813" s="1" t="str">
        <x:v>S0812</x:v>
      </x:c>
      <x:c r="B813" s="1" t="n">
        <x:v>37</x:v>
      </x:c>
      <x:c r="C813" s="1" t="str">
        <x:v>basic</x:v>
      </x:c>
      <x:c r="D813" s="8" t="n">
        <x:v>9.99</x:v>
      </x:c>
      <x:c r="E813" s="1" t="n">
        <x:v>2</x:v>
      </x:c>
      <x:c r="F813" s="1" t="n">
        <x:v>12</x:v>
      </x:c>
      <x:c r="G813" s="1" t="n">
        <x:v>24</x:v>
      </x:c>
      <x:c r="H813" s="1" t="n">
        <x:v>0</x:v>
      </x:c>
      <x:c r="I813" s="1" t="n">
        <x:v>0</x:v>
      </x:c>
      <x:c r="J813" s="1" t="str">
        <x:v>no</x:v>
      </x:c>
      <x:c r="K813" s="1" t="n">
        <x:f>2*H813+E813+IF(G813&gt;30,2,0)-IF(B813&gt;24,1,0)</x:f>
        <x:v>1</x:v>
      </x:c>
      <x:c r="L813" s="1" t="str">
        <x:f>IF(K813&gt;=3,"yes","no")</x:f>
        <x:v>no</x:v>
      </x:c>
      <x:c r="M813" s="1"/>
      <x:c r="N813" s="1"/>
      <x:c r="O813" s="1"/>
    </x:row>
    <x:row r="814">
      <x:c r="A814" s="1" t="str">
        <x:v>S0813</x:v>
      </x:c>
      <x:c r="B814" s="1" t="n">
        <x:v>34</x:v>
      </x:c>
      <x:c r="C814" s="1" t="str">
        <x:v>basic</x:v>
      </x:c>
      <x:c r="D814" s="8" t="n">
        <x:v>9.99</x:v>
      </x:c>
      <x:c r="E814" s="1" t="n">
        <x:v>2</x:v>
      </x:c>
      <x:c r="F814" s="1" t="n">
        <x:v>7</x:v>
      </x:c>
      <x:c r="G814" s="1" t="n">
        <x:v>6</x:v>
      </x:c>
      <x:c r="H814" s="1" t="n">
        <x:v>0</x:v>
      </x:c>
      <x:c r="I814" s="1" t="n">
        <x:v>0</x:v>
      </x:c>
      <x:c r="J814" s="1" t="str">
        <x:v>no</x:v>
      </x:c>
      <x:c r="K814" s="1" t="n">
        <x:f>2*H814+E814+IF(G814&gt;30,2,0)-IF(B814&gt;24,1,0)</x:f>
        <x:v>1</x:v>
      </x:c>
      <x:c r="L814" s="1" t="str">
        <x:f>IF(K814&gt;=3,"yes","no")</x:f>
        <x:v>no</x:v>
      </x:c>
      <x:c r="M814" s="1"/>
      <x:c r="N814" s="1"/>
      <x:c r="O814" s="1"/>
    </x:row>
    <x:row r="815">
      <x:c r="A815" s="1" t="str">
        <x:v>S0814</x:v>
      </x:c>
      <x:c r="B815" s="1" t="n">
        <x:v>32</x:v>
      </x:c>
      <x:c r="C815" s="1" t="str">
        <x:v>basic</x:v>
      </x:c>
      <x:c r="D815" s="8" t="n">
        <x:v>9.99</x:v>
      </x:c>
      <x:c r="E815" s="1" t="n">
        <x:v>0</x:v>
      </x:c>
      <x:c r="F815" s="1" t="n">
        <x:v>14</x:v>
      </x:c>
      <x:c r="G815" s="1" t="n">
        <x:v>15</x:v>
      </x:c>
      <x:c r="H815" s="1" t="n">
        <x:v>0</x:v>
      </x:c>
      <x:c r="I815" s="1" t="n">
        <x:v>0</x:v>
      </x:c>
      <x:c r="J815" s="1" t="str">
        <x:v>no</x:v>
      </x:c>
      <x:c r="K815" s="1" t="n">
        <x:f>2*H815+E815+IF(G815&gt;30,2,0)-IF(B815&gt;24,1,0)</x:f>
        <x:v>-1</x:v>
      </x:c>
      <x:c r="L815" s="1" t="str">
        <x:f>IF(K815&gt;=3,"yes","no")</x:f>
        <x:v>no</x:v>
      </x:c>
      <x:c r="M815" s="1"/>
      <x:c r="N815" s="1"/>
      <x:c r="O815" s="1"/>
    </x:row>
    <x:row r="816">
      <x:c r="A816" s="1" t="str">
        <x:v>S0815</x:v>
      </x:c>
      <x:c r="B816" s="1" t="n">
        <x:v>25</x:v>
      </x:c>
      <x:c r="C816" s="1" t="str">
        <x:v>basic</x:v>
      </x:c>
      <x:c r="D816" s="8" t="n">
        <x:v>9.99</x:v>
      </x:c>
      <x:c r="E816" s="1" t="n">
        <x:v>0</x:v>
      </x:c>
      <x:c r="F816" s="1" t="n">
        <x:v>15</x:v>
      </x:c>
      <x:c r="G816" s="1" t="n">
        <x:v>28</x:v>
      </x:c>
      <x:c r="H816" s="1" t="n">
        <x:v>0</x:v>
      </x:c>
      <x:c r="I816" s="1" t="n">
        <x:v>0</x:v>
      </x:c>
      <x:c r="J816" s="1" t="str">
        <x:v>yes</x:v>
      </x:c>
      <x:c r="K816" s="1" t="n">
        <x:f>2*H816+E816+IF(G816&gt;30,2,0)-IF(B816&gt;24,1,0)</x:f>
        <x:v>-1</x:v>
      </x:c>
      <x:c r="L816" s="1" t="str">
        <x:f>IF(K816&gt;=3,"yes","no")</x:f>
        <x:v>no</x:v>
      </x:c>
      <x:c r="M816" s="1"/>
      <x:c r="N816" s="1"/>
      <x:c r="O816" s="1"/>
    </x:row>
    <x:row r="817">
      <x:c r="A817" s="1" t="str">
        <x:v>S0816</x:v>
      </x:c>
      <x:c r="B817" s="1" t="n">
        <x:v>14</x:v>
      </x:c>
      <x:c r="C817" s="1" t="str">
        <x:v>basic</x:v>
      </x:c>
      <x:c r="D817" s="8" t="n">
        <x:v>9.99</x:v>
      </x:c>
      <x:c r="E817" s="1" t="n">
        <x:v>1</x:v>
      </x:c>
      <x:c r="F817" s="1" t="n">
        <x:v>11</x:v>
      </x:c>
      <x:c r="G817" s="1" t="n">
        <x:v>28</x:v>
      </x:c>
      <x:c r="H817" s="1" t="n">
        <x:v>0</x:v>
      </x:c>
      <x:c r="I817" s="1" t="n">
        <x:v>0</x:v>
      </x:c>
      <x:c r="J817" s="1" t="str">
        <x:v>no</x:v>
      </x:c>
      <x:c r="K817" s="1" t="n">
        <x:f>2*H817+E817+IF(G817&gt;30,2,0)-IF(B817&gt;24,1,0)</x:f>
        <x:v>1</x:v>
      </x:c>
      <x:c r="L817" s="1" t="str">
        <x:f>IF(K817&gt;=3,"yes","no")</x:f>
        <x:v>no</x:v>
      </x:c>
      <x:c r="M817" s="1"/>
      <x:c r="N817" s="1"/>
      <x:c r="O817" s="1"/>
    </x:row>
    <x:row r="818">
      <x:c r="A818" s="1" t="str">
        <x:v>S0817</x:v>
      </x:c>
      <x:c r="B818" s="1" t="n">
        <x:v>33</x:v>
      </x:c>
      <x:c r="C818" s="1" t="str">
        <x:v>basic</x:v>
      </x:c>
      <x:c r="D818" s="8" t="n">
        <x:v>9.99</x:v>
      </x:c>
      <x:c r="E818" s="1" t="n">
        <x:v>0</x:v>
      </x:c>
      <x:c r="F818" s="1" t="n">
        <x:v>22</x:v>
      </x:c>
      <x:c r="G818" s="1" t="n">
        <x:v>4</x:v>
      </x:c>
      <x:c r="H818" s="1" t="n">
        <x:v>0</x:v>
      </x:c>
      <x:c r="I818" s="1" t="n">
        <x:v>1</x:v>
      </x:c>
      <x:c r="J818" s="1" t="str">
        <x:v>no</x:v>
      </x:c>
      <x:c r="K818" s="1" t="n">
        <x:f>2*H818+E818+IF(G818&gt;30,2,0)-IF(B818&gt;24,1,0)</x:f>
        <x:v>-1</x:v>
      </x:c>
      <x:c r="L818" s="1" t="str">
        <x:f>IF(K818&gt;=3,"yes","no")</x:f>
        <x:v>no</x:v>
      </x:c>
      <x:c r="M818" s="1"/>
      <x:c r="N818" s="1"/>
      <x:c r="O818" s="1"/>
    </x:row>
    <x:row r="819">
      <x:c r="A819" s="1" t="str">
        <x:v>S0818</x:v>
      </x:c>
      <x:c r="B819" s="1" t="n">
        <x:v>18</x:v>
      </x:c>
      <x:c r="C819" s="1" t="str">
        <x:v>basic</x:v>
      </x:c>
      <x:c r="D819" s="8" t="n">
        <x:v>9.99</x:v>
      </x:c>
      <x:c r="E819" s="1" t="n">
        <x:v>1</x:v>
      </x:c>
      <x:c r="F819" s="1" t="n">
        <x:v>3</x:v>
      </x:c>
      <x:c r="G819" s="1" t="n">
        <x:v>26</x:v>
      </x:c>
      <x:c r="H819" s="1" t="n">
        <x:v>0</x:v>
      </x:c>
      <x:c r="I819" s="1" t="n">
        <x:v>1</x:v>
      </x:c>
      <x:c r="J819" s="1" t="str">
        <x:v>yes</x:v>
      </x:c>
      <x:c r="K819" s="1" t="n">
        <x:f>2*H819+E819+IF(G819&gt;30,2,0)-IF(B819&gt;24,1,0)</x:f>
        <x:v>1</x:v>
      </x:c>
      <x:c r="L819" s="1" t="str">
        <x:f>IF(K819&gt;=3,"yes","no")</x:f>
        <x:v>no</x:v>
      </x:c>
      <x:c r="M819" s="1"/>
      <x:c r="N819" s="1"/>
      <x:c r="O819" s="1"/>
    </x:row>
    <x:row r="820">
      <x:c r="A820" s="1" t="str">
        <x:v>S0819</x:v>
      </x:c>
      <x:c r="B820" s="1" t="n">
        <x:v>27</x:v>
      </x:c>
      <x:c r="C820" s="1" t="str">
        <x:v>premium</x:v>
      </x:c>
      <x:c r="D820" s="8" t="n">
        <x:v>15.99</x:v>
      </x:c>
      <x:c r="E820" s="1" t="n">
        <x:v>2</x:v>
      </x:c>
      <x:c r="F820" s="1" t="n">
        <x:v>19</x:v>
      </x:c>
      <x:c r="G820" s="1" t="n">
        <x:v>7</x:v>
      </x:c>
      <x:c r="H820" s="1" t="n">
        <x:v>0</x:v>
      </x:c>
      <x:c r="I820" s="1" t="n">
        <x:v>0</x:v>
      </x:c>
      <x:c r="J820" s="1" t="str">
        <x:v>no</x:v>
      </x:c>
      <x:c r="K820" s="1" t="n">
        <x:f>2*H820+E820+IF(G820&gt;30,2,0)-IF(B820&gt;24,1,0)</x:f>
        <x:v>1</x:v>
      </x:c>
      <x:c r="L820" s="1" t="str">
        <x:f>IF(K820&gt;=3,"yes","no")</x:f>
        <x:v>no</x:v>
      </x:c>
      <x:c r="M820" s="1"/>
      <x:c r="N820" s="1"/>
      <x:c r="O820" s="1"/>
    </x:row>
    <x:row r="821">
      <x:c r="A821" s="1" t="str">
        <x:v>S0820</x:v>
      </x:c>
      <x:c r="B821" s="1" t="n">
        <x:v>43</x:v>
      </x:c>
      <x:c r="C821" s="1" t="str">
        <x:v>premium</x:v>
      </x:c>
      <x:c r="D821" s="8" t="n">
        <x:v>15.99</x:v>
      </x:c>
      <x:c r="E821" s="1" t="n">
        <x:v>1</x:v>
      </x:c>
      <x:c r="F821" s="1" t="n">
        <x:v>30</x:v>
      </x:c>
      <x:c r="G821" s="1" t="n">
        <x:v>0</x:v>
      </x:c>
      <x:c r="H821" s="1" t="n">
        <x:v>0</x:v>
      </x:c>
      <x:c r="I821" s="1" t="n">
        <x:v>0</x:v>
      </x:c>
      <x:c r="J821" s="1" t="str">
        <x:v>no</x:v>
      </x:c>
      <x:c r="K821" s="1" t="n">
        <x:f>2*H821+E821+IF(G821&gt;30,2,0)-IF(B821&gt;24,1,0)</x:f>
        <x:v>0</x:v>
      </x:c>
      <x:c r="L821" s="1" t="str">
        <x:f>IF(K821&gt;=3,"yes","no")</x:f>
        <x:v>no</x:v>
      </x:c>
      <x:c r="M821" s="1"/>
      <x:c r="N821" s="1"/>
      <x:c r="O821" s="1"/>
    </x:row>
    <x:row r="822">
      <x:c r="A822" s="1" t="str">
        <x:v>S0821</x:v>
      </x:c>
      <x:c r="B822" s="1" t="n">
        <x:v>16</x:v>
      </x:c>
      <x:c r="C822" s="1" t="str">
        <x:v>basic</x:v>
      </x:c>
      <x:c r="D822" s="8" t="n">
        <x:v>9.99</x:v>
      </x:c>
      <x:c r="E822" s="1" t="n">
        <x:v>2</x:v>
      </x:c>
      <x:c r="F822" s="1" t="n">
        <x:v>15</x:v>
      </x:c>
      <x:c r="G822" s="1" t="n">
        <x:v>6</x:v>
      </x:c>
      <x:c r="H822" s="1" t="n">
        <x:v>1</x:v>
      </x:c>
      <x:c r="I822" s="1" t="n">
        <x:v>1</x:v>
      </x:c>
      <x:c r="J822" s="1" t="str">
        <x:v>yes</x:v>
      </x:c>
      <x:c r="K822" s="1" t="n">
        <x:f>2*H822+E822+IF(G822&gt;30,2,0)-IF(B822&gt;24,1,0)</x:f>
        <x:v>4</x:v>
      </x:c>
      <x:c r="L822" s="1" t="str">
        <x:f>IF(K822&gt;=3,"yes","no")</x:f>
        <x:v>yes</x:v>
      </x:c>
      <x:c r="M822" s="1"/>
      <x:c r="N822" s="1"/>
      <x:c r="O822" s="1"/>
    </x:row>
    <x:row r="823">
      <x:c r="A823" s="1" t="str">
        <x:v>S0822</x:v>
      </x:c>
      <x:c r="B823" s="1" t="n">
        <x:v>43</x:v>
      </x:c>
      <x:c r="C823" s="1" t="str">
        <x:v>premium</x:v>
      </x:c>
      <x:c r="D823" s="8" t="n">
        <x:v>15.99</x:v>
      </x:c>
      <x:c r="E823" s="1" t="n">
        <x:v>0</x:v>
      </x:c>
      <x:c r="F823" s="1" t="n">
        <x:v>29</x:v>
      </x:c>
      <x:c r="G823" s="1" t="n">
        <x:v>8</x:v>
      </x:c>
      <x:c r="H823" s="1" t="n">
        <x:v>1</x:v>
      </x:c>
      <x:c r="I823" s="1" t="n">
        <x:v>0</x:v>
      </x:c>
      <x:c r="J823" s="1" t="str">
        <x:v>no</x:v>
      </x:c>
      <x:c r="K823" s="1" t="n">
        <x:f>2*H823+E823+IF(G823&gt;30,2,0)-IF(B823&gt;24,1,0)</x:f>
        <x:v>1</x:v>
      </x:c>
      <x:c r="L823" s="1" t="str">
        <x:f>IF(K823&gt;=3,"yes","no")</x:f>
        <x:v>no</x:v>
      </x:c>
      <x:c r="M823" s="1"/>
      <x:c r="N823" s="1"/>
      <x:c r="O823" s="1"/>
    </x:row>
    <x:row r="824">
      <x:c r="A824" s="1" t="str">
        <x:v>S0823</x:v>
      </x:c>
      <x:c r="B824" s="1" t="n">
        <x:v>45</x:v>
      </x:c>
      <x:c r="C824" s="1" t="str">
        <x:v>premium</x:v>
      </x:c>
      <x:c r="D824" s="8" t="n">
        <x:v>15.99</x:v>
      </x:c>
      <x:c r="E824" s="1" t="n">
        <x:v>0</x:v>
      </x:c>
      <x:c r="F824" s="1" t="n">
        <x:v>28</x:v>
      </x:c>
      <x:c r="G824" s="1" t="n">
        <x:v>4</x:v>
      </x:c>
      <x:c r="H824" s="1" t="n">
        <x:v>0</x:v>
      </x:c>
      <x:c r="I824" s="1" t="n">
        <x:v>0</x:v>
      </x:c>
      <x:c r="J824" s="1" t="str">
        <x:v>no</x:v>
      </x:c>
      <x:c r="K824" s="1" t="n">
        <x:f>2*H824+E824+IF(G824&gt;30,2,0)-IF(B824&gt;24,1,0)</x:f>
        <x:v>-1</x:v>
      </x:c>
      <x:c r="L824" s="1" t="str">
        <x:f>IF(K824&gt;=3,"yes","no")</x:f>
        <x:v>no</x:v>
      </x:c>
      <x:c r="M824" s="1"/>
      <x:c r="N824" s="1"/>
      <x:c r="O824" s="1"/>
    </x:row>
    <x:row r="825">
      <x:c r="A825" s="1" t="str">
        <x:v>S0824</x:v>
      </x:c>
      <x:c r="B825" s="1" t="n">
        <x:v>44</x:v>
      </x:c>
      <x:c r="C825" s="1" t="str">
        <x:v>basic</x:v>
      </x:c>
      <x:c r="D825" s="8" t="n">
        <x:v>9.99</x:v>
      </x:c>
      <x:c r="E825" s="1" t="n">
        <x:v>0</x:v>
      </x:c>
      <x:c r="F825" s="1" t="n">
        <x:v>0</x:v>
      </x:c>
      <x:c r="G825" s="1" t="n">
        <x:v>33</x:v>
      </x:c>
      <x:c r="H825" s="1" t="n">
        <x:v>0</x:v>
      </x:c>
      <x:c r="I825" s="1" t="n">
        <x:v>0</x:v>
      </x:c>
      <x:c r="J825" s="1" t="str">
        <x:v>no</x:v>
      </x:c>
      <x:c r="K825" s="1" t="n">
        <x:f>2*H825+E825+IF(G825&gt;30,2,0)-IF(B825&gt;24,1,0)</x:f>
        <x:v>1</x:v>
      </x:c>
      <x:c r="L825" s="1" t="str">
        <x:f>IF(K825&gt;=3,"yes","no")</x:f>
        <x:v>no</x:v>
      </x:c>
      <x:c r="M825" s="1"/>
      <x:c r="N825" s="1"/>
      <x:c r="O825" s="1"/>
    </x:row>
    <x:row r="826">
      <x:c r="A826" s="1" t="str">
        <x:v>S0825</x:v>
      </x:c>
      <x:c r="B826" s="1" t="n">
        <x:v>30</x:v>
      </x:c>
      <x:c r="C826" s="1" t="str">
        <x:v>basic</x:v>
      </x:c>
      <x:c r="D826" s="8" t="n">
        <x:v>9.99</x:v>
      </x:c>
      <x:c r="E826" s="1" t="n">
        <x:v>4</x:v>
      </x:c>
      <x:c r="F826" s="1" t="n">
        <x:v>20</x:v>
      </x:c>
      <x:c r="G826" s="1" t="n">
        <x:v>28</x:v>
      </x:c>
      <x:c r="H826" s="1" t="n">
        <x:v>0</x:v>
      </x:c>
      <x:c r="I826" s="1" t="n">
        <x:v>0</x:v>
      </x:c>
      <x:c r="J826" s="1" t="str">
        <x:v>yes</x:v>
      </x:c>
      <x:c r="K826" s="1" t="n">
        <x:f>2*H826+E826+IF(G826&gt;30,2,0)-IF(B826&gt;24,1,0)</x:f>
        <x:v>3</x:v>
      </x:c>
      <x:c r="L826" s="1" t="str">
        <x:f>IF(K826&gt;=3,"yes","no")</x:f>
        <x:v>yes</x:v>
      </x:c>
      <x:c r="M826" s="1"/>
      <x:c r="N826" s="1"/>
      <x:c r="O826" s="1"/>
    </x:row>
    <x:row r="827">
      <x:c r="A827" s="1" t="str">
        <x:v>S0826</x:v>
      </x:c>
      <x:c r="B827" s="1" t="n">
        <x:v>28</x:v>
      </x:c>
      <x:c r="C827" s="1" t="str">
        <x:v>basic</x:v>
      </x:c>
      <x:c r="D827" s="8" t="n">
        <x:v>9.99</x:v>
      </x:c>
      <x:c r="E827" s="1" t="n">
        <x:v>1</x:v>
      </x:c>
      <x:c r="F827" s="1" t="n">
        <x:v>13</x:v>
      </x:c>
      <x:c r="G827" s="1" t="n">
        <x:v>19</x:v>
      </x:c>
      <x:c r="H827" s="1" t="n">
        <x:v>0</x:v>
      </x:c>
      <x:c r="I827" s="1" t="n">
        <x:v>0</x:v>
      </x:c>
      <x:c r="J827" s="1" t="str">
        <x:v>no</x:v>
      </x:c>
      <x:c r="K827" s="1" t="n">
        <x:f>2*H827+E827+IF(G827&gt;30,2,0)-IF(B827&gt;24,1,0)</x:f>
        <x:v>0</x:v>
      </x:c>
      <x:c r="L827" s="1" t="str">
        <x:f>IF(K827&gt;=3,"yes","no")</x:f>
        <x:v>no</x:v>
      </x:c>
      <x:c r="M827" s="1"/>
      <x:c r="N827" s="1"/>
      <x:c r="O827" s="1"/>
    </x:row>
    <x:row r="828">
      <x:c r="A828" s="1" t="str">
        <x:v>S0827</x:v>
      </x:c>
      <x:c r="B828" s="1" t="n">
        <x:v>27</x:v>
      </x:c>
      <x:c r="C828" s="1" t="str">
        <x:v>basic</x:v>
      </x:c>
      <x:c r="D828" s="8" t="n">
        <x:v>9.99</x:v>
      </x:c>
      <x:c r="E828" s="1" t="n">
        <x:v>0</x:v>
      </x:c>
      <x:c r="F828" s="1" t="n">
        <x:v>40</x:v>
      </x:c>
      <x:c r="G828" s="1" t="n">
        <x:v>7</x:v>
      </x:c>
      <x:c r="H828" s="1" t="n">
        <x:v>0</x:v>
      </x:c>
      <x:c r="I828" s="1" t="n">
        <x:v>0</x:v>
      </x:c>
      <x:c r="J828" s="1" t="str">
        <x:v>no</x:v>
      </x:c>
      <x:c r="K828" s="1" t="n">
        <x:f>2*H828+E828+IF(G828&gt;30,2,0)-IF(B828&gt;24,1,0)</x:f>
        <x:v>-1</x:v>
      </x:c>
      <x:c r="L828" s="1" t="str">
        <x:f>IF(K828&gt;=3,"yes","no")</x:f>
        <x:v>no</x:v>
      </x:c>
      <x:c r="M828" s="1"/>
      <x:c r="N828" s="1"/>
      <x:c r="O828" s="1"/>
    </x:row>
    <x:row r="829">
      <x:c r="A829" s="1" t="str">
        <x:v>S0828</x:v>
      </x:c>
      <x:c r="B829" s="1" t="n">
        <x:v>48</x:v>
      </x:c>
      <x:c r="C829" s="1" t="str">
        <x:v>basic</x:v>
      </x:c>
      <x:c r="D829" s="8" t="n">
        <x:v>9.99</x:v>
      </x:c>
      <x:c r="E829" s="1" t="n">
        <x:v>0</x:v>
      </x:c>
      <x:c r="F829" s="1" t="n">
        <x:v>9</x:v>
      </x:c>
      <x:c r="G829" s="1" t="n">
        <x:v>18</x:v>
      </x:c>
      <x:c r="H829" s="1" t="n">
        <x:v>2</x:v>
      </x:c>
      <x:c r="I829" s="1" t="n">
        <x:v>0</x:v>
      </x:c>
      <x:c r="J829" s="1" t="str">
        <x:v>no</x:v>
      </x:c>
      <x:c r="K829" s="1" t="n">
        <x:f>2*H829+E829+IF(G829&gt;30,2,0)-IF(B829&gt;24,1,0)</x:f>
        <x:v>3</x:v>
      </x:c>
      <x:c r="L829" s="1" t="str">
        <x:f>IF(K829&gt;=3,"yes","no")</x:f>
        <x:v>yes</x:v>
      </x:c>
      <x:c r="M829" s="1"/>
      <x:c r="N829" s="1"/>
      <x:c r="O829" s="1"/>
    </x:row>
    <x:row r="830">
      <x:c r="A830" s="1" t="str">
        <x:v>S0829</x:v>
      </x:c>
      <x:c r="B830" s="1" t="n">
        <x:v>26</x:v>
      </x:c>
      <x:c r="C830" s="1" t="str">
        <x:v>basic</x:v>
      </x:c>
      <x:c r="D830" s="8" t="n">
        <x:v>9.99</x:v>
      </x:c>
      <x:c r="E830" s="1" t="n">
        <x:v>2</x:v>
      </x:c>
      <x:c r="F830" s="1" t="n">
        <x:v>10</x:v>
      </x:c>
      <x:c r="G830" s="1" t="n">
        <x:v>5</x:v>
      </x:c>
      <x:c r="H830" s="1" t="n">
        <x:v>1</x:v>
      </x:c>
      <x:c r="I830" s="1" t="n">
        <x:v>0</x:v>
      </x:c>
      <x:c r="J830" s="1" t="str">
        <x:v>no</x:v>
      </x:c>
      <x:c r="K830" s="1" t="n">
        <x:f>2*H830+E830+IF(G830&gt;30,2,0)-IF(B830&gt;24,1,0)</x:f>
        <x:v>3</x:v>
      </x:c>
      <x:c r="L830" s="1" t="str">
        <x:f>IF(K830&gt;=3,"yes","no")</x:f>
        <x:v>yes</x:v>
      </x:c>
      <x:c r="M830" s="1"/>
      <x:c r="N830" s="1"/>
      <x:c r="O830" s="1"/>
    </x:row>
    <x:row r="831">
      <x:c r="A831" s="1" t="str">
        <x:v>S0830</x:v>
      </x:c>
      <x:c r="B831" s="1" t="n">
        <x:v>1</x:v>
      </x:c>
      <x:c r="C831" s="1" t="str">
        <x:v>basic</x:v>
      </x:c>
      <x:c r="D831" s="8" t="n">
        <x:v>9.99</x:v>
      </x:c>
      <x:c r="E831" s="1" t="n">
        <x:v>1</x:v>
      </x:c>
      <x:c r="F831" s="1" t="n">
        <x:v>1</x:v>
      </x:c>
      <x:c r="G831" s="1" t="n">
        <x:v>18</x:v>
      </x:c>
      <x:c r="H831" s="1" t="n">
        <x:v>0</x:v>
      </x:c>
      <x:c r="I831" s="1" t="n">
        <x:v>0</x:v>
      </x:c>
      <x:c r="J831" s="1" t="str">
        <x:v>yes</x:v>
      </x:c>
      <x:c r="K831" s="1" t="n">
        <x:f>2*H831+E831+IF(G831&gt;30,2,0)-IF(B831&gt;24,1,0)</x:f>
        <x:v>1</x:v>
      </x:c>
      <x:c r="L831" s="1" t="str">
        <x:f>IF(K831&gt;=3,"yes","no")</x:f>
        <x:v>no</x:v>
      </x:c>
      <x:c r="M831" s="1"/>
      <x:c r="N831" s="1"/>
      <x:c r="O831" s="1"/>
    </x:row>
    <x:row r="832">
      <x:c r="A832" s="1" t="str">
        <x:v>S0831</x:v>
      </x:c>
      <x:c r="B832" s="1" t="n">
        <x:v>36</x:v>
      </x:c>
      <x:c r="C832" s="1" t="str">
        <x:v>basic</x:v>
      </x:c>
      <x:c r="D832" s="8" t="n">
        <x:v>9.99</x:v>
      </x:c>
      <x:c r="E832" s="1" t="n">
        <x:v>0</x:v>
      </x:c>
      <x:c r="F832" s="1" t="n">
        <x:v>24</x:v>
      </x:c>
      <x:c r="G832" s="1" t="n">
        <x:v>1</x:v>
      </x:c>
      <x:c r="H832" s="1" t="n">
        <x:v>0</x:v>
      </x:c>
      <x:c r="I832" s="1" t="n">
        <x:v>0</x:v>
      </x:c>
      <x:c r="J832" s="1" t="str">
        <x:v>no</x:v>
      </x:c>
      <x:c r="K832" s="1" t="n">
        <x:f>2*H832+E832+IF(G832&gt;30,2,0)-IF(B832&gt;24,1,0)</x:f>
        <x:v>-1</x:v>
      </x:c>
      <x:c r="L832" s="1" t="str">
        <x:f>IF(K832&gt;=3,"yes","no")</x:f>
        <x:v>no</x:v>
      </x:c>
      <x:c r="M832" s="1"/>
      <x:c r="N832" s="1"/>
      <x:c r="O832" s="1"/>
    </x:row>
    <x:row r="833">
      <x:c r="A833" s="1" t="str">
        <x:v>S0832</x:v>
      </x:c>
      <x:c r="B833" s="1" t="n">
        <x:v>48</x:v>
      </x:c>
      <x:c r="C833" s="1" t="str">
        <x:v>premium</x:v>
      </x:c>
      <x:c r="D833" s="8" t="n">
        <x:v>15.99</x:v>
      </x:c>
      <x:c r="E833" s="1" t="n">
        <x:v>0</x:v>
      </x:c>
      <x:c r="F833" s="1" t="n">
        <x:v>14</x:v>
      </x:c>
      <x:c r="G833" s="1" t="n">
        <x:v>8</x:v>
      </x:c>
      <x:c r="H833" s="1" t="n">
        <x:v>0</x:v>
      </x:c>
      <x:c r="I833" s="1" t="n">
        <x:v>0</x:v>
      </x:c>
      <x:c r="J833" s="1" t="str">
        <x:v>no</x:v>
      </x:c>
      <x:c r="K833" s="1" t="n">
        <x:f>2*H833+E833+IF(G833&gt;30,2,0)-IF(B833&gt;24,1,0)</x:f>
        <x:v>-1</x:v>
      </x:c>
      <x:c r="L833" s="1" t="str">
        <x:f>IF(K833&gt;=3,"yes","no")</x:f>
        <x:v>no</x:v>
      </x:c>
      <x:c r="M833" s="1"/>
      <x:c r="N833" s="1"/>
      <x:c r="O833" s="1"/>
    </x:row>
    <x:row r="834">
      <x:c r="A834" s="1" t="str">
        <x:v>S0833</x:v>
      </x:c>
      <x:c r="B834" s="1" t="n">
        <x:v>14</x:v>
      </x:c>
      <x:c r="C834" s="1" t="str">
        <x:v>premium</x:v>
      </x:c>
      <x:c r="D834" s="8" t="n">
        <x:v>15.99</x:v>
      </x:c>
      <x:c r="E834" s="1" t="n">
        <x:v>0</x:v>
      </x:c>
      <x:c r="F834" s="1" t="n">
        <x:v>13</x:v>
      </x:c>
      <x:c r="G834" s="1" t="n">
        <x:v>2</x:v>
      </x:c>
      <x:c r="H834" s="1" t="n">
        <x:v>0</x:v>
      </x:c>
      <x:c r="I834" s="1" t="n">
        <x:v>0</x:v>
      </x:c>
      <x:c r="J834" s="1" t="str">
        <x:v>no</x:v>
      </x:c>
      <x:c r="K834" s="1" t="n">
        <x:f>2*H834+E834+IF(G834&gt;30,2,0)-IF(B834&gt;24,1,0)</x:f>
        <x:v>0</x:v>
      </x:c>
      <x:c r="L834" s="1" t="str">
        <x:f>IF(K834&gt;=3,"yes","no")</x:f>
        <x:v>no</x:v>
      </x:c>
      <x:c r="M834" s="1"/>
      <x:c r="N834" s="1"/>
      <x:c r="O834" s="1"/>
    </x:row>
    <x:row r="835">
      <x:c r="A835" s="1" t="str">
        <x:v>S0834</x:v>
      </x:c>
      <x:c r="B835" s="1" t="n">
        <x:v>18</x:v>
      </x:c>
      <x:c r="C835" s="1" t="str">
        <x:v>basic</x:v>
      </x:c>
      <x:c r="D835" s="8" t="n">
        <x:v>9.99</x:v>
      </x:c>
      <x:c r="E835" s="1" t="n">
        <x:v>0</x:v>
      </x:c>
      <x:c r="F835" s="1" t="n">
        <x:v>13</x:v>
      </x:c>
      <x:c r="G835" s="1" t="n">
        <x:v>2</x:v>
      </x:c>
      <x:c r="H835" s="1" t="n">
        <x:v>0</x:v>
      </x:c>
      <x:c r="I835" s="1" t="n">
        <x:v>0</x:v>
      </x:c>
      <x:c r="J835" s="1" t="str">
        <x:v>no</x:v>
      </x:c>
      <x:c r="K835" s="1" t="n">
        <x:f>2*H835+E835+IF(G835&gt;30,2,0)-IF(B835&gt;24,1,0)</x:f>
        <x:v>0</x:v>
      </x:c>
      <x:c r="L835" s="1" t="str">
        <x:f>IF(K835&gt;=3,"yes","no")</x:f>
        <x:v>no</x:v>
      </x:c>
      <x:c r="M835" s="1"/>
      <x:c r="N835" s="1"/>
      <x:c r="O835" s="1"/>
    </x:row>
    <x:row r="836">
      <x:c r="A836" s="1" t="str">
        <x:v>S0835</x:v>
      </x:c>
      <x:c r="B836" s="1" t="n">
        <x:v>33</x:v>
      </x:c>
      <x:c r="C836" s="1" t="str">
        <x:v>basic</x:v>
      </x:c>
      <x:c r="D836" s="8" t="n">
        <x:v>9.99</x:v>
      </x:c>
      <x:c r="E836" s="1" t="n">
        <x:v>0</x:v>
      </x:c>
      <x:c r="F836" s="1" t="n">
        <x:v>1</x:v>
      </x:c>
      <x:c r="G836" s="1" t="n">
        <x:v>22</x:v>
      </x:c>
      <x:c r="H836" s="1" t="n">
        <x:v>0</x:v>
      </x:c>
      <x:c r="I836" s="1" t="n">
        <x:v>0</x:v>
      </x:c>
      <x:c r="J836" s="1" t="str">
        <x:v>no</x:v>
      </x:c>
      <x:c r="K836" s="1" t="n">
        <x:f>2*H836+E836+IF(G836&gt;30,2,0)-IF(B836&gt;24,1,0)</x:f>
        <x:v>-1</x:v>
      </x:c>
      <x:c r="L836" s="1" t="str">
        <x:f>IF(K836&gt;=3,"yes","no")</x:f>
        <x:v>no</x:v>
      </x:c>
      <x:c r="M836" s="1"/>
      <x:c r="N836" s="1"/>
      <x:c r="O836" s="1"/>
    </x:row>
    <x:row r="837">
      <x:c r="A837" s="1" t="str">
        <x:v>S0836</x:v>
      </x:c>
      <x:c r="B837" s="1" t="n">
        <x:v>9</x:v>
      </x:c>
      <x:c r="C837" s="1" t="str">
        <x:v>basic</x:v>
      </x:c>
      <x:c r="D837" s="8" t="n">
        <x:v>9.99</x:v>
      </x:c>
      <x:c r="E837" s="1" t="n">
        <x:v>1</x:v>
      </x:c>
      <x:c r="F837" s="1" t="n">
        <x:v>0</x:v>
      </x:c>
      <x:c r="G837" s="1" t="n">
        <x:v>43</x:v>
      </x:c>
      <x:c r="H837" s="1" t="n">
        <x:v>0</x:v>
      </x:c>
      <x:c r="I837" s="1" t="n">
        <x:v>1</x:v>
      </x:c>
      <x:c r="J837" s="1" t="str">
        <x:v>yes</x:v>
      </x:c>
      <x:c r="K837" s="1" t="n">
        <x:f>2*H837+E837+IF(G837&gt;30,2,0)-IF(B837&gt;24,1,0)</x:f>
        <x:v>3</x:v>
      </x:c>
      <x:c r="L837" s="1" t="str">
        <x:f>IF(K837&gt;=3,"yes","no")</x:f>
        <x:v>yes</x:v>
      </x:c>
      <x:c r="M837" s="1"/>
      <x:c r="N837" s="1"/>
      <x:c r="O837" s="1"/>
    </x:row>
    <x:row r="838">
      <x:c r="A838" s="1" t="str">
        <x:v>S0837</x:v>
      </x:c>
      <x:c r="B838" s="1" t="n">
        <x:v>7</x:v>
      </x:c>
      <x:c r="C838" s="1" t="str">
        <x:v>basic</x:v>
      </x:c>
      <x:c r="D838" s="8" t="n">
        <x:v>9.99</x:v>
      </x:c>
      <x:c r="E838" s="1" t="n">
        <x:v>0</x:v>
      </x:c>
      <x:c r="F838" s="1" t="n">
        <x:v>10</x:v>
      </x:c>
      <x:c r="G838" s="1" t="n">
        <x:v>12</x:v>
      </x:c>
      <x:c r="H838" s="1" t="n">
        <x:v>0</x:v>
      </x:c>
      <x:c r="I838" s="1" t="n">
        <x:v>0</x:v>
      </x:c>
      <x:c r="J838" s="1" t="str">
        <x:v>no</x:v>
      </x:c>
      <x:c r="K838" s="1" t="n">
        <x:f>2*H838+E838+IF(G838&gt;30,2,0)-IF(B838&gt;24,1,0)</x:f>
        <x:v>0</x:v>
      </x:c>
      <x:c r="L838" s="1" t="str">
        <x:f>IF(K838&gt;=3,"yes","no")</x:f>
        <x:v>no</x:v>
      </x:c>
      <x:c r="M838" s="1"/>
      <x:c r="N838" s="1"/>
      <x:c r="O838" s="1"/>
    </x:row>
    <x:row r="839">
      <x:c r="A839" s="1" t="str">
        <x:v>S0838</x:v>
      </x:c>
      <x:c r="B839" s="1" t="n">
        <x:v>22</x:v>
      </x:c>
      <x:c r="C839" s="1" t="str">
        <x:v>basic</x:v>
      </x:c>
      <x:c r="D839" s="8" t="n">
        <x:v>9.99</x:v>
      </x:c>
      <x:c r="E839" s="1" t="n">
        <x:v>3</x:v>
      </x:c>
      <x:c r="F839" s="1" t="n">
        <x:v>13</x:v>
      </x:c>
      <x:c r="G839" s="1" t="n">
        <x:v>21</x:v>
      </x:c>
      <x:c r="H839" s="1" t="n">
        <x:v>0</x:v>
      </x:c>
      <x:c r="I839" s="1" t="n">
        <x:v>0</x:v>
      </x:c>
      <x:c r="J839" s="1" t="str">
        <x:v>no</x:v>
      </x:c>
      <x:c r="K839" s="1" t="n">
        <x:f>2*H839+E839+IF(G839&gt;30,2,0)-IF(B839&gt;24,1,0)</x:f>
        <x:v>3</x:v>
      </x:c>
      <x:c r="L839" s="1" t="str">
        <x:f>IF(K839&gt;=3,"yes","no")</x:f>
        <x:v>yes</x:v>
      </x:c>
      <x:c r="M839" s="1"/>
      <x:c r="N839" s="1"/>
      <x:c r="O839" s="1"/>
    </x:row>
    <x:row r="840">
      <x:c r="A840" s="1" t="str">
        <x:v>S0839</x:v>
      </x:c>
      <x:c r="B840" s="1" t="n">
        <x:v>40</x:v>
      </x:c>
      <x:c r="C840" s="1" t="str">
        <x:v>basic</x:v>
      </x:c>
      <x:c r="D840" s="8" t="n">
        <x:v>9.99</x:v>
      </x:c>
      <x:c r="E840" s="1" t="n">
        <x:v>0</x:v>
      </x:c>
      <x:c r="F840" s="1" t="n">
        <x:v>0</x:v>
      </x:c>
      <x:c r="G840" s="1" t="n">
        <x:v>39</x:v>
      </x:c>
      <x:c r="H840" s="1" t="n">
        <x:v>0</x:v>
      </x:c>
      <x:c r="I840" s="1" t="n">
        <x:v>0</x:v>
      </x:c>
      <x:c r="J840" s="1" t="str">
        <x:v>yes</x:v>
      </x:c>
      <x:c r="K840" s="1" t="n">
        <x:f>2*H840+E840+IF(G840&gt;30,2,0)-IF(B840&gt;24,1,0)</x:f>
        <x:v>1</x:v>
      </x:c>
      <x:c r="L840" s="1" t="str">
        <x:f>IF(K840&gt;=3,"yes","no")</x:f>
        <x:v>no</x:v>
      </x:c>
      <x:c r="M840" s="1"/>
      <x:c r="N840" s="1"/>
      <x:c r="O840" s="1"/>
    </x:row>
    <x:row r="841">
      <x:c r="A841" s="1" t="str">
        <x:v>S0840</x:v>
      </x:c>
      <x:c r="B841" s="1" t="n">
        <x:v>35</x:v>
      </x:c>
      <x:c r="C841" s="1" t="str">
        <x:v>basic</x:v>
      </x:c>
      <x:c r="D841" s="8" t="n">
        <x:v>9.99</x:v>
      </x:c>
      <x:c r="E841" s="1" t="n">
        <x:v>0</x:v>
      </x:c>
      <x:c r="F841" s="1" t="n">
        <x:v>34</x:v>
      </x:c>
      <x:c r="G841" s="1" t="n">
        <x:v>4</x:v>
      </x:c>
      <x:c r="H841" s="1" t="n">
        <x:v>0</x:v>
      </x:c>
      <x:c r="I841" s="1" t="n">
        <x:v>0</x:v>
      </x:c>
      <x:c r="J841" s="1" t="str">
        <x:v>no</x:v>
      </x:c>
      <x:c r="K841" s="1" t="n">
        <x:f>2*H841+E841+IF(G841&gt;30,2,0)-IF(B841&gt;24,1,0)</x:f>
        <x:v>-1</x:v>
      </x:c>
      <x:c r="L841" s="1" t="str">
        <x:f>IF(K841&gt;=3,"yes","no")</x:f>
        <x:v>no</x:v>
      </x:c>
      <x:c r="M841" s="1"/>
      <x:c r="N841" s="1"/>
      <x:c r="O841" s="1"/>
    </x:row>
    <x:row r="842">
      <x:c r="A842" s="1" t="str">
        <x:v>S0841</x:v>
      </x:c>
      <x:c r="B842" s="1" t="n">
        <x:v>48</x:v>
      </x:c>
      <x:c r="C842" s="1" t="str">
        <x:v>basic</x:v>
      </x:c>
      <x:c r="D842" s="8" t="n">
        <x:v>9.99</x:v>
      </x:c>
      <x:c r="E842" s="1" t="n">
        <x:v>1</x:v>
      </x:c>
      <x:c r="F842" s="1" t="n">
        <x:v>24</x:v>
      </x:c>
      <x:c r="G842" s="1" t="n">
        <x:v>0</x:v>
      </x:c>
      <x:c r="H842" s="1" t="n">
        <x:v>0</x:v>
      </x:c>
      <x:c r="I842" s="1" t="n">
        <x:v>1</x:v>
      </x:c>
      <x:c r="J842" s="1" t="str">
        <x:v>no</x:v>
      </x:c>
      <x:c r="K842" s="1" t="n">
        <x:f>2*H842+E842+IF(G842&gt;30,2,0)-IF(B842&gt;24,1,0)</x:f>
        <x:v>0</x:v>
      </x:c>
      <x:c r="L842" s="1" t="str">
        <x:f>IF(K842&gt;=3,"yes","no")</x:f>
        <x:v>no</x:v>
      </x:c>
      <x:c r="M842" s="1"/>
      <x:c r="N842" s="1"/>
      <x:c r="O842" s="1"/>
    </x:row>
    <x:row r="843">
      <x:c r="A843" s="1" t="str">
        <x:v>S0842</x:v>
      </x:c>
      <x:c r="B843" s="1" t="n">
        <x:v>3</x:v>
      </x:c>
      <x:c r="C843" s="1" t="str">
        <x:v>premium</x:v>
      </x:c>
      <x:c r="D843" s="8" t="n">
        <x:v>15.99</x:v>
      </x:c>
      <x:c r="E843" s="1" t="n">
        <x:v>0</x:v>
      </x:c>
      <x:c r="F843" s="1" t="n">
        <x:v>13</x:v>
      </x:c>
      <x:c r="G843" s="1" t="n">
        <x:v>13</x:v>
      </x:c>
      <x:c r="H843" s="1" t="n">
        <x:v>0</x:v>
      </x:c>
      <x:c r="I843" s="1" t="n">
        <x:v>1</x:v>
      </x:c>
      <x:c r="J843" s="1" t="str">
        <x:v>no</x:v>
      </x:c>
      <x:c r="K843" s="1" t="n">
        <x:f>2*H843+E843+IF(G843&gt;30,2,0)-IF(B843&gt;24,1,0)</x:f>
        <x:v>0</x:v>
      </x:c>
      <x:c r="L843" s="1" t="str">
        <x:f>IF(K843&gt;=3,"yes","no")</x:f>
        <x:v>no</x:v>
      </x:c>
      <x:c r="M843" s="1"/>
      <x:c r="N843" s="1"/>
      <x:c r="O843" s="1"/>
    </x:row>
    <x:row r="844">
      <x:c r="A844" s="1" t="str">
        <x:v>S0843</x:v>
      </x:c>
      <x:c r="B844" s="1" t="n">
        <x:v>29</x:v>
      </x:c>
      <x:c r="C844" s="1" t="str">
        <x:v>premium</x:v>
      </x:c>
      <x:c r="D844" s="8" t="n">
        <x:v>15.99</x:v>
      </x:c>
      <x:c r="E844" s="1" t="n">
        <x:v>2</x:v>
      </x:c>
      <x:c r="F844" s="1" t="n">
        <x:v>23</x:v>
      </x:c>
      <x:c r="G844" s="1" t="n">
        <x:v>1</x:v>
      </x:c>
      <x:c r="H844" s="1" t="n">
        <x:v>0</x:v>
      </x:c>
      <x:c r="I844" s="1" t="n">
        <x:v>0</x:v>
      </x:c>
      <x:c r="J844" s="1" t="str">
        <x:v>no</x:v>
      </x:c>
      <x:c r="K844" s="1" t="n">
        <x:f>2*H844+E844+IF(G844&gt;30,2,0)-IF(B844&gt;24,1,0)</x:f>
        <x:v>1</x:v>
      </x:c>
      <x:c r="L844" s="1" t="str">
        <x:f>IF(K844&gt;=3,"yes","no")</x:f>
        <x:v>no</x:v>
      </x:c>
      <x:c r="M844" s="1"/>
      <x:c r="N844" s="1"/>
      <x:c r="O844" s="1"/>
    </x:row>
    <x:row r="845">
      <x:c r="A845" s="1" t="str">
        <x:v>S0844</x:v>
      </x:c>
      <x:c r="B845" s="1" t="n">
        <x:v>29</x:v>
      </x:c>
      <x:c r="C845" s="1" t="str">
        <x:v>basic</x:v>
      </x:c>
      <x:c r="D845" s="8" t="n">
        <x:v>9.99</x:v>
      </x:c>
      <x:c r="E845" s="1" t="n">
        <x:v>0</x:v>
      </x:c>
      <x:c r="F845" s="1" t="n">
        <x:v>0</x:v>
      </x:c>
      <x:c r="G845" s="1" t="n">
        <x:v>56</x:v>
      </x:c>
      <x:c r="H845" s="1" t="n">
        <x:v>0</x:v>
      </x:c>
      <x:c r="I845" s="1" t="n">
        <x:v>0</x:v>
      </x:c>
      <x:c r="J845" s="1" t="str">
        <x:v>no</x:v>
      </x:c>
      <x:c r="K845" s="1" t="n">
        <x:f>2*H845+E845+IF(G845&gt;30,2,0)-IF(B845&gt;24,1,0)</x:f>
        <x:v>1</x:v>
      </x:c>
      <x:c r="L845" s="1" t="str">
        <x:f>IF(K845&gt;=3,"yes","no")</x:f>
        <x:v>no</x:v>
      </x:c>
      <x:c r="M845" s="1"/>
      <x:c r="N845" s="1"/>
      <x:c r="O845" s="1"/>
    </x:row>
    <x:row r="846">
      <x:c r="A846" s="1" t="str">
        <x:v>S0845</x:v>
      </x:c>
      <x:c r="B846" s="1" t="n">
        <x:v>2</x:v>
      </x:c>
      <x:c r="C846" s="1" t="str">
        <x:v>basic</x:v>
      </x:c>
      <x:c r="D846" s="8" t="n">
        <x:v>9.99</x:v>
      </x:c>
      <x:c r="E846" s="1" t="n">
        <x:v>2</x:v>
      </x:c>
      <x:c r="F846" s="1" t="n">
        <x:v>19</x:v>
      </x:c>
      <x:c r="G846" s="1" t="n">
        <x:v>2</x:v>
      </x:c>
      <x:c r="H846" s="1" t="n">
        <x:v>0</x:v>
      </x:c>
      <x:c r="I846" s="1" t="n">
        <x:v>0</x:v>
      </x:c>
      <x:c r="J846" s="1" t="str">
        <x:v>no</x:v>
      </x:c>
      <x:c r="K846" s="1" t="n">
        <x:f>2*H846+E846+IF(G846&gt;30,2,0)-IF(B846&gt;24,1,0)</x:f>
        <x:v>2</x:v>
      </x:c>
      <x:c r="L846" s="1" t="str">
        <x:f>IF(K846&gt;=3,"yes","no")</x:f>
        <x:v>no</x:v>
      </x:c>
      <x:c r="M846" s="1"/>
      <x:c r="N846" s="1"/>
      <x:c r="O846" s="1"/>
    </x:row>
    <x:row r="847">
      <x:c r="A847" s="1" t="str">
        <x:v>S0846</x:v>
      </x:c>
      <x:c r="B847" s="1" t="n">
        <x:v>9</x:v>
      </x:c>
      <x:c r="C847" s="1" t="str">
        <x:v>basic</x:v>
      </x:c>
      <x:c r="D847" s="8" t="n">
        <x:v>9.99</x:v>
      </x:c>
      <x:c r="E847" s="1" t="n">
        <x:v>2</x:v>
      </x:c>
      <x:c r="F847" s="1" t="n">
        <x:v>23</x:v>
      </x:c>
      <x:c r="G847" s="1" t="n">
        <x:v>6</x:v>
      </x:c>
      <x:c r="H847" s="1" t="n">
        <x:v>0</x:v>
      </x:c>
      <x:c r="I847" s="1" t="n">
        <x:v>1</x:v>
      </x:c>
      <x:c r="J847" s="1" t="str">
        <x:v>no</x:v>
      </x:c>
      <x:c r="K847" s="1" t="n">
        <x:f>2*H847+E847+IF(G847&gt;30,2,0)-IF(B847&gt;24,1,0)</x:f>
        <x:v>2</x:v>
      </x:c>
      <x:c r="L847" s="1" t="str">
        <x:f>IF(K847&gt;=3,"yes","no")</x:f>
        <x:v>no</x:v>
      </x:c>
      <x:c r="M847" s="1"/>
      <x:c r="N847" s="1"/>
      <x:c r="O847" s="1"/>
    </x:row>
    <x:row r="848">
      <x:c r="A848" s="1" t="str">
        <x:v>S0847</x:v>
      </x:c>
      <x:c r="B848" s="1" t="n">
        <x:v>18</x:v>
      </x:c>
      <x:c r="C848" s="1" t="str">
        <x:v>basic</x:v>
      </x:c>
      <x:c r="D848" s="8" t="n">
        <x:v>9.99</x:v>
      </x:c>
      <x:c r="E848" s="1" t="n">
        <x:v>0</x:v>
      </x:c>
      <x:c r="F848" s="1" t="n">
        <x:v>9</x:v>
      </x:c>
      <x:c r="G848" s="1" t="n">
        <x:v>6</x:v>
      </x:c>
      <x:c r="H848" s="1" t="n">
        <x:v>2</x:v>
      </x:c>
      <x:c r="I848" s="1" t="n">
        <x:v>0</x:v>
      </x:c>
      <x:c r="J848" s="1" t="str">
        <x:v>no</x:v>
      </x:c>
      <x:c r="K848" s="1" t="n">
        <x:f>2*H848+E848+IF(G848&gt;30,2,0)-IF(B848&gt;24,1,0)</x:f>
        <x:v>4</x:v>
      </x:c>
      <x:c r="L848" s="1" t="str">
        <x:f>IF(K848&gt;=3,"yes","no")</x:f>
        <x:v>yes</x:v>
      </x:c>
      <x:c r="M848" s="1"/>
      <x:c r="N848" s="1"/>
      <x:c r="O848" s="1"/>
    </x:row>
    <x:row r="849">
      <x:c r="A849" s="1" t="str">
        <x:v>S0848</x:v>
      </x:c>
      <x:c r="B849" s="1" t="n">
        <x:v>12</x:v>
      </x:c>
      <x:c r="C849" s="1" t="str">
        <x:v>premium</x:v>
      </x:c>
      <x:c r="D849" s="8" t="n">
        <x:v>15.99</x:v>
      </x:c>
      <x:c r="E849" s="1" t="n">
        <x:v>0</x:v>
      </x:c>
      <x:c r="F849" s="1" t="n">
        <x:v>0</x:v>
      </x:c>
      <x:c r="G849" s="1" t="n">
        <x:v>38</x:v>
      </x:c>
      <x:c r="H849" s="1" t="n">
        <x:v>0</x:v>
      </x:c>
      <x:c r="I849" s="1" t="n">
        <x:v>0</x:v>
      </x:c>
      <x:c r="J849" s="1" t="str">
        <x:v>no</x:v>
      </x:c>
      <x:c r="K849" s="1" t="n">
        <x:f>2*H849+E849+IF(G849&gt;30,2,0)-IF(B849&gt;24,1,0)</x:f>
        <x:v>2</x:v>
      </x:c>
      <x:c r="L849" s="1" t="str">
        <x:f>IF(K849&gt;=3,"yes","no")</x:f>
        <x:v>no</x:v>
      </x:c>
      <x:c r="M849" s="1"/>
      <x:c r="N849" s="1"/>
      <x:c r="O849" s="1"/>
    </x:row>
    <x:row r="850">
      <x:c r="A850" s="1" t="str">
        <x:v>S0849</x:v>
      </x:c>
      <x:c r="B850" s="1" t="n">
        <x:v>34</x:v>
      </x:c>
      <x:c r="C850" s="1" t="str">
        <x:v>premium</x:v>
      </x:c>
      <x:c r="D850" s="8" t="n">
        <x:v>15.99</x:v>
      </x:c>
      <x:c r="E850" s="1" t="n">
        <x:v>0</x:v>
      </x:c>
      <x:c r="F850" s="1" t="n">
        <x:v>17</x:v>
      </x:c>
      <x:c r="G850" s="1" t="n">
        <x:v>6</x:v>
      </x:c>
      <x:c r="H850" s="1" t="n">
        <x:v>0</x:v>
      </x:c>
      <x:c r="I850" s="1" t="n">
        <x:v>0</x:v>
      </x:c>
      <x:c r="J850" s="1" t="str">
        <x:v>no</x:v>
      </x:c>
      <x:c r="K850" s="1" t="n">
        <x:f>2*H850+E850+IF(G850&gt;30,2,0)-IF(B850&gt;24,1,0)</x:f>
        <x:v>-1</x:v>
      </x:c>
      <x:c r="L850" s="1" t="str">
        <x:f>IF(K850&gt;=3,"yes","no")</x:f>
        <x:v>no</x:v>
      </x:c>
      <x:c r="M850" s="1"/>
      <x:c r="N850" s="1"/>
      <x:c r="O850" s="1"/>
    </x:row>
    <x:row r="851">
      <x:c r="A851" s="1" t="str">
        <x:v>S0850</x:v>
      </x:c>
      <x:c r="B851" s="1" t="n">
        <x:v>9</x:v>
      </x:c>
      <x:c r="C851" s="1" t="str">
        <x:v>basic</x:v>
      </x:c>
      <x:c r="D851" s="8" t="n">
        <x:v>9.99</x:v>
      </x:c>
      <x:c r="E851" s="1" t="n">
        <x:v>0</x:v>
      </x:c>
      <x:c r="F851" s="1" t="n">
        <x:v>11</x:v>
      </x:c>
      <x:c r="G851" s="1" t="n">
        <x:v>21</x:v>
      </x:c>
      <x:c r="H851" s="1" t="n">
        <x:v>0</x:v>
      </x:c>
      <x:c r="I851" s="1" t="n">
        <x:v>0</x:v>
      </x:c>
      <x:c r="J851" s="1" t="str">
        <x:v>yes</x:v>
      </x:c>
      <x:c r="K851" s="1" t="n">
        <x:f>2*H851+E851+IF(G851&gt;30,2,0)-IF(B851&gt;24,1,0)</x:f>
        <x:v>0</x:v>
      </x:c>
      <x:c r="L851" s="1" t="str">
        <x:f>IF(K851&gt;=3,"yes","no")</x:f>
        <x:v>no</x:v>
      </x:c>
      <x:c r="M851" s="1"/>
      <x:c r="N851" s="1"/>
      <x:c r="O851" s="1"/>
    </x:row>
    <x:row r="852">
      <x:c r="A852" s="1" t="str">
        <x:v>S0851</x:v>
      </x:c>
      <x:c r="B852" s="1" t="n">
        <x:v>33</x:v>
      </x:c>
      <x:c r="C852" s="1" t="str">
        <x:v>premium</x:v>
      </x:c>
      <x:c r="D852" s="8" t="n">
        <x:v>15.99</x:v>
      </x:c>
      <x:c r="E852" s="1" t="n">
        <x:v>1</x:v>
      </x:c>
      <x:c r="F852" s="1" t="n">
        <x:v>22</x:v>
      </x:c>
      <x:c r="G852" s="1" t="n">
        <x:v>22</x:v>
      </x:c>
      <x:c r="H852" s="1" t="n">
        <x:v>0</x:v>
      </x:c>
      <x:c r="I852" s="1" t="n">
        <x:v>0</x:v>
      </x:c>
      <x:c r="J852" s="1" t="str">
        <x:v>no</x:v>
      </x:c>
      <x:c r="K852" s="1" t="n">
        <x:f>2*H852+E852+IF(G852&gt;30,2,0)-IF(B852&gt;24,1,0)</x:f>
        <x:v>0</x:v>
      </x:c>
      <x:c r="L852" s="1" t="str">
        <x:f>IF(K852&gt;=3,"yes","no")</x:f>
        <x:v>no</x:v>
      </x:c>
      <x:c r="M852" s="1"/>
      <x:c r="N852" s="1"/>
      <x:c r="O852" s="1"/>
    </x:row>
    <x:row r="853">
      <x:c r="A853" s="1" t="str">
        <x:v>S0852</x:v>
      </x:c>
      <x:c r="B853" s="1" t="n">
        <x:v>12</x:v>
      </x:c>
      <x:c r="C853" s="1" t="str">
        <x:v>basic</x:v>
      </x:c>
      <x:c r="D853" s="8" t="n">
        <x:v>9.99</x:v>
      </x:c>
      <x:c r="E853" s="1" t="n">
        <x:v>1</x:v>
      </x:c>
      <x:c r="F853" s="1" t="n">
        <x:v>36</x:v>
      </x:c>
      <x:c r="G853" s="1" t="n">
        <x:v>1</x:v>
      </x:c>
      <x:c r="H853" s="1" t="n">
        <x:v>0</x:v>
      </x:c>
      <x:c r="I853" s="1" t="n">
        <x:v>0</x:v>
      </x:c>
      <x:c r="J853" s="1" t="str">
        <x:v>no</x:v>
      </x:c>
      <x:c r="K853" s="1" t="n">
        <x:f>2*H853+E853+IF(G853&gt;30,2,0)-IF(B853&gt;24,1,0)</x:f>
        <x:v>1</x:v>
      </x:c>
      <x:c r="L853" s="1" t="str">
        <x:f>IF(K853&gt;=3,"yes","no")</x:f>
        <x:v>no</x:v>
      </x:c>
      <x:c r="M853" s="1"/>
      <x:c r="N853" s="1"/>
      <x:c r="O853" s="1"/>
    </x:row>
    <x:row r="854">
      <x:c r="A854" s="1" t="str">
        <x:v>S0853</x:v>
      </x:c>
      <x:c r="B854" s="1" t="n">
        <x:v>38</x:v>
      </x:c>
      <x:c r="C854" s="1" t="str">
        <x:v>basic</x:v>
      </x:c>
      <x:c r="D854" s="8" t="n">
        <x:v>9.99</x:v>
      </x:c>
      <x:c r="E854" s="1" t="n">
        <x:v>0</x:v>
      </x:c>
      <x:c r="F854" s="1" t="n">
        <x:v>12</x:v>
      </x:c>
      <x:c r="G854" s="1" t="n">
        <x:v>11</x:v>
      </x:c>
      <x:c r="H854" s="1" t="n">
        <x:v>0</x:v>
      </x:c>
      <x:c r="I854" s="1" t="n">
        <x:v>0</x:v>
      </x:c>
      <x:c r="J854" s="1" t="str">
        <x:v>no</x:v>
      </x:c>
      <x:c r="K854" s="1" t="n">
        <x:f>2*H854+E854+IF(G854&gt;30,2,0)-IF(B854&gt;24,1,0)</x:f>
        <x:v>-1</x:v>
      </x:c>
      <x:c r="L854" s="1" t="str">
        <x:f>IF(K854&gt;=3,"yes","no")</x:f>
        <x:v>no</x:v>
      </x:c>
      <x:c r="M854" s="1"/>
      <x:c r="N854" s="1"/>
      <x:c r="O854" s="1"/>
    </x:row>
    <x:row r="855">
      <x:c r="A855" s="1" t="str">
        <x:v>S0854</x:v>
      </x:c>
      <x:c r="B855" s="1" t="n">
        <x:v>5</x:v>
      </x:c>
      <x:c r="C855" s="1" t="str">
        <x:v>basic</x:v>
      </x:c>
      <x:c r="D855" s="8" t="n">
        <x:v>9.99</x:v>
      </x:c>
      <x:c r="E855" s="1" t="n">
        <x:v>0</x:v>
      </x:c>
      <x:c r="F855" s="1" t="n">
        <x:v>15</x:v>
      </x:c>
      <x:c r="G855" s="1" t="n">
        <x:v>14</x:v>
      </x:c>
      <x:c r="H855" s="1" t="n">
        <x:v>0</x:v>
      </x:c>
      <x:c r="I855" s="1" t="n">
        <x:v>0</x:v>
      </x:c>
      <x:c r="J855" s="1" t="str">
        <x:v>yes</x:v>
      </x:c>
      <x:c r="K855" s="1" t="n">
        <x:f>2*H855+E855+IF(G855&gt;30,2,0)-IF(B855&gt;24,1,0)</x:f>
        <x:v>0</x:v>
      </x:c>
      <x:c r="L855" s="1" t="str">
        <x:f>IF(K855&gt;=3,"yes","no")</x:f>
        <x:v>no</x:v>
      </x:c>
      <x:c r="M855" s="1"/>
      <x:c r="N855" s="1"/>
      <x:c r="O855" s="1"/>
    </x:row>
    <x:row r="856">
      <x:c r="A856" s="1" t="str">
        <x:v>S0855</x:v>
      </x:c>
      <x:c r="B856" s="1" t="n">
        <x:v>46</x:v>
      </x:c>
      <x:c r="C856" s="1" t="str">
        <x:v>premium</x:v>
      </x:c>
      <x:c r="D856" s="8" t="n">
        <x:v>15.99</x:v>
      </x:c>
      <x:c r="E856" s="1" t="n">
        <x:v>1</x:v>
      </x:c>
      <x:c r="F856" s="1" t="n">
        <x:v>29</x:v>
      </x:c>
      <x:c r="G856" s="1" t="n">
        <x:v>7</x:v>
      </x:c>
      <x:c r="H856" s="1" t="n">
        <x:v>0</x:v>
      </x:c>
      <x:c r="I856" s="1" t="n">
        <x:v>0</x:v>
      </x:c>
      <x:c r="J856" s="1" t="str">
        <x:v>no</x:v>
      </x:c>
      <x:c r="K856" s="1" t="n">
        <x:f>2*H856+E856+IF(G856&gt;30,2,0)-IF(B856&gt;24,1,0)</x:f>
        <x:v>0</x:v>
      </x:c>
      <x:c r="L856" s="1" t="str">
        <x:f>IF(K856&gt;=3,"yes","no")</x:f>
        <x:v>no</x:v>
      </x:c>
      <x:c r="M856" s="1"/>
      <x:c r="N856" s="1"/>
      <x:c r="O856" s="1"/>
    </x:row>
    <x:row r="857">
      <x:c r="A857" s="1" t="str">
        <x:v>S0856</x:v>
      </x:c>
      <x:c r="B857" s="1" t="n">
        <x:v>19</x:v>
      </x:c>
      <x:c r="C857" s="1" t="str">
        <x:v>basic</x:v>
      </x:c>
      <x:c r="D857" s="8" t="n">
        <x:v>9.99</x:v>
      </x:c>
      <x:c r="E857" s="1" t="n">
        <x:v>2</x:v>
      </x:c>
      <x:c r="F857" s="1" t="n">
        <x:v>0</x:v>
      </x:c>
      <x:c r="G857" s="1" t="n">
        <x:v>59</x:v>
      </x:c>
      <x:c r="H857" s="1" t="n">
        <x:v>0</x:v>
      </x:c>
      <x:c r="I857" s="1" t="n">
        <x:v>0</x:v>
      </x:c>
      <x:c r="J857" s="1" t="str">
        <x:v>yes</x:v>
      </x:c>
      <x:c r="K857" s="1" t="n">
        <x:f>2*H857+E857+IF(G857&gt;30,2,0)-IF(B857&gt;24,1,0)</x:f>
        <x:v>4</x:v>
      </x:c>
      <x:c r="L857" s="1" t="str">
        <x:f>IF(K857&gt;=3,"yes","no")</x:f>
        <x:v>yes</x:v>
      </x:c>
      <x:c r="M857" s="1"/>
      <x:c r="N857" s="1"/>
      <x:c r="O857" s="1"/>
    </x:row>
    <x:row r="858">
      <x:c r="A858" s="1" t="str">
        <x:v>S0857</x:v>
      </x:c>
      <x:c r="B858" s="1" t="n">
        <x:v>18</x:v>
      </x:c>
      <x:c r="C858" s="1" t="str">
        <x:v>premium</x:v>
      </x:c>
      <x:c r="D858" s="8" t="n">
        <x:v>15.99</x:v>
      </x:c>
      <x:c r="E858" s="1" t="n">
        <x:v>0</x:v>
      </x:c>
      <x:c r="F858" s="1" t="n">
        <x:v>0</x:v>
      </x:c>
      <x:c r="G858" s="1" t="n">
        <x:v>43</x:v>
      </x:c>
      <x:c r="H858" s="1" t="n">
        <x:v>0</x:v>
      </x:c>
      <x:c r="I858" s="1" t="n">
        <x:v>0</x:v>
      </x:c>
      <x:c r="J858" s="1" t="str">
        <x:v>yes</x:v>
      </x:c>
      <x:c r="K858" s="1" t="n">
        <x:f>2*H858+E858+IF(G858&gt;30,2,0)-IF(B858&gt;24,1,0)</x:f>
        <x:v>2</x:v>
      </x:c>
      <x:c r="L858" s="1" t="str">
        <x:f>IF(K858&gt;=3,"yes","no")</x:f>
        <x:v>no</x:v>
      </x:c>
      <x:c r="M858" s="1"/>
      <x:c r="N858" s="1"/>
      <x:c r="O858" s="1"/>
    </x:row>
    <x:row r="859">
      <x:c r="A859" s="1" t="str">
        <x:v>S0858</x:v>
      </x:c>
      <x:c r="B859" s="1" t="n">
        <x:v>1</x:v>
      </x:c>
      <x:c r="C859" s="1" t="str">
        <x:v>basic</x:v>
      </x:c>
      <x:c r="D859" s="8" t="n">
        <x:v>9.99</x:v>
      </x:c>
      <x:c r="E859" s="1" t="n">
        <x:v>0</x:v>
      </x:c>
      <x:c r="F859" s="1" t="n">
        <x:v>22</x:v>
      </x:c>
      <x:c r="G859" s="1" t="n">
        <x:v>15</x:v>
      </x:c>
      <x:c r="H859" s="1" t="n">
        <x:v>0</x:v>
      </x:c>
      <x:c r="I859" s="1" t="n">
        <x:v>1</x:v>
      </x:c>
      <x:c r="J859" s="1" t="str">
        <x:v>no</x:v>
      </x:c>
      <x:c r="K859" s="1" t="n">
        <x:f>2*H859+E859+IF(G859&gt;30,2,0)-IF(B859&gt;24,1,0)</x:f>
        <x:v>0</x:v>
      </x:c>
      <x:c r="L859" s="1" t="str">
        <x:f>IF(K859&gt;=3,"yes","no")</x:f>
        <x:v>no</x:v>
      </x:c>
      <x:c r="M859" s="1"/>
      <x:c r="N859" s="1"/>
      <x:c r="O859" s="1"/>
    </x:row>
    <x:row r="860">
      <x:c r="A860" s="1" t="str">
        <x:v>S0859</x:v>
      </x:c>
      <x:c r="B860" s="1" t="n">
        <x:v>48</x:v>
      </x:c>
      <x:c r="C860" s="1" t="str">
        <x:v>basic</x:v>
      </x:c>
      <x:c r="D860" s="8" t="n">
        <x:v>9.99</x:v>
      </x:c>
      <x:c r="E860" s="1" t="n">
        <x:v>1</x:v>
      </x:c>
      <x:c r="F860" s="1" t="n">
        <x:v>1</x:v>
      </x:c>
      <x:c r="G860" s="1" t="n">
        <x:v>24</x:v>
      </x:c>
      <x:c r="H860" s="1" t="n">
        <x:v>2</x:v>
      </x:c>
      <x:c r="I860" s="1" t="n">
        <x:v>0</x:v>
      </x:c>
      <x:c r="J860" s="1" t="str">
        <x:v>no</x:v>
      </x:c>
      <x:c r="K860" s="1" t="n">
        <x:f>2*H860+E860+IF(G860&gt;30,2,0)-IF(B860&gt;24,1,0)</x:f>
        <x:v>4</x:v>
      </x:c>
      <x:c r="L860" s="1" t="str">
        <x:f>IF(K860&gt;=3,"yes","no")</x:f>
        <x:v>yes</x:v>
      </x:c>
      <x:c r="M860" s="1"/>
      <x:c r="N860" s="1"/>
      <x:c r="O860" s="1"/>
    </x:row>
    <x:row r="861">
      <x:c r="A861" s="1" t="str">
        <x:v>S0860</x:v>
      </x:c>
      <x:c r="B861" s="1" t="n">
        <x:v>6</x:v>
      </x:c>
      <x:c r="C861" s="1" t="str">
        <x:v>premium</x:v>
      </x:c>
      <x:c r="D861" s="8" t="n">
        <x:v>15.99</x:v>
      </x:c>
      <x:c r="E861" s="1" t="n">
        <x:v>1</x:v>
      </x:c>
      <x:c r="F861" s="1" t="n">
        <x:v>24</x:v>
      </x:c>
      <x:c r="G861" s="1" t="n">
        <x:v>0</x:v>
      </x:c>
      <x:c r="H861" s="1" t="n">
        <x:v>1</x:v>
      </x:c>
      <x:c r="I861" s="1" t="n">
        <x:v>0</x:v>
      </x:c>
      <x:c r="J861" s="1" t="str">
        <x:v>no</x:v>
      </x:c>
      <x:c r="K861" s="1" t="n">
        <x:f>2*H861+E861+IF(G861&gt;30,2,0)-IF(B861&gt;24,1,0)</x:f>
        <x:v>3</x:v>
      </x:c>
      <x:c r="L861" s="1" t="str">
        <x:f>IF(K861&gt;=3,"yes","no")</x:f>
        <x:v>yes</x:v>
      </x:c>
      <x:c r="M861" s="1"/>
      <x:c r="N861" s="1"/>
      <x:c r="O861" s="1"/>
    </x:row>
    <x:row r="862">
      <x:c r="A862" s="1" t="str">
        <x:v>S0861</x:v>
      </x:c>
      <x:c r="B862" s="1" t="n">
        <x:v>8</x:v>
      </x:c>
      <x:c r="C862" s="1" t="str">
        <x:v>premium</x:v>
      </x:c>
      <x:c r="D862" s="8" t="n">
        <x:v>15.99</x:v>
      </x:c>
      <x:c r="E862" s="1" t="n">
        <x:v>4</x:v>
      </x:c>
      <x:c r="F862" s="1" t="n">
        <x:v>33</x:v>
      </x:c>
      <x:c r="G862" s="1" t="n">
        <x:v>2</x:v>
      </x:c>
      <x:c r="H862" s="1" t="n">
        <x:v>0</x:v>
      </x:c>
      <x:c r="I862" s="1" t="n">
        <x:v>0</x:v>
      </x:c>
      <x:c r="J862" s="1" t="str">
        <x:v>no</x:v>
      </x:c>
      <x:c r="K862" s="1" t="n">
        <x:f>2*H862+E862+IF(G862&gt;30,2,0)-IF(B862&gt;24,1,0)</x:f>
        <x:v>4</x:v>
      </x:c>
      <x:c r="L862" s="1" t="str">
        <x:f>IF(K862&gt;=3,"yes","no")</x:f>
        <x:v>yes</x:v>
      </x:c>
      <x:c r="M862" s="1"/>
      <x:c r="N862" s="1"/>
      <x:c r="O862" s="1"/>
    </x:row>
    <x:row r="863">
      <x:c r="A863" s="1" t="str">
        <x:v>S0862</x:v>
      </x:c>
      <x:c r="B863" s="1" t="n">
        <x:v>35</x:v>
      </x:c>
      <x:c r="C863" s="1" t="str">
        <x:v>premium</x:v>
      </x:c>
      <x:c r="D863" s="8" t="n">
        <x:v>15.99</x:v>
      </x:c>
      <x:c r="E863" s="1" t="n">
        <x:v>0</x:v>
      </x:c>
      <x:c r="F863" s="1" t="n">
        <x:v>1</x:v>
      </x:c>
      <x:c r="G863" s="1" t="n">
        <x:v>26</x:v>
      </x:c>
      <x:c r="H863" s="1" t="n">
        <x:v>0</x:v>
      </x:c>
      <x:c r="I863" s="1" t="n">
        <x:v>0</x:v>
      </x:c>
      <x:c r="J863" s="1" t="str">
        <x:v>no</x:v>
      </x:c>
      <x:c r="K863" s="1" t="n">
        <x:f>2*H863+E863+IF(G863&gt;30,2,0)-IF(B863&gt;24,1,0)</x:f>
        <x:v>-1</x:v>
      </x:c>
      <x:c r="L863" s="1" t="str">
        <x:f>IF(K863&gt;=3,"yes","no")</x:f>
        <x:v>no</x:v>
      </x:c>
      <x:c r="M863" s="1"/>
      <x:c r="N863" s="1"/>
      <x:c r="O863" s="1"/>
    </x:row>
    <x:row r="864">
      <x:c r="A864" s="1" t="str">
        <x:v>S0863</x:v>
      </x:c>
      <x:c r="B864" s="1" t="n">
        <x:v>31</x:v>
      </x:c>
      <x:c r="C864" s="1" t="str">
        <x:v>premium</x:v>
      </x:c>
      <x:c r="D864" s="8" t="n">
        <x:v>15.99</x:v>
      </x:c>
      <x:c r="E864" s="1" t="n">
        <x:v>0</x:v>
      </x:c>
      <x:c r="F864" s="1" t="n">
        <x:v>14</x:v>
      </x:c>
      <x:c r="G864" s="1" t="n">
        <x:v>4</x:v>
      </x:c>
      <x:c r="H864" s="1" t="n">
        <x:v>0</x:v>
      </x:c>
      <x:c r="I864" s="1" t="n">
        <x:v>0</x:v>
      </x:c>
      <x:c r="J864" s="1" t="str">
        <x:v>no</x:v>
      </x:c>
      <x:c r="K864" s="1" t="n">
        <x:f>2*H864+E864+IF(G864&gt;30,2,0)-IF(B864&gt;24,1,0)</x:f>
        <x:v>-1</x:v>
      </x:c>
      <x:c r="L864" s="1" t="str">
        <x:f>IF(K864&gt;=3,"yes","no")</x:f>
        <x:v>no</x:v>
      </x:c>
      <x:c r="M864" s="1"/>
      <x:c r="N864" s="1"/>
      <x:c r="O864" s="1"/>
    </x:row>
    <x:row r="865">
      <x:c r="A865" s="1" t="str">
        <x:v>S0864</x:v>
      </x:c>
      <x:c r="B865" s="1" t="n">
        <x:v>43</x:v>
      </x:c>
      <x:c r="C865" s="1" t="str">
        <x:v>basic</x:v>
      </x:c>
      <x:c r="D865" s="8" t="n">
        <x:v>9.99</x:v>
      </x:c>
      <x:c r="E865" s="1" t="n">
        <x:v>2</x:v>
      </x:c>
      <x:c r="F865" s="1" t="n">
        <x:v>13</x:v>
      </x:c>
      <x:c r="G865" s="1" t="n">
        <x:v>9</x:v>
      </x:c>
      <x:c r="H865" s="1" t="n">
        <x:v>0</x:v>
      </x:c>
      <x:c r="I865" s="1" t="n">
        <x:v>0</x:v>
      </x:c>
      <x:c r="J865" s="1" t="str">
        <x:v>no</x:v>
      </x:c>
      <x:c r="K865" s="1" t="n">
        <x:f>2*H865+E865+IF(G865&gt;30,2,0)-IF(B865&gt;24,1,0)</x:f>
        <x:v>1</x:v>
      </x:c>
      <x:c r="L865" s="1" t="str">
        <x:f>IF(K865&gt;=3,"yes","no")</x:f>
        <x:v>no</x:v>
      </x:c>
      <x:c r="M865" s="1"/>
      <x:c r="N865" s="1"/>
      <x:c r="O865" s="1"/>
    </x:row>
    <x:row r="866">
      <x:c r="A866" s="1" t="str">
        <x:v>S0865</x:v>
      </x:c>
      <x:c r="B866" s="1" t="n">
        <x:v>3</x:v>
      </x:c>
      <x:c r="C866" s="1" t="str">
        <x:v>premium</x:v>
      </x:c>
      <x:c r="D866" s="8" t="n">
        <x:v>15.99</x:v>
      </x:c>
      <x:c r="E866" s="1" t="n">
        <x:v>2</x:v>
      </x:c>
      <x:c r="F866" s="1" t="n">
        <x:v>0</x:v>
      </x:c>
      <x:c r="G866" s="1" t="n">
        <x:v>54</x:v>
      </x:c>
      <x:c r="H866" s="1" t="n">
        <x:v>0</x:v>
      </x:c>
      <x:c r="I866" s="1" t="n">
        <x:v>1</x:v>
      </x:c>
      <x:c r="J866" s="1" t="str">
        <x:v>yes</x:v>
      </x:c>
      <x:c r="K866" s="1" t="n">
        <x:f>2*H866+E866+IF(G866&gt;30,2,0)-IF(B866&gt;24,1,0)</x:f>
        <x:v>4</x:v>
      </x:c>
      <x:c r="L866" s="1" t="str">
        <x:f>IF(K866&gt;=3,"yes","no")</x:f>
        <x:v>yes</x:v>
      </x:c>
      <x:c r="M866" s="1"/>
      <x:c r="N866" s="1"/>
      <x:c r="O866" s="1"/>
    </x:row>
    <x:row r="867">
      <x:c r="A867" s="1" t="str">
        <x:v>S0866</x:v>
      </x:c>
      <x:c r="B867" s="1" t="n">
        <x:v>30</x:v>
      </x:c>
      <x:c r="C867" s="1" t="str">
        <x:v>premium</x:v>
      </x:c>
      <x:c r="D867" s="8" t="n">
        <x:v>15.99</x:v>
      </x:c>
      <x:c r="E867" s="1" t="n">
        <x:v>3</x:v>
      </x:c>
      <x:c r="F867" s="1" t="n">
        <x:v>15</x:v>
      </x:c>
      <x:c r="G867" s="1" t="n">
        <x:v>14</x:v>
      </x:c>
      <x:c r="H867" s="1" t="n">
        <x:v>0</x:v>
      </x:c>
      <x:c r="I867" s="1" t="n">
        <x:v>1</x:v>
      </x:c>
      <x:c r="J867" s="1" t="str">
        <x:v>no</x:v>
      </x:c>
      <x:c r="K867" s="1" t="n">
        <x:f>2*H867+E867+IF(G867&gt;30,2,0)-IF(B867&gt;24,1,0)</x:f>
        <x:v>2</x:v>
      </x:c>
      <x:c r="L867" s="1" t="str">
        <x:f>IF(K867&gt;=3,"yes","no")</x:f>
        <x:v>no</x:v>
      </x:c>
      <x:c r="M867" s="1"/>
      <x:c r="N867" s="1"/>
      <x:c r="O867" s="1"/>
    </x:row>
    <x:row r="868">
      <x:c r="A868" s="1" t="str">
        <x:v>S0867</x:v>
      </x:c>
      <x:c r="B868" s="1" t="n">
        <x:v>27</x:v>
      </x:c>
      <x:c r="C868" s="1" t="str">
        <x:v>basic</x:v>
      </x:c>
      <x:c r="D868" s="8" t="n">
        <x:v>9.99</x:v>
      </x:c>
      <x:c r="E868" s="1" t="n">
        <x:v>0</x:v>
      </x:c>
      <x:c r="F868" s="1" t="n">
        <x:v>12</x:v>
      </x:c>
      <x:c r="G868" s="1" t="n">
        <x:v>22</x:v>
      </x:c>
      <x:c r="H868" s="1" t="n">
        <x:v>0</x:v>
      </x:c>
      <x:c r="I868" s="1" t="n">
        <x:v>0</x:v>
      </x:c>
      <x:c r="J868" s="1" t="str">
        <x:v>no</x:v>
      </x:c>
      <x:c r="K868" s="1" t="n">
        <x:f>2*H868+E868+IF(G868&gt;30,2,0)-IF(B868&gt;24,1,0)</x:f>
        <x:v>-1</x:v>
      </x:c>
      <x:c r="L868" s="1" t="str">
        <x:f>IF(K868&gt;=3,"yes","no")</x:f>
        <x:v>no</x:v>
      </x:c>
      <x:c r="M868" s="1"/>
      <x:c r="N868" s="1"/>
      <x:c r="O868" s="1"/>
    </x:row>
    <x:row r="869">
      <x:c r="A869" s="1" t="str">
        <x:v>S0868</x:v>
      </x:c>
      <x:c r="B869" s="1" t="n">
        <x:v>33</x:v>
      </x:c>
      <x:c r="C869" s="1" t="str">
        <x:v>premium</x:v>
      </x:c>
      <x:c r="D869" s="8" t="n">
        <x:v>15.99</x:v>
      </x:c>
      <x:c r="E869" s="1" t="n">
        <x:v>0</x:v>
      </x:c>
      <x:c r="F869" s="1" t="n">
        <x:v>21</x:v>
      </x:c>
      <x:c r="G869" s="1" t="n">
        <x:v>18</x:v>
      </x:c>
      <x:c r="H869" s="1" t="n">
        <x:v>0</x:v>
      </x:c>
      <x:c r="I869" s="1" t="n">
        <x:v>0</x:v>
      </x:c>
      <x:c r="J869" s="1" t="str">
        <x:v>no</x:v>
      </x:c>
      <x:c r="K869" s="1" t="n">
        <x:f>2*H869+E869+IF(G869&gt;30,2,0)-IF(B869&gt;24,1,0)</x:f>
        <x:v>-1</x:v>
      </x:c>
      <x:c r="L869" s="1" t="str">
        <x:f>IF(K869&gt;=3,"yes","no")</x:f>
        <x:v>no</x:v>
      </x:c>
      <x:c r="M869" s="1"/>
      <x:c r="N869" s="1"/>
      <x:c r="O869" s="1"/>
    </x:row>
    <x:row r="870">
      <x:c r="A870" s="1" t="str">
        <x:v>S0869</x:v>
      </x:c>
      <x:c r="B870" s="1" t="n">
        <x:v>11</x:v>
      </x:c>
      <x:c r="C870" s="1" t="str">
        <x:v>premium</x:v>
      </x:c>
      <x:c r="D870" s="8" t="n">
        <x:v>15.99</x:v>
      </x:c>
      <x:c r="E870" s="1" t="n">
        <x:v>1</x:v>
      </x:c>
      <x:c r="F870" s="1" t="n">
        <x:v>0</x:v>
      </x:c>
      <x:c r="G870" s="1" t="n">
        <x:v>44</x:v>
      </x:c>
      <x:c r="H870" s="1" t="n">
        <x:v>0</x:v>
      </x:c>
      <x:c r="I870" s="1" t="n">
        <x:v>0</x:v>
      </x:c>
      <x:c r="J870" s="1" t="str">
        <x:v>yes</x:v>
      </x:c>
      <x:c r="K870" s="1" t="n">
        <x:f>2*H870+E870+IF(G870&gt;30,2,0)-IF(B870&gt;24,1,0)</x:f>
        <x:v>3</x:v>
      </x:c>
      <x:c r="L870" s="1" t="str">
        <x:f>IF(K870&gt;=3,"yes","no")</x:f>
        <x:v>yes</x:v>
      </x:c>
      <x:c r="M870" s="1"/>
      <x:c r="N870" s="1"/>
      <x:c r="O870" s="1"/>
    </x:row>
    <x:row r="871">
      <x:c r="A871" s="1" t="str">
        <x:v>S0870</x:v>
      </x:c>
      <x:c r="B871" s="1" t="n">
        <x:v>24</x:v>
      </x:c>
      <x:c r="C871" s="1" t="str">
        <x:v>basic</x:v>
      </x:c>
      <x:c r="D871" s="8" t="n">
        <x:v>9.99</x:v>
      </x:c>
      <x:c r="E871" s="1" t="n">
        <x:v>2</x:v>
      </x:c>
      <x:c r="F871" s="1" t="n">
        <x:v>16</x:v>
      </x:c>
      <x:c r="G871" s="1" t="n">
        <x:v>7</x:v>
      </x:c>
      <x:c r="H871" s="1" t="n">
        <x:v>0</x:v>
      </x:c>
      <x:c r="I871" s="1" t="n">
        <x:v>0</x:v>
      </x:c>
      <x:c r="J871" s="1" t="str">
        <x:v>no</x:v>
      </x:c>
      <x:c r="K871" s="1" t="n">
        <x:f>2*H871+E871+IF(G871&gt;30,2,0)-IF(B871&gt;24,1,0)</x:f>
        <x:v>2</x:v>
      </x:c>
      <x:c r="L871" s="1" t="str">
        <x:f>IF(K871&gt;=3,"yes","no")</x:f>
        <x:v>no</x:v>
      </x:c>
      <x:c r="M871" s="1"/>
      <x:c r="N871" s="1"/>
      <x:c r="O871" s="1"/>
    </x:row>
    <x:row r="872">
      <x:c r="A872" s="1" t="str">
        <x:v>S0871</x:v>
      </x:c>
      <x:c r="B872" s="1" t="n">
        <x:v>18</x:v>
      </x:c>
      <x:c r="C872" s="1" t="str">
        <x:v>basic</x:v>
      </x:c>
      <x:c r="D872" s="8" t="n">
        <x:v>9.99</x:v>
      </x:c>
      <x:c r="E872" s="1" t="n">
        <x:v>1</x:v>
      </x:c>
      <x:c r="F872" s="1" t="n">
        <x:v>30</x:v>
      </x:c>
      <x:c r="G872" s="1" t="n">
        <x:v>0</x:v>
      </x:c>
      <x:c r="H872" s="1" t="n">
        <x:v>0</x:v>
      </x:c>
      <x:c r="I872" s="1" t="n">
        <x:v>0</x:v>
      </x:c>
      <x:c r="J872" s="1" t="str">
        <x:v>no</x:v>
      </x:c>
      <x:c r="K872" s="1" t="n">
        <x:f>2*H872+E872+IF(G872&gt;30,2,0)-IF(B872&gt;24,1,0)</x:f>
        <x:v>1</x:v>
      </x:c>
      <x:c r="L872" s="1" t="str">
        <x:f>IF(K872&gt;=3,"yes","no")</x:f>
        <x:v>no</x:v>
      </x:c>
      <x:c r="M872" s="1"/>
      <x:c r="N872" s="1"/>
      <x:c r="O872" s="1"/>
    </x:row>
    <x:row r="873">
      <x:c r="A873" s="1" t="str">
        <x:v>S0872</x:v>
      </x:c>
      <x:c r="B873" s="1" t="n">
        <x:v>43</x:v>
      </x:c>
      <x:c r="C873" s="1" t="str">
        <x:v>basic</x:v>
      </x:c>
      <x:c r="D873" s="8" t="n">
        <x:v>9.99</x:v>
      </x:c>
      <x:c r="E873" s="1" t="n">
        <x:v>0</x:v>
      </x:c>
      <x:c r="F873" s="1" t="n">
        <x:v>15</x:v>
      </x:c>
      <x:c r="G873" s="1" t="n">
        <x:v>27</x:v>
      </x:c>
      <x:c r="H873" s="1" t="n">
        <x:v>0</x:v>
      </x:c>
      <x:c r="I873" s="1" t="n">
        <x:v>0</x:v>
      </x:c>
      <x:c r="J873" s="1" t="str">
        <x:v>no</x:v>
      </x:c>
      <x:c r="K873" s="1" t="n">
        <x:f>2*H873+E873+IF(G873&gt;30,2,0)-IF(B873&gt;24,1,0)</x:f>
        <x:v>-1</x:v>
      </x:c>
      <x:c r="L873" s="1" t="str">
        <x:f>IF(K873&gt;=3,"yes","no")</x:f>
        <x:v>no</x:v>
      </x:c>
      <x:c r="M873" s="1"/>
      <x:c r="N873" s="1"/>
      <x:c r="O873" s="1"/>
    </x:row>
    <x:row r="874">
      <x:c r="A874" s="1" t="str">
        <x:v>S0873</x:v>
      </x:c>
      <x:c r="B874" s="1" t="n">
        <x:v>22</x:v>
      </x:c>
      <x:c r="C874" s="1" t="str">
        <x:v>premium</x:v>
      </x:c>
      <x:c r="D874" s="8" t="n">
        <x:v>15.99</x:v>
      </x:c>
      <x:c r="E874" s="1" t="n">
        <x:v>1</x:v>
      </x:c>
      <x:c r="F874" s="1" t="n">
        <x:v>20</x:v>
      </x:c>
      <x:c r="G874" s="1" t="n">
        <x:v>4</x:v>
      </x:c>
      <x:c r="H874" s="1" t="n">
        <x:v>0</x:v>
      </x:c>
      <x:c r="I874" s="1" t="n">
        <x:v>0</x:v>
      </x:c>
      <x:c r="J874" s="1" t="str">
        <x:v>no</x:v>
      </x:c>
      <x:c r="K874" s="1" t="n">
        <x:f>2*H874+E874+IF(G874&gt;30,2,0)-IF(B874&gt;24,1,0)</x:f>
        <x:v>1</x:v>
      </x:c>
      <x:c r="L874" s="1" t="str">
        <x:f>IF(K874&gt;=3,"yes","no")</x:f>
        <x:v>no</x:v>
      </x:c>
      <x:c r="M874" s="1"/>
      <x:c r="N874" s="1"/>
      <x:c r="O874" s="1"/>
    </x:row>
    <x:row r="875">
      <x:c r="A875" s="1" t="str">
        <x:v>S0874</x:v>
      </x:c>
      <x:c r="B875" s="1" t="n">
        <x:v>19</x:v>
      </x:c>
      <x:c r="C875" s="1" t="str">
        <x:v>basic</x:v>
      </x:c>
      <x:c r="D875" s="8" t="n">
        <x:v>9.99</x:v>
      </x:c>
      <x:c r="E875" s="1" t="n">
        <x:v>1</x:v>
      </x:c>
      <x:c r="F875" s="1" t="n">
        <x:v>18</x:v>
      </x:c>
      <x:c r="G875" s="1" t="n">
        <x:v>0</x:v>
      </x:c>
      <x:c r="H875" s="1" t="n">
        <x:v>0</x:v>
      </x:c>
      <x:c r="I875" s="1" t="n">
        <x:v>0</x:v>
      </x:c>
      <x:c r="J875" s="1" t="str">
        <x:v>no</x:v>
      </x:c>
      <x:c r="K875" s="1" t="n">
        <x:f>2*H875+E875+IF(G875&gt;30,2,0)-IF(B875&gt;24,1,0)</x:f>
        <x:v>1</x:v>
      </x:c>
      <x:c r="L875" s="1" t="str">
        <x:f>IF(K875&gt;=3,"yes","no")</x:f>
        <x:v>no</x:v>
      </x:c>
      <x:c r="M875" s="1"/>
      <x:c r="N875" s="1"/>
      <x:c r="O875" s="1"/>
    </x:row>
    <x:row r="876">
      <x:c r="A876" s="1" t="str">
        <x:v>S0875</x:v>
      </x:c>
      <x:c r="B876" s="1" t="n">
        <x:v>18</x:v>
      </x:c>
      <x:c r="C876" s="1" t="str">
        <x:v>basic</x:v>
      </x:c>
      <x:c r="D876" s="8" t="n">
        <x:v>9.99</x:v>
      </x:c>
      <x:c r="E876" s="1" t="n">
        <x:v>1</x:v>
      </x:c>
      <x:c r="F876" s="1" t="n">
        <x:v>30</x:v>
      </x:c>
      <x:c r="G876" s="1" t="n">
        <x:v>7</x:v>
      </x:c>
      <x:c r="H876" s="1" t="n">
        <x:v>0</x:v>
      </x:c>
      <x:c r="I876" s="1" t="n">
        <x:v>0</x:v>
      </x:c>
      <x:c r="J876" s="1" t="str">
        <x:v>no</x:v>
      </x:c>
      <x:c r="K876" s="1" t="n">
        <x:f>2*H876+E876+IF(G876&gt;30,2,0)-IF(B876&gt;24,1,0)</x:f>
        <x:v>1</x:v>
      </x:c>
      <x:c r="L876" s="1" t="str">
        <x:f>IF(K876&gt;=3,"yes","no")</x:f>
        <x:v>no</x:v>
      </x:c>
      <x:c r="M876" s="1"/>
      <x:c r="N876" s="1"/>
      <x:c r="O876" s="1"/>
    </x:row>
    <x:row r="877">
      <x:c r="A877" s="1" t="str">
        <x:v>S0876</x:v>
      </x:c>
      <x:c r="B877" s="1" t="n">
        <x:v>30</x:v>
      </x:c>
      <x:c r="C877" s="1" t="str">
        <x:v>premium</x:v>
      </x:c>
      <x:c r="D877" s="8" t="n">
        <x:v>15.99</x:v>
      </x:c>
      <x:c r="E877" s="1" t="n">
        <x:v>3</x:v>
      </x:c>
      <x:c r="F877" s="1" t="n">
        <x:v>17</x:v>
      </x:c>
      <x:c r="G877" s="1" t="n">
        <x:v>15</x:v>
      </x:c>
      <x:c r="H877" s="1" t="n">
        <x:v>0</x:v>
      </x:c>
      <x:c r="I877" s="1" t="n">
        <x:v>0</x:v>
      </x:c>
      <x:c r="J877" s="1" t="str">
        <x:v>no</x:v>
      </x:c>
      <x:c r="K877" s="1" t="n">
        <x:f>2*H877+E877+IF(G877&gt;30,2,0)-IF(B877&gt;24,1,0)</x:f>
        <x:v>2</x:v>
      </x:c>
      <x:c r="L877" s="1" t="str">
        <x:f>IF(K877&gt;=3,"yes","no")</x:f>
        <x:v>no</x:v>
      </x:c>
      <x:c r="M877" s="1"/>
      <x:c r="N877" s="1"/>
      <x:c r="O877" s="1"/>
    </x:row>
    <x:row r="878">
      <x:c r="A878" s="1" t="str">
        <x:v>S0877</x:v>
      </x:c>
      <x:c r="B878" s="1" t="n">
        <x:v>33</x:v>
      </x:c>
      <x:c r="C878" s="1" t="str">
        <x:v>basic</x:v>
      </x:c>
      <x:c r="D878" s="8" t="n">
        <x:v>9.99</x:v>
      </x:c>
      <x:c r="E878" s="1" t="n">
        <x:v>1</x:v>
      </x:c>
      <x:c r="F878" s="1" t="n">
        <x:v>30</x:v>
      </x:c>
      <x:c r="G878" s="1" t="n">
        <x:v>2</x:v>
      </x:c>
      <x:c r="H878" s="1" t="n">
        <x:v>0</x:v>
      </x:c>
      <x:c r="I878" s="1" t="n">
        <x:v>0</x:v>
      </x:c>
      <x:c r="J878" s="1" t="str">
        <x:v>no</x:v>
      </x:c>
      <x:c r="K878" s="1" t="n">
        <x:f>2*H878+E878+IF(G878&gt;30,2,0)-IF(B878&gt;24,1,0)</x:f>
        <x:v>0</x:v>
      </x:c>
      <x:c r="L878" s="1" t="str">
        <x:f>IF(K878&gt;=3,"yes","no")</x:f>
        <x:v>no</x:v>
      </x:c>
      <x:c r="M878" s="1"/>
      <x:c r="N878" s="1"/>
      <x:c r="O878" s="1"/>
    </x:row>
    <x:row r="879">
      <x:c r="A879" s="1" t="str">
        <x:v>S0878</x:v>
      </x:c>
      <x:c r="B879" s="1" t="n">
        <x:v>43</x:v>
      </x:c>
      <x:c r="C879" s="1" t="str">
        <x:v>basic</x:v>
      </x:c>
      <x:c r="D879" s="8" t="n">
        <x:v>9.99</x:v>
      </x:c>
      <x:c r="E879" s="1" t="n">
        <x:v>1</x:v>
      </x:c>
      <x:c r="F879" s="1" t="n">
        <x:v>0</x:v>
      </x:c>
      <x:c r="G879" s="1" t="n">
        <x:v>51</x:v>
      </x:c>
      <x:c r="H879" s="1" t="n">
        <x:v>0</x:v>
      </x:c>
      <x:c r="I879" s="1" t="n">
        <x:v>0</x:v>
      </x:c>
      <x:c r="J879" s="1" t="str">
        <x:v>yes</x:v>
      </x:c>
      <x:c r="K879" s="1" t="n">
        <x:f>2*H879+E879+IF(G879&gt;30,2,0)-IF(B879&gt;24,1,0)</x:f>
        <x:v>2</x:v>
      </x:c>
      <x:c r="L879" s="1" t="str">
        <x:f>IF(K879&gt;=3,"yes","no")</x:f>
        <x:v>no</x:v>
      </x:c>
      <x:c r="M879" s="1"/>
      <x:c r="N879" s="1"/>
      <x:c r="O879" s="1"/>
    </x:row>
    <x:row r="880">
      <x:c r="A880" s="1" t="str">
        <x:v>S0879</x:v>
      </x:c>
      <x:c r="B880" s="1" t="n">
        <x:v>1</x:v>
      </x:c>
      <x:c r="C880" s="1" t="str">
        <x:v>basic</x:v>
      </x:c>
      <x:c r="D880" s="8" t="n">
        <x:v>9.99</x:v>
      </x:c>
      <x:c r="E880" s="1" t="n">
        <x:v>0</x:v>
      </x:c>
      <x:c r="F880" s="1" t="n">
        <x:v>24</x:v>
      </x:c>
      <x:c r="G880" s="1" t="n">
        <x:v>3</x:v>
      </x:c>
      <x:c r="H880" s="1" t="n">
        <x:v>0</x:v>
      </x:c>
      <x:c r="I880" s="1" t="n">
        <x:v>1</x:v>
      </x:c>
      <x:c r="J880" s="1" t="str">
        <x:v>yes</x:v>
      </x:c>
      <x:c r="K880" s="1" t="n">
        <x:f>2*H880+E880+IF(G880&gt;30,2,0)-IF(B880&gt;24,1,0)</x:f>
        <x:v>0</x:v>
      </x:c>
      <x:c r="L880" s="1" t="str">
        <x:f>IF(K880&gt;=3,"yes","no")</x:f>
        <x:v>no</x:v>
      </x:c>
      <x:c r="M880" s="1"/>
      <x:c r="N880" s="1"/>
      <x:c r="O880" s="1"/>
    </x:row>
    <x:row r="881">
      <x:c r="A881" s="1" t="str">
        <x:v>S0880</x:v>
      </x:c>
      <x:c r="B881" s="1" t="n">
        <x:v>37</x:v>
      </x:c>
      <x:c r="C881" s="1" t="str">
        <x:v>basic</x:v>
      </x:c>
      <x:c r="D881" s="8" t="n">
        <x:v>9.99</x:v>
      </x:c>
      <x:c r="E881" s="1" t="n">
        <x:v>0</x:v>
      </x:c>
      <x:c r="F881" s="1" t="n">
        <x:v>15</x:v>
      </x:c>
      <x:c r="G881" s="1" t="n">
        <x:v>1</x:v>
      </x:c>
      <x:c r="H881" s="1" t="n">
        <x:v>0</x:v>
      </x:c>
      <x:c r="I881" s="1" t="n">
        <x:v>0</x:v>
      </x:c>
      <x:c r="J881" s="1" t="str">
        <x:v>no</x:v>
      </x:c>
      <x:c r="K881" s="1" t="n">
        <x:f>2*H881+E881+IF(G881&gt;30,2,0)-IF(B881&gt;24,1,0)</x:f>
        <x:v>-1</x:v>
      </x:c>
      <x:c r="L881" s="1" t="str">
        <x:f>IF(K881&gt;=3,"yes","no")</x:f>
        <x:v>no</x:v>
      </x:c>
      <x:c r="M881" s="1"/>
      <x:c r="N881" s="1"/>
      <x:c r="O881" s="1"/>
    </x:row>
    <x:row r="882">
      <x:c r="A882" s="1" t="str">
        <x:v>S0881</x:v>
      </x:c>
      <x:c r="B882" s="1" t="n">
        <x:v>14</x:v>
      </x:c>
      <x:c r="C882" s="1" t="str">
        <x:v>premium</x:v>
      </x:c>
      <x:c r="D882" s="8" t="n">
        <x:v>15.99</x:v>
      </x:c>
      <x:c r="E882" s="1" t="n">
        <x:v>1</x:v>
      </x:c>
      <x:c r="F882" s="1" t="n">
        <x:v>20</x:v>
      </x:c>
      <x:c r="G882" s="1" t="n">
        <x:v>1</x:v>
      </x:c>
      <x:c r="H882" s="1" t="n">
        <x:v>0</x:v>
      </x:c>
      <x:c r="I882" s="1" t="n">
        <x:v>1</x:v>
      </x:c>
      <x:c r="J882" s="1" t="str">
        <x:v>no</x:v>
      </x:c>
      <x:c r="K882" s="1" t="n">
        <x:f>2*H882+E882+IF(G882&gt;30,2,0)-IF(B882&gt;24,1,0)</x:f>
        <x:v>1</x:v>
      </x:c>
      <x:c r="L882" s="1" t="str">
        <x:f>IF(K882&gt;=3,"yes","no")</x:f>
        <x:v>no</x:v>
      </x:c>
      <x:c r="M882" s="1"/>
      <x:c r="N882" s="1"/>
      <x:c r="O882" s="1"/>
    </x:row>
    <x:row r="883">
      <x:c r="A883" s="1" t="str">
        <x:v>S0882</x:v>
      </x:c>
      <x:c r="B883" s="1" t="n">
        <x:v>16</x:v>
      </x:c>
      <x:c r="C883" s="1" t="str">
        <x:v>premium</x:v>
      </x:c>
      <x:c r="D883" s="8" t="n">
        <x:v>15.99</x:v>
      </x:c>
      <x:c r="E883" s="1" t="n">
        <x:v>1</x:v>
      </x:c>
      <x:c r="F883" s="1" t="n">
        <x:v>18</x:v>
      </x:c>
      <x:c r="G883" s="1" t="n">
        <x:v>14</x:v>
      </x:c>
      <x:c r="H883" s="1" t="n">
        <x:v>0</x:v>
      </x:c>
      <x:c r="I883" s="1" t="n">
        <x:v>0</x:v>
      </x:c>
      <x:c r="J883" s="1" t="str">
        <x:v>no</x:v>
      </x:c>
      <x:c r="K883" s="1" t="n">
        <x:f>2*H883+E883+IF(G883&gt;30,2,0)-IF(B883&gt;24,1,0)</x:f>
        <x:v>1</x:v>
      </x:c>
      <x:c r="L883" s="1" t="str">
        <x:f>IF(K883&gt;=3,"yes","no")</x:f>
        <x:v>no</x:v>
      </x:c>
      <x:c r="M883" s="1"/>
      <x:c r="N883" s="1"/>
      <x:c r="O883" s="1"/>
    </x:row>
    <x:row r="884">
      <x:c r="A884" s="1" t="str">
        <x:v>S0883</x:v>
      </x:c>
      <x:c r="B884" s="1" t="n">
        <x:v>12</x:v>
      </x:c>
      <x:c r="C884" s="1" t="str">
        <x:v>basic</x:v>
      </x:c>
      <x:c r="D884" s="8" t="n">
        <x:v>9.99</x:v>
      </x:c>
      <x:c r="E884" s="1" t="n">
        <x:v>0</x:v>
      </x:c>
      <x:c r="F884" s="1" t="n">
        <x:v>28</x:v>
      </x:c>
      <x:c r="G884" s="1" t="n">
        <x:v>0</x:v>
      </x:c>
      <x:c r="H884" s="1" t="n">
        <x:v>0</x:v>
      </x:c>
      <x:c r="I884" s="1" t="n">
        <x:v>1</x:v>
      </x:c>
      <x:c r="J884" s="1" t="str">
        <x:v>no</x:v>
      </x:c>
      <x:c r="K884" s="1" t="n">
        <x:f>2*H884+E884+IF(G884&gt;30,2,0)-IF(B884&gt;24,1,0)</x:f>
        <x:v>0</x:v>
      </x:c>
      <x:c r="L884" s="1" t="str">
        <x:f>IF(K884&gt;=3,"yes","no")</x:f>
        <x:v>no</x:v>
      </x:c>
      <x:c r="M884" s="1"/>
      <x:c r="N884" s="1"/>
      <x:c r="O884" s="1"/>
    </x:row>
    <x:row r="885">
      <x:c r="A885" s="1" t="str">
        <x:v>S0884</x:v>
      </x:c>
      <x:c r="B885" s="1" t="n">
        <x:v>16</x:v>
      </x:c>
      <x:c r="C885" s="1" t="str">
        <x:v>basic</x:v>
      </x:c>
      <x:c r="D885" s="8" t="n">
        <x:v>9.99</x:v>
      </x:c>
      <x:c r="E885" s="1" t="n">
        <x:v>0</x:v>
      </x:c>
      <x:c r="F885" s="1" t="n">
        <x:v>0</x:v>
      </x:c>
      <x:c r="G885" s="1" t="n">
        <x:v>37</x:v>
      </x:c>
      <x:c r="H885" s="1" t="n">
        <x:v>0</x:v>
      </x:c>
      <x:c r="I885" s="1" t="n">
        <x:v>0</x:v>
      </x:c>
      <x:c r="J885" s="1" t="str">
        <x:v>yes</x:v>
      </x:c>
      <x:c r="K885" s="1" t="n">
        <x:f>2*H885+E885+IF(G885&gt;30,2,0)-IF(B885&gt;24,1,0)</x:f>
        <x:v>2</x:v>
      </x:c>
      <x:c r="L885" s="1" t="str">
        <x:f>IF(K885&gt;=3,"yes","no")</x:f>
        <x:v>no</x:v>
      </x:c>
      <x:c r="M885" s="1"/>
      <x:c r="N885" s="1"/>
      <x:c r="O885" s="1"/>
    </x:row>
    <x:row r="886">
      <x:c r="A886" s="1" t="str">
        <x:v>S0885</x:v>
      </x:c>
      <x:c r="B886" s="1" t="n">
        <x:v>33</x:v>
      </x:c>
      <x:c r="C886" s="1" t="str">
        <x:v>basic</x:v>
      </x:c>
      <x:c r="D886" s="8" t="n">
        <x:v>9.99</x:v>
      </x:c>
      <x:c r="E886" s="1" t="n">
        <x:v>1</x:v>
      </x:c>
      <x:c r="F886" s="1" t="n">
        <x:v>6</x:v>
      </x:c>
      <x:c r="G886" s="1" t="n">
        <x:v>5</x:v>
      </x:c>
      <x:c r="H886" s="1" t="n">
        <x:v>0</x:v>
      </x:c>
      <x:c r="I886" s="1" t="n">
        <x:v>0</x:v>
      </x:c>
      <x:c r="J886" s="1" t="str">
        <x:v>no</x:v>
      </x:c>
      <x:c r="K886" s="1" t="n">
        <x:f>2*H886+E886+IF(G886&gt;30,2,0)-IF(B886&gt;24,1,0)</x:f>
        <x:v>0</x:v>
      </x:c>
      <x:c r="L886" s="1" t="str">
        <x:f>IF(K886&gt;=3,"yes","no")</x:f>
        <x:v>no</x:v>
      </x:c>
      <x:c r="M886" s="1"/>
      <x:c r="N886" s="1"/>
      <x:c r="O886" s="1"/>
    </x:row>
    <x:row r="887">
      <x:c r="A887" s="1" t="str">
        <x:v>S0886</x:v>
      </x:c>
      <x:c r="B887" s="1" t="n">
        <x:v>2</x:v>
      </x:c>
      <x:c r="C887" s="1" t="str">
        <x:v>basic</x:v>
      </x:c>
      <x:c r="D887" s="8" t="n">
        <x:v>9.99</x:v>
      </x:c>
      <x:c r="E887" s="1" t="n">
        <x:v>0</x:v>
      </x:c>
      <x:c r="F887" s="1" t="n">
        <x:v>27</x:v>
      </x:c>
      <x:c r="G887" s="1" t="n">
        <x:v>5</x:v>
      </x:c>
      <x:c r="H887" s="1" t="n">
        <x:v>0</x:v>
      </x:c>
      <x:c r="I887" s="1" t="n">
        <x:v>1</x:v>
      </x:c>
      <x:c r="J887" s="1" t="str">
        <x:v>no</x:v>
      </x:c>
      <x:c r="K887" s="1" t="n">
        <x:f>2*H887+E887+IF(G887&gt;30,2,0)-IF(B887&gt;24,1,0)</x:f>
        <x:v>0</x:v>
      </x:c>
      <x:c r="L887" s="1" t="str">
        <x:f>IF(K887&gt;=3,"yes","no")</x:f>
        <x:v>no</x:v>
      </x:c>
      <x:c r="M887" s="1"/>
      <x:c r="N887" s="1"/>
      <x:c r="O887" s="1"/>
    </x:row>
    <x:row r="888">
      <x:c r="A888" s="1" t="str">
        <x:v>S0887</x:v>
      </x:c>
      <x:c r="B888" s="1" t="n">
        <x:v>34</x:v>
      </x:c>
      <x:c r="C888" s="1" t="str">
        <x:v>basic</x:v>
      </x:c>
      <x:c r="D888" s="8" t="n">
        <x:v>9.99</x:v>
      </x:c>
      <x:c r="E888" s="1" t="n">
        <x:v>0</x:v>
      </x:c>
      <x:c r="F888" s="1" t="n">
        <x:v>16</x:v>
      </x:c>
      <x:c r="G888" s="1" t="n">
        <x:v>6</x:v>
      </x:c>
      <x:c r="H888" s="1" t="n">
        <x:v>0</x:v>
      </x:c>
      <x:c r="I888" s="1" t="n">
        <x:v>0</x:v>
      </x:c>
      <x:c r="J888" s="1" t="str">
        <x:v>no</x:v>
      </x:c>
      <x:c r="K888" s="1" t="n">
        <x:f>2*H888+E888+IF(G888&gt;30,2,0)-IF(B888&gt;24,1,0)</x:f>
        <x:v>-1</x:v>
      </x:c>
      <x:c r="L888" s="1" t="str">
        <x:f>IF(K888&gt;=3,"yes","no")</x:f>
        <x:v>no</x:v>
      </x:c>
      <x:c r="M888" s="1"/>
      <x:c r="N888" s="1"/>
      <x:c r="O888" s="1"/>
    </x:row>
    <x:row r="889">
      <x:c r="A889" s="1" t="str">
        <x:v>S0888</x:v>
      </x:c>
      <x:c r="B889" s="1" t="n">
        <x:v>26</x:v>
      </x:c>
      <x:c r="C889" s="1" t="str">
        <x:v>basic</x:v>
      </x:c>
      <x:c r="D889" s="8" t="n">
        <x:v>9.99</x:v>
      </x:c>
      <x:c r="E889" s="1" t="n">
        <x:v>1</x:v>
      </x:c>
      <x:c r="F889" s="1" t="n">
        <x:v>32</x:v>
      </x:c>
      <x:c r="G889" s="1" t="n">
        <x:v>0</x:v>
      </x:c>
      <x:c r="H889" s="1" t="n">
        <x:v>1</x:v>
      </x:c>
      <x:c r="I889" s="1" t="n">
        <x:v>0</x:v>
      </x:c>
      <x:c r="J889" s="1" t="str">
        <x:v>no</x:v>
      </x:c>
      <x:c r="K889" s="1" t="n">
        <x:f>2*H889+E889+IF(G889&gt;30,2,0)-IF(B889&gt;24,1,0)</x:f>
        <x:v>2</x:v>
      </x:c>
      <x:c r="L889" s="1" t="str">
        <x:f>IF(K889&gt;=3,"yes","no")</x:f>
        <x:v>no</x:v>
      </x:c>
      <x:c r="M889" s="1"/>
      <x:c r="N889" s="1"/>
      <x:c r="O889" s="1"/>
    </x:row>
    <x:row r="890">
      <x:c r="A890" s="1" t="str">
        <x:v>S0889</x:v>
      </x:c>
      <x:c r="B890" s="1" t="n">
        <x:v>3</x:v>
      </x:c>
      <x:c r="C890" s="1" t="str">
        <x:v>premium</x:v>
      </x:c>
      <x:c r="D890" s="8" t="n">
        <x:v>15.99</x:v>
      </x:c>
      <x:c r="E890" s="1" t="n">
        <x:v>2</x:v>
      </x:c>
      <x:c r="F890" s="1" t="n">
        <x:v>19</x:v>
      </x:c>
      <x:c r="G890" s="1" t="n">
        <x:v>2</x:v>
      </x:c>
      <x:c r="H890" s="1" t="n">
        <x:v>0</x:v>
      </x:c>
      <x:c r="I890" s="1" t="n">
        <x:v>0</x:v>
      </x:c>
      <x:c r="J890" s="1" t="str">
        <x:v>no</x:v>
      </x:c>
      <x:c r="K890" s="1" t="n">
        <x:f>2*H890+E890+IF(G890&gt;30,2,0)-IF(B890&gt;24,1,0)</x:f>
        <x:v>2</x:v>
      </x:c>
      <x:c r="L890" s="1" t="str">
        <x:f>IF(K890&gt;=3,"yes","no")</x:f>
        <x:v>no</x:v>
      </x:c>
      <x:c r="M890" s="1"/>
      <x:c r="N890" s="1"/>
      <x:c r="O890" s="1"/>
    </x:row>
    <x:row r="891">
      <x:c r="A891" s="1" t="str">
        <x:v>S0890</x:v>
      </x:c>
      <x:c r="B891" s="1" t="n">
        <x:v>22</x:v>
      </x:c>
      <x:c r="C891" s="1" t="str">
        <x:v>premium</x:v>
      </x:c>
      <x:c r="D891" s="8" t="n">
        <x:v>15.99</x:v>
      </x:c>
      <x:c r="E891" s="1" t="n">
        <x:v>1</x:v>
      </x:c>
      <x:c r="F891" s="1" t="n">
        <x:v>10</x:v>
      </x:c>
      <x:c r="G891" s="1" t="n">
        <x:v>5</x:v>
      </x:c>
      <x:c r="H891" s="1" t="n">
        <x:v>0</x:v>
      </x:c>
      <x:c r="I891" s="1" t="n">
        <x:v>0</x:v>
      </x:c>
      <x:c r="J891" s="1" t="str">
        <x:v>no</x:v>
      </x:c>
      <x:c r="K891" s="1" t="n">
        <x:f>2*H891+E891+IF(G891&gt;30,2,0)-IF(B891&gt;24,1,0)</x:f>
        <x:v>1</x:v>
      </x:c>
      <x:c r="L891" s="1" t="str">
        <x:f>IF(K891&gt;=3,"yes","no")</x:f>
        <x:v>no</x:v>
      </x:c>
      <x:c r="M891" s="1"/>
      <x:c r="N891" s="1"/>
      <x:c r="O891" s="1"/>
    </x:row>
    <x:row r="892">
      <x:c r="A892" s="1" t="str">
        <x:v>S0891</x:v>
      </x:c>
      <x:c r="B892" s="1" t="n">
        <x:v>6</x:v>
      </x:c>
      <x:c r="C892" s="1" t="str">
        <x:v>basic</x:v>
      </x:c>
      <x:c r="D892" s="8" t="n">
        <x:v>9.99</x:v>
      </x:c>
      <x:c r="E892" s="1" t="n">
        <x:v>0</x:v>
      </x:c>
      <x:c r="F892" s="1" t="n">
        <x:v>28</x:v>
      </x:c>
      <x:c r="G892" s="1" t="n">
        <x:v>5</x:v>
      </x:c>
      <x:c r="H892" s="1" t="n">
        <x:v>0</x:v>
      </x:c>
      <x:c r="I892" s="1" t="n">
        <x:v>0</x:v>
      </x:c>
      <x:c r="J892" s="1" t="str">
        <x:v>no</x:v>
      </x:c>
      <x:c r="K892" s="1" t="n">
        <x:f>2*H892+E892+IF(G892&gt;30,2,0)-IF(B892&gt;24,1,0)</x:f>
        <x:v>0</x:v>
      </x:c>
      <x:c r="L892" s="1" t="str">
        <x:f>IF(K892&gt;=3,"yes","no")</x:f>
        <x:v>no</x:v>
      </x:c>
      <x:c r="M892" s="1"/>
      <x:c r="N892" s="1"/>
      <x:c r="O892" s="1"/>
    </x:row>
    <x:row r="893">
      <x:c r="A893" s="1" t="str">
        <x:v>S0892</x:v>
      </x:c>
      <x:c r="B893" s="1" t="n">
        <x:v>4</x:v>
      </x:c>
      <x:c r="C893" s="1" t="str">
        <x:v>basic</x:v>
      </x:c>
      <x:c r="D893" s="8" t="n">
        <x:v>9.99</x:v>
      </x:c>
      <x:c r="E893" s="1" t="n">
        <x:v>3</x:v>
      </x:c>
      <x:c r="F893" s="1" t="n">
        <x:v>26</x:v>
      </x:c>
      <x:c r="G893" s="1" t="n">
        <x:v>2</x:v>
      </x:c>
      <x:c r="H893" s="1" t="n">
        <x:v>0</x:v>
      </x:c>
      <x:c r="I893" s="1" t="n">
        <x:v>0</x:v>
      </x:c>
      <x:c r="J893" s="1" t="str">
        <x:v>no</x:v>
      </x:c>
      <x:c r="K893" s="1" t="n">
        <x:f>2*H893+E893+IF(G893&gt;30,2,0)-IF(B893&gt;24,1,0)</x:f>
        <x:v>3</x:v>
      </x:c>
      <x:c r="L893" s="1" t="str">
        <x:f>IF(K893&gt;=3,"yes","no")</x:f>
        <x:v>yes</x:v>
      </x:c>
      <x:c r="M893" s="1"/>
      <x:c r="N893" s="1"/>
      <x:c r="O893" s="1"/>
    </x:row>
    <x:row r="894">
      <x:c r="A894" s="1" t="str">
        <x:v>S0893</x:v>
      </x:c>
      <x:c r="B894" s="1" t="n">
        <x:v>46</x:v>
      </x:c>
      <x:c r="C894" s="1" t="str">
        <x:v>premium</x:v>
      </x:c>
      <x:c r="D894" s="8" t="n">
        <x:v>15.99</x:v>
      </x:c>
      <x:c r="E894" s="1" t="n">
        <x:v>1</x:v>
      </x:c>
      <x:c r="F894" s="1" t="n">
        <x:v>22</x:v>
      </x:c>
      <x:c r="G894" s="1" t="n">
        <x:v>6</x:v>
      </x:c>
      <x:c r="H894" s="1" t="n">
        <x:v>0</x:v>
      </x:c>
      <x:c r="I894" s="1" t="n">
        <x:v>0</x:v>
      </x:c>
      <x:c r="J894" s="1" t="str">
        <x:v>no</x:v>
      </x:c>
      <x:c r="K894" s="1" t="n">
        <x:f>2*H894+E894+IF(G894&gt;30,2,0)-IF(B894&gt;24,1,0)</x:f>
        <x:v>0</x:v>
      </x:c>
      <x:c r="L894" s="1" t="str">
        <x:f>IF(K894&gt;=3,"yes","no")</x:f>
        <x:v>no</x:v>
      </x:c>
      <x:c r="M894" s="1"/>
      <x:c r="N894" s="1"/>
      <x:c r="O894" s="1"/>
    </x:row>
    <x:row r="895">
      <x:c r="A895" s="1" t="str">
        <x:v>S0894</x:v>
      </x:c>
      <x:c r="B895" s="1" t="n">
        <x:v>2</x:v>
      </x:c>
      <x:c r="C895" s="1" t="str">
        <x:v>basic</x:v>
      </x:c>
      <x:c r="D895" s="8" t="n">
        <x:v>9.99</x:v>
      </x:c>
      <x:c r="E895" s="1" t="n">
        <x:v>0</x:v>
      </x:c>
      <x:c r="F895" s="1" t="n">
        <x:v>17</x:v>
      </x:c>
      <x:c r="G895" s="1" t="n">
        <x:v>21</x:v>
      </x:c>
      <x:c r="H895" s="1" t="n">
        <x:v>0</x:v>
      </x:c>
      <x:c r="I895" s="1" t="n">
        <x:v>0</x:v>
      </x:c>
      <x:c r="J895" s="1" t="str">
        <x:v>no</x:v>
      </x:c>
      <x:c r="K895" s="1" t="n">
        <x:f>2*H895+E895+IF(G895&gt;30,2,0)-IF(B895&gt;24,1,0)</x:f>
        <x:v>0</x:v>
      </x:c>
      <x:c r="L895" s="1" t="str">
        <x:f>IF(K895&gt;=3,"yes","no")</x:f>
        <x:v>no</x:v>
      </x:c>
      <x:c r="M895" s="1"/>
      <x:c r="N895" s="1"/>
      <x:c r="O895" s="1"/>
    </x:row>
    <x:row r="896">
      <x:c r="A896" s="1" t="str">
        <x:v>S0895</x:v>
      </x:c>
      <x:c r="B896" s="1" t="n">
        <x:v>13</x:v>
      </x:c>
      <x:c r="C896" s="1" t="str">
        <x:v>basic</x:v>
      </x:c>
      <x:c r="D896" s="8" t="n">
        <x:v>9.99</x:v>
      </x:c>
      <x:c r="E896" s="1" t="n">
        <x:v>0</x:v>
      </x:c>
      <x:c r="F896" s="1" t="n">
        <x:v>29</x:v>
      </x:c>
      <x:c r="G896" s="1" t="n">
        <x:v>2</x:v>
      </x:c>
      <x:c r="H896" s="1" t="n">
        <x:v>0</x:v>
      </x:c>
      <x:c r="I896" s="1" t="n">
        <x:v>0</x:v>
      </x:c>
      <x:c r="J896" s="1" t="str">
        <x:v>no</x:v>
      </x:c>
      <x:c r="K896" s="1" t="n">
        <x:f>2*H896+E896+IF(G896&gt;30,2,0)-IF(B896&gt;24,1,0)</x:f>
        <x:v>0</x:v>
      </x:c>
      <x:c r="L896" s="1" t="str">
        <x:f>IF(K896&gt;=3,"yes","no")</x:f>
        <x:v>no</x:v>
      </x:c>
      <x:c r="M896" s="1"/>
      <x:c r="N896" s="1"/>
      <x:c r="O896" s="1"/>
    </x:row>
    <x:row r="897">
      <x:c r="A897" s="1" t="str">
        <x:v>S0896</x:v>
      </x:c>
      <x:c r="B897" s="1" t="n">
        <x:v>10</x:v>
      </x:c>
      <x:c r="C897" s="1" t="str">
        <x:v>premium</x:v>
      </x:c>
      <x:c r="D897" s="8" t="n">
        <x:v>15.99</x:v>
      </x:c>
      <x:c r="E897" s="1" t="n">
        <x:v>0</x:v>
      </x:c>
      <x:c r="F897" s="1" t="n">
        <x:v>25</x:v>
      </x:c>
      <x:c r="G897" s="1" t="n">
        <x:v>2</x:v>
      </x:c>
      <x:c r="H897" s="1" t="n">
        <x:v>1</x:v>
      </x:c>
      <x:c r="I897" s="1" t="n">
        <x:v>0</x:v>
      </x:c>
      <x:c r="J897" s="1" t="str">
        <x:v>no</x:v>
      </x:c>
      <x:c r="K897" s="1" t="n">
        <x:f>2*H897+E897+IF(G897&gt;30,2,0)-IF(B897&gt;24,1,0)</x:f>
        <x:v>2</x:v>
      </x:c>
      <x:c r="L897" s="1" t="str">
        <x:f>IF(K897&gt;=3,"yes","no")</x:f>
        <x:v>no</x:v>
      </x:c>
      <x:c r="M897" s="1"/>
      <x:c r="N897" s="1"/>
      <x:c r="O897" s="1"/>
    </x:row>
    <x:row r="898">
      <x:c r="A898" s="1" t="str">
        <x:v>S0897</x:v>
      </x:c>
      <x:c r="B898" s="1" t="n">
        <x:v>27</x:v>
      </x:c>
      <x:c r="C898" s="1" t="str">
        <x:v>basic</x:v>
      </x:c>
      <x:c r="D898" s="8" t="n">
        <x:v>9.99</x:v>
      </x:c>
      <x:c r="E898" s="1" t="n">
        <x:v>3</x:v>
      </x:c>
      <x:c r="F898" s="1" t="n">
        <x:v>13</x:v>
      </x:c>
      <x:c r="G898" s="1" t="n">
        <x:v>23</x:v>
      </x:c>
      <x:c r="H898" s="1" t="n">
        <x:v>0</x:v>
      </x:c>
      <x:c r="I898" s="1" t="n">
        <x:v>0</x:v>
      </x:c>
      <x:c r="J898" s="1" t="str">
        <x:v>yes</x:v>
      </x:c>
      <x:c r="K898" s="1" t="n">
        <x:f>2*H898+E898+IF(G898&gt;30,2,0)-IF(B898&gt;24,1,0)</x:f>
        <x:v>2</x:v>
      </x:c>
      <x:c r="L898" s="1" t="str">
        <x:f>IF(K898&gt;=3,"yes","no")</x:f>
        <x:v>no</x:v>
      </x:c>
      <x:c r="M898" s="1"/>
      <x:c r="N898" s="1"/>
      <x:c r="O898" s="1"/>
    </x:row>
    <x:row r="899">
      <x:c r="A899" s="1" t="str">
        <x:v>S0898</x:v>
      </x:c>
      <x:c r="B899" s="1" t="n">
        <x:v>3</x:v>
      </x:c>
      <x:c r="C899" s="1" t="str">
        <x:v>basic</x:v>
      </x:c>
      <x:c r="D899" s="8" t="n">
        <x:v>9.99</x:v>
      </x:c>
      <x:c r="E899" s="1" t="n">
        <x:v>3</x:v>
      </x:c>
      <x:c r="F899" s="1" t="n">
        <x:v>12</x:v>
      </x:c>
      <x:c r="G899" s="1" t="n">
        <x:v>2</x:v>
      </x:c>
      <x:c r="H899" s="1" t="n">
        <x:v>0</x:v>
      </x:c>
      <x:c r="I899" s="1" t="n">
        <x:v>0</x:v>
      </x:c>
      <x:c r="J899" s="1" t="str">
        <x:v>no</x:v>
      </x:c>
      <x:c r="K899" s="1" t="n">
        <x:f>2*H899+E899+IF(G899&gt;30,2,0)-IF(B899&gt;24,1,0)</x:f>
        <x:v>3</x:v>
      </x:c>
      <x:c r="L899" s="1" t="str">
        <x:f>IF(K899&gt;=3,"yes","no")</x:f>
        <x:v>yes</x:v>
      </x:c>
      <x:c r="M899" s="1"/>
      <x:c r="N899" s="1"/>
      <x:c r="O899" s="1"/>
    </x:row>
    <x:row r="900">
      <x:c r="A900" s="1" t="str">
        <x:v>S0899</x:v>
      </x:c>
      <x:c r="B900" s="1" t="n">
        <x:v>48</x:v>
      </x:c>
      <x:c r="C900" s="1" t="str">
        <x:v>premium</x:v>
      </x:c>
      <x:c r="D900" s="8" t="n">
        <x:v>15.99</x:v>
      </x:c>
      <x:c r="E900" s="1" t="n">
        <x:v>1</x:v>
      </x:c>
      <x:c r="F900" s="1" t="n">
        <x:v>28</x:v>
      </x:c>
      <x:c r="G900" s="1" t="n">
        <x:v>6</x:v>
      </x:c>
      <x:c r="H900" s="1" t="n">
        <x:v>0</x:v>
      </x:c>
      <x:c r="I900" s="1" t="n">
        <x:v>0</x:v>
      </x:c>
      <x:c r="J900" s="1" t="str">
        <x:v>no</x:v>
      </x:c>
      <x:c r="K900" s="1" t="n">
        <x:f>2*H900+E900+IF(G900&gt;30,2,0)-IF(B900&gt;24,1,0)</x:f>
        <x:v>0</x:v>
      </x:c>
      <x:c r="L900" s="1" t="str">
        <x:f>IF(K900&gt;=3,"yes","no")</x:f>
        <x:v>no</x:v>
      </x:c>
      <x:c r="M900" s="1"/>
      <x:c r="N900" s="1"/>
      <x:c r="O900" s="1"/>
    </x:row>
    <x:row r="901">
      <x:c r="A901" s="1" t="str">
        <x:v>S0900</x:v>
      </x:c>
      <x:c r="B901" s="1" t="n">
        <x:v>7</x:v>
      </x:c>
      <x:c r="C901" s="1" t="str">
        <x:v>basic</x:v>
      </x:c>
      <x:c r="D901" s="8" t="n">
        <x:v>9.99</x:v>
      </x:c>
      <x:c r="E901" s="1" t="n">
        <x:v>1</x:v>
      </x:c>
      <x:c r="F901" s="1" t="n">
        <x:v>20</x:v>
      </x:c>
      <x:c r="G901" s="1" t="n">
        <x:v>3</x:v>
      </x:c>
      <x:c r="H901" s="1" t="n">
        <x:v>0</x:v>
      </x:c>
      <x:c r="I901" s="1" t="n">
        <x:v>1</x:v>
      </x:c>
      <x:c r="J901" s="1" t="str">
        <x:v>no</x:v>
      </x:c>
      <x:c r="K901" s="1" t="n">
        <x:f>2*H901+E901+IF(G901&gt;30,2,0)-IF(B901&gt;24,1,0)</x:f>
        <x:v>1</x:v>
      </x:c>
      <x:c r="L901" s="1" t="str">
        <x:f>IF(K901&gt;=3,"yes","no")</x:f>
        <x:v>no</x:v>
      </x:c>
      <x:c r="M901" s="1"/>
      <x:c r="N901" s="1"/>
      <x:c r="O901" s="1"/>
    </x:row>
    <x:row r="902">
      <x:c r="A902" s="1" t="str">
        <x:v>S0901</x:v>
      </x:c>
      <x:c r="B902" s="1" t="n">
        <x:v>37</x:v>
      </x:c>
      <x:c r="C902" s="1" t="str">
        <x:v>premium</x:v>
      </x:c>
      <x:c r="D902" s="8" t="n">
        <x:v>15.99</x:v>
      </x:c>
      <x:c r="E902" s="1" t="n">
        <x:v>0</x:v>
      </x:c>
      <x:c r="F902" s="1" t="n">
        <x:v>11</x:v>
      </x:c>
      <x:c r="G902" s="1" t="n">
        <x:v>2</x:v>
      </x:c>
      <x:c r="H902" s="1" t="n">
        <x:v>0</x:v>
      </x:c>
      <x:c r="I902" s="1" t="n">
        <x:v>1</x:v>
      </x:c>
      <x:c r="J902" s="1" t="str">
        <x:v>no</x:v>
      </x:c>
      <x:c r="K902" s="1" t="n">
        <x:f>2*H902+E902+IF(G902&gt;30,2,0)-IF(B902&gt;24,1,0)</x:f>
        <x:v>-1</x:v>
      </x:c>
      <x:c r="L902" s="1" t="str">
        <x:f>IF(K902&gt;=3,"yes","no")</x:f>
        <x:v>no</x:v>
      </x:c>
      <x:c r="M902" s="1"/>
      <x:c r="N902" s="1"/>
      <x:c r="O902" s="1"/>
    </x:row>
    <x:row r="903">
      <x:c r="A903" s="1" t="str">
        <x:v>S0902</x:v>
      </x:c>
      <x:c r="B903" s="1" t="n">
        <x:v>1</x:v>
      </x:c>
      <x:c r="C903" s="1" t="str">
        <x:v>basic</x:v>
      </x:c>
      <x:c r="D903" s="8" t="n">
        <x:v>9.99</x:v>
      </x:c>
      <x:c r="E903" s="1" t="n">
        <x:v>0</x:v>
      </x:c>
      <x:c r="F903" s="1" t="n">
        <x:v>9</x:v>
      </x:c>
      <x:c r="G903" s="1" t="n">
        <x:v>30</x:v>
      </x:c>
      <x:c r="H903" s="1" t="n">
        <x:v>1</x:v>
      </x:c>
      <x:c r="I903" s="1" t="n">
        <x:v>0</x:v>
      </x:c>
      <x:c r="J903" s="1" t="str">
        <x:v>yes</x:v>
      </x:c>
      <x:c r="K903" s="1" t="n">
        <x:f>2*H903+E903+IF(G903&gt;30,2,0)-IF(B903&gt;24,1,0)</x:f>
        <x:v>2</x:v>
      </x:c>
      <x:c r="L903" s="1" t="str">
        <x:f>IF(K903&gt;=3,"yes","no")</x:f>
        <x:v>no</x:v>
      </x:c>
      <x:c r="M903" s="1"/>
      <x:c r="N903" s="1"/>
      <x:c r="O903" s="1"/>
    </x:row>
    <x:row r="904">
      <x:c r="A904" s="1" t="str">
        <x:v>S0903</x:v>
      </x:c>
      <x:c r="B904" s="1" t="n">
        <x:v>23</x:v>
      </x:c>
      <x:c r="C904" s="1" t="str">
        <x:v>basic</x:v>
      </x:c>
      <x:c r="D904" s="8" t="n">
        <x:v>9.99</x:v>
      </x:c>
      <x:c r="E904" s="1" t="n">
        <x:v>1</x:v>
      </x:c>
      <x:c r="F904" s="1" t="n">
        <x:v>18</x:v>
      </x:c>
      <x:c r="G904" s="1" t="n">
        <x:v>2</x:v>
      </x:c>
      <x:c r="H904" s="1" t="n">
        <x:v>1</x:v>
      </x:c>
      <x:c r="I904" s="1" t="n">
        <x:v>0</x:v>
      </x:c>
      <x:c r="J904" s="1" t="str">
        <x:v>no</x:v>
      </x:c>
      <x:c r="K904" s="1" t="n">
        <x:f>2*H904+E904+IF(G904&gt;30,2,0)-IF(B904&gt;24,1,0)</x:f>
        <x:v>3</x:v>
      </x:c>
      <x:c r="L904" s="1" t="str">
        <x:f>IF(K904&gt;=3,"yes","no")</x:f>
        <x:v>yes</x:v>
      </x:c>
      <x:c r="M904" s="1"/>
      <x:c r="N904" s="1"/>
      <x:c r="O904" s="1"/>
    </x:row>
    <x:row r="905">
      <x:c r="A905" s="1" t="str">
        <x:v>S0904</x:v>
      </x:c>
      <x:c r="B905" s="1" t="n">
        <x:v>16</x:v>
      </x:c>
      <x:c r="C905" s="1" t="str">
        <x:v>basic</x:v>
      </x:c>
      <x:c r="D905" s="8" t="n">
        <x:v>9.99</x:v>
      </x:c>
      <x:c r="E905" s="1" t="n">
        <x:v>0</x:v>
      </x:c>
      <x:c r="F905" s="1" t="n">
        <x:v>1</x:v>
      </x:c>
      <x:c r="G905" s="1" t="n">
        <x:v>22</x:v>
      </x:c>
      <x:c r="H905" s="1" t="n">
        <x:v>1</x:v>
      </x:c>
      <x:c r="I905" s="1" t="n">
        <x:v>0</x:v>
      </x:c>
      <x:c r="J905" s="1" t="str">
        <x:v>yes</x:v>
      </x:c>
      <x:c r="K905" s="1" t="n">
        <x:f>2*H905+E905+IF(G905&gt;30,2,0)-IF(B905&gt;24,1,0)</x:f>
        <x:v>2</x:v>
      </x:c>
      <x:c r="L905" s="1" t="str">
        <x:f>IF(K905&gt;=3,"yes","no")</x:f>
        <x:v>no</x:v>
      </x:c>
      <x:c r="M905" s="1"/>
      <x:c r="N905" s="1"/>
      <x:c r="O905" s="1"/>
    </x:row>
    <x:row r="906">
      <x:c r="A906" s="1" t="str">
        <x:v>S0905</x:v>
      </x:c>
      <x:c r="B906" s="1" t="n">
        <x:v>30</x:v>
      </x:c>
      <x:c r="C906" s="1" t="str">
        <x:v>premium</x:v>
      </x:c>
      <x:c r="D906" s="8" t="n">
        <x:v>15.99</x:v>
      </x:c>
      <x:c r="E906" s="1" t="n">
        <x:v>2</x:v>
      </x:c>
      <x:c r="F906" s="1" t="n">
        <x:v>0</x:v>
      </x:c>
      <x:c r="G906" s="1" t="n">
        <x:v>60</x:v>
      </x:c>
      <x:c r="H906" s="1" t="n">
        <x:v>0</x:v>
      </x:c>
      <x:c r="I906" s="1" t="n">
        <x:v>0</x:v>
      </x:c>
      <x:c r="J906" s="1" t="str">
        <x:v>yes</x:v>
      </x:c>
      <x:c r="K906" s="1" t="n">
        <x:f>2*H906+E906+IF(G906&gt;30,2,0)-IF(B906&gt;24,1,0)</x:f>
        <x:v>3</x:v>
      </x:c>
      <x:c r="L906" s="1" t="str">
        <x:f>IF(K906&gt;=3,"yes","no")</x:f>
        <x:v>yes</x:v>
      </x:c>
      <x:c r="M906" s="1"/>
      <x:c r="N906" s="1"/>
      <x:c r="O906" s="1"/>
    </x:row>
    <x:row r="907">
      <x:c r="A907" s="1" t="str">
        <x:v>S0906</x:v>
      </x:c>
      <x:c r="B907" s="1" t="n">
        <x:v>30</x:v>
      </x:c>
      <x:c r="C907" s="1" t="str">
        <x:v>basic</x:v>
      </x:c>
      <x:c r="D907" s="8" t="n">
        <x:v>9.99</x:v>
      </x:c>
      <x:c r="E907" s="1" t="n">
        <x:v>2</x:v>
      </x:c>
      <x:c r="F907" s="1" t="n">
        <x:v>32</x:v>
      </x:c>
      <x:c r="G907" s="1" t="n">
        <x:v>0</x:v>
      </x:c>
      <x:c r="H907" s="1" t="n">
        <x:v>0</x:v>
      </x:c>
      <x:c r="I907" s="1" t="n">
        <x:v>0</x:v>
      </x:c>
      <x:c r="J907" s="1" t="str">
        <x:v>no</x:v>
      </x:c>
      <x:c r="K907" s="1" t="n">
        <x:f>2*H907+E907+IF(G907&gt;30,2,0)-IF(B907&gt;24,1,0)</x:f>
        <x:v>1</x:v>
      </x:c>
      <x:c r="L907" s="1" t="str">
        <x:f>IF(K907&gt;=3,"yes","no")</x:f>
        <x:v>no</x:v>
      </x:c>
      <x:c r="M907" s="1"/>
      <x:c r="N907" s="1"/>
      <x:c r="O907" s="1"/>
    </x:row>
    <x:row r="908">
      <x:c r="A908" s="1" t="str">
        <x:v>S0907</x:v>
      </x:c>
      <x:c r="B908" s="1" t="n">
        <x:v>9</x:v>
      </x:c>
      <x:c r="C908" s="1" t="str">
        <x:v>basic</x:v>
      </x:c>
      <x:c r="D908" s="8" t="n">
        <x:v>9.99</x:v>
      </x:c>
      <x:c r="E908" s="1" t="n">
        <x:v>0</x:v>
      </x:c>
      <x:c r="F908" s="1" t="n">
        <x:v>24</x:v>
      </x:c>
      <x:c r="G908" s="1" t="n">
        <x:v>3</x:v>
      </x:c>
      <x:c r="H908" s="1" t="n">
        <x:v>0</x:v>
      </x:c>
      <x:c r="I908" s="1" t="n">
        <x:v>0</x:v>
      </x:c>
      <x:c r="J908" s="1" t="str">
        <x:v>no</x:v>
      </x:c>
      <x:c r="K908" s="1" t="n">
        <x:f>2*H908+E908+IF(G908&gt;30,2,0)-IF(B908&gt;24,1,0)</x:f>
        <x:v>0</x:v>
      </x:c>
      <x:c r="L908" s="1" t="str">
        <x:f>IF(K908&gt;=3,"yes","no")</x:f>
        <x:v>no</x:v>
      </x:c>
      <x:c r="M908" s="1"/>
      <x:c r="N908" s="1"/>
      <x:c r="O908" s="1"/>
    </x:row>
    <x:row r="909">
      <x:c r="A909" s="1" t="str">
        <x:v>S0908</x:v>
      </x:c>
      <x:c r="B909" s="1" t="n">
        <x:v>44</x:v>
      </x:c>
      <x:c r="C909" s="1" t="str">
        <x:v>basic</x:v>
      </x:c>
      <x:c r="D909" s="8" t="n">
        <x:v>9.99</x:v>
      </x:c>
      <x:c r="E909" s="1" t="n">
        <x:v>1</x:v>
      </x:c>
      <x:c r="F909" s="1" t="n">
        <x:v>23</x:v>
      </x:c>
      <x:c r="G909" s="1" t="n">
        <x:v>7</x:v>
      </x:c>
      <x:c r="H909" s="1" t="n">
        <x:v>0</x:v>
      </x:c>
      <x:c r="I909" s="1" t="n">
        <x:v>0</x:v>
      </x:c>
      <x:c r="J909" s="1" t="str">
        <x:v>no</x:v>
      </x:c>
      <x:c r="K909" s="1" t="n">
        <x:f>2*H909+E909+IF(G909&gt;30,2,0)-IF(B909&gt;24,1,0)</x:f>
        <x:v>0</x:v>
      </x:c>
      <x:c r="L909" s="1" t="str">
        <x:f>IF(K909&gt;=3,"yes","no")</x:f>
        <x:v>no</x:v>
      </x:c>
      <x:c r="M909" s="1"/>
      <x:c r="N909" s="1"/>
      <x:c r="O909" s="1"/>
    </x:row>
    <x:row r="910">
      <x:c r="A910" s="1" t="str">
        <x:v>S0909</x:v>
      </x:c>
      <x:c r="B910" s="1" t="n">
        <x:v>24</x:v>
      </x:c>
      <x:c r="C910" s="1" t="str">
        <x:v>premium</x:v>
      </x:c>
      <x:c r="D910" s="8" t="n">
        <x:v>15.99</x:v>
      </x:c>
      <x:c r="E910" s="1" t="n">
        <x:v>1</x:v>
      </x:c>
      <x:c r="F910" s="1" t="n">
        <x:v>16</x:v>
      </x:c>
      <x:c r="G910" s="1" t="n">
        <x:v>24</x:v>
      </x:c>
      <x:c r="H910" s="1" t="n">
        <x:v>0</x:v>
      </x:c>
      <x:c r="I910" s="1" t="n">
        <x:v>0</x:v>
      </x:c>
      <x:c r="J910" s="1" t="str">
        <x:v>no</x:v>
      </x:c>
      <x:c r="K910" s="1" t="n">
        <x:f>2*H910+E910+IF(G910&gt;30,2,0)-IF(B910&gt;24,1,0)</x:f>
        <x:v>1</x:v>
      </x:c>
      <x:c r="L910" s="1" t="str">
        <x:f>IF(K910&gt;=3,"yes","no")</x:f>
        <x:v>no</x:v>
      </x:c>
      <x:c r="M910" s="1"/>
      <x:c r="N910" s="1"/>
      <x:c r="O910" s="1"/>
    </x:row>
    <x:row r="911">
      <x:c r="A911" s="1" t="str">
        <x:v>S0910</x:v>
      </x:c>
      <x:c r="B911" s="1" t="n">
        <x:v>25</x:v>
      </x:c>
      <x:c r="C911" s="1" t="str">
        <x:v>premium</x:v>
      </x:c>
      <x:c r="D911" s="8" t="n">
        <x:v>15.99</x:v>
      </x:c>
      <x:c r="E911" s="1" t="n">
        <x:v>0</x:v>
      </x:c>
      <x:c r="F911" s="1" t="n">
        <x:v>0</x:v>
      </x:c>
      <x:c r="G911" s="1" t="n">
        <x:v>51</x:v>
      </x:c>
      <x:c r="H911" s="1" t="n">
        <x:v>0</x:v>
      </x:c>
      <x:c r="I911" s="1" t="n">
        <x:v>0</x:v>
      </x:c>
      <x:c r="J911" s="1" t="str">
        <x:v>yes</x:v>
      </x:c>
      <x:c r="K911" s="1" t="n">
        <x:f>2*H911+E911+IF(G911&gt;30,2,0)-IF(B911&gt;24,1,0)</x:f>
        <x:v>1</x:v>
      </x:c>
      <x:c r="L911" s="1" t="str">
        <x:f>IF(K911&gt;=3,"yes","no")</x:f>
        <x:v>no</x:v>
      </x:c>
      <x:c r="M911" s="1"/>
      <x:c r="N911" s="1"/>
      <x:c r="O911" s="1"/>
    </x:row>
    <x:row r="912">
      <x:c r="A912" s="1" t="str">
        <x:v>S0911</x:v>
      </x:c>
      <x:c r="B912" s="1" t="n">
        <x:v>15</x:v>
      </x:c>
      <x:c r="C912" s="1" t="str">
        <x:v>basic</x:v>
      </x:c>
      <x:c r="D912" s="8" t="n">
        <x:v>9.99</x:v>
      </x:c>
      <x:c r="E912" s="1" t="n">
        <x:v>0</x:v>
      </x:c>
      <x:c r="F912" s="1" t="n">
        <x:v>26</x:v>
      </x:c>
      <x:c r="G912" s="1" t="n">
        <x:v>1</x:v>
      </x:c>
      <x:c r="H912" s="1" t="n">
        <x:v>0</x:v>
      </x:c>
      <x:c r="I912" s="1" t="n">
        <x:v>0</x:v>
      </x:c>
      <x:c r="J912" s="1" t="str">
        <x:v>no</x:v>
      </x:c>
      <x:c r="K912" s="1" t="n">
        <x:f>2*H912+E912+IF(G912&gt;30,2,0)-IF(B912&gt;24,1,0)</x:f>
        <x:v>0</x:v>
      </x:c>
      <x:c r="L912" s="1" t="str">
        <x:f>IF(K912&gt;=3,"yes","no")</x:f>
        <x:v>no</x:v>
      </x:c>
      <x:c r="M912" s="1"/>
      <x:c r="N912" s="1"/>
      <x:c r="O912" s="1"/>
    </x:row>
    <x:row r="913">
      <x:c r="A913" s="1" t="str">
        <x:v>S0912</x:v>
      </x:c>
      <x:c r="B913" s="1" t="n">
        <x:v>25</x:v>
      </x:c>
      <x:c r="C913" s="1" t="str">
        <x:v>premium</x:v>
      </x:c>
      <x:c r="D913" s="8" t="n">
        <x:v>15.99</x:v>
      </x:c>
      <x:c r="E913" s="1" t="n">
        <x:v>3</x:v>
      </x:c>
      <x:c r="F913" s="1" t="n">
        <x:v>6</x:v>
      </x:c>
      <x:c r="G913" s="1" t="n">
        <x:v>4</x:v>
      </x:c>
      <x:c r="H913" s="1" t="n">
        <x:v>0</x:v>
      </x:c>
      <x:c r="I913" s="1" t="n">
        <x:v>0</x:v>
      </x:c>
      <x:c r="J913" s="1" t="str">
        <x:v>no</x:v>
      </x:c>
      <x:c r="K913" s="1" t="n">
        <x:f>2*H913+E913+IF(G913&gt;30,2,0)-IF(B913&gt;24,1,0)</x:f>
        <x:v>2</x:v>
      </x:c>
      <x:c r="L913" s="1" t="str">
        <x:f>IF(K913&gt;=3,"yes","no")</x:f>
        <x:v>no</x:v>
      </x:c>
      <x:c r="M913" s="1"/>
      <x:c r="N913" s="1"/>
      <x:c r="O913" s="1"/>
    </x:row>
    <x:row r="914">
      <x:c r="A914" s="1" t="str">
        <x:v>S0913</x:v>
      </x:c>
      <x:c r="B914" s="1" t="n">
        <x:v>43</x:v>
      </x:c>
      <x:c r="C914" s="1" t="str">
        <x:v>basic</x:v>
      </x:c>
      <x:c r="D914" s="8" t="n">
        <x:v>9.99</x:v>
      </x:c>
      <x:c r="E914" s="1" t="n">
        <x:v>0</x:v>
      </x:c>
      <x:c r="F914" s="1" t="n">
        <x:v>8</x:v>
      </x:c>
      <x:c r="G914" s="1" t="n">
        <x:v>30</x:v>
      </x:c>
      <x:c r="H914" s="1" t="n">
        <x:v>0</x:v>
      </x:c>
      <x:c r="I914" s="1" t="n">
        <x:v>0</x:v>
      </x:c>
      <x:c r="J914" s="1" t="str">
        <x:v>no</x:v>
      </x:c>
      <x:c r="K914" s="1" t="n">
        <x:f>2*H914+E914+IF(G914&gt;30,2,0)-IF(B914&gt;24,1,0)</x:f>
        <x:v>-1</x:v>
      </x:c>
      <x:c r="L914" s="1" t="str">
        <x:f>IF(K914&gt;=3,"yes","no")</x:f>
        <x:v>no</x:v>
      </x:c>
      <x:c r="M914" s="1"/>
      <x:c r="N914" s="1"/>
      <x:c r="O914" s="1"/>
    </x:row>
    <x:row r="915">
      <x:c r="A915" s="1" t="str">
        <x:v>S0914</x:v>
      </x:c>
      <x:c r="B915" s="1" t="n">
        <x:v>35</x:v>
      </x:c>
      <x:c r="C915" s="1" t="str">
        <x:v>basic</x:v>
      </x:c>
      <x:c r="D915" s="8" t="n">
        <x:v>9.99</x:v>
      </x:c>
      <x:c r="E915" s="1" t="n">
        <x:v>0</x:v>
      </x:c>
      <x:c r="F915" s="1" t="n">
        <x:v>0</x:v>
      </x:c>
      <x:c r="G915" s="1" t="n">
        <x:v>50</x:v>
      </x:c>
      <x:c r="H915" s="1" t="n">
        <x:v>0</x:v>
      </x:c>
      <x:c r="I915" s="1" t="n">
        <x:v>0</x:v>
      </x:c>
      <x:c r="J915" s="1" t="str">
        <x:v>no</x:v>
      </x:c>
      <x:c r="K915" s="1" t="n">
        <x:f>2*H915+E915+IF(G915&gt;30,2,0)-IF(B915&gt;24,1,0)</x:f>
        <x:v>1</x:v>
      </x:c>
      <x:c r="L915" s="1" t="str">
        <x:f>IF(K915&gt;=3,"yes","no")</x:f>
        <x:v>no</x:v>
      </x:c>
      <x:c r="M915" s="1"/>
      <x:c r="N915" s="1"/>
      <x:c r="O915" s="1"/>
    </x:row>
    <x:row r="916">
      <x:c r="A916" s="1" t="str">
        <x:v>S0915</x:v>
      </x:c>
      <x:c r="B916" s="1" t="n">
        <x:v>9</x:v>
      </x:c>
      <x:c r="C916" s="1" t="str">
        <x:v>premium</x:v>
      </x:c>
      <x:c r="D916" s="8" t="n">
        <x:v>15.99</x:v>
      </x:c>
      <x:c r="E916" s="1" t="n">
        <x:v>0</x:v>
      </x:c>
      <x:c r="F916" s="1" t="n">
        <x:v>1</x:v>
      </x:c>
      <x:c r="G916" s="1" t="n">
        <x:v>19</x:v>
      </x:c>
      <x:c r="H916" s="1" t="n">
        <x:v>0</x:v>
      </x:c>
      <x:c r="I916" s="1" t="n">
        <x:v>0</x:v>
      </x:c>
      <x:c r="J916" s="1" t="str">
        <x:v>no</x:v>
      </x:c>
      <x:c r="K916" s="1" t="n">
        <x:f>2*H916+E916+IF(G916&gt;30,2,0)-IF(B916&gt;24,1,0)</x:f>
        <x:v>0</x:v>
      </x:c>
      <x:c r="L916" s="1" t="str">
        <x:f>IF(K916&gt;=3,"yes","no")</x:f>
        <x:v>no</x:v>
      </x:c>
      <x:c r="M916" s="1"/>
      <x:c r="N916" s="1"/>
      <x:c r="O916" s="1"/>
    </x:row>
    <x:row r="917">
      <x:c r="A917" s="1" t="str">
        <x:v>S0916</x:v>
      </x:c>
      <x:c r="B917" s="1" t="n">
        <x:v>38</x:v>
      </x:c>
      <x:c r="C917" s="1" t="str">
        <x:v>basic</x:v>
      </x:c>
      <x:c r="D917" s="8" t="n">
        <x:v>9.99</x:v>
      </x:c>
      <x:c r="E917" s="1" t="n">
        <x:v>1</x:v>
      </x:c>
      <x:c r="F917" s="1" t="n">
        <x:v>14</x:v>
      </x:c>
      <x:c r="G917" s="1" t="n">
        <x:v>9</x:v>
      </x:c>
      <x:c r="H917" s="1" t="n">
        <x:v>0</x:v>
      </x:c>
      <x:c r="I917" s="1" t="n">
        <x:v>0</x:v>
      </x:c>
      <x:c r="J917" s="1" t="str">
        <x:v>no</x:v>
      </x:c>
      <x:c r="K917" s="1" t="n">
        <x:f>2*H917+E917+IF(G917&gt;30,2,0)-IF(B917&gt;24,1,0)</x:f>
        <x:v>0</x:v>
      </x:c>
      <x:c r="L917" s="1" t="str">
        <x:f>IF(K917&gt;=3,"yes","no")</x:f>
        <x:v>no</x:v>
      </x:c>
      <x:c r="M917" s="1"/>
      <x:c r="N917" s="1"/>
      <x:c r="O917" s="1"/>
    </x:row>
    <x:row r="918">
      <x:c r="A918" s="1" t="str">
        <x:v>S0917</x:v>
      </x:c>
      <x:c r="B918" s="1" t="n">
        <x:v>48</x:v>
      </x:c>
      <x:c r="C918" s="1" t="str">
        <x:v>basic</x:v>
      </x:c>
      <x:c r="D918" s="8" t="n">
        <x:v>9.99</x:v>
      </x:c>
      <x:c r="E918" s="1" t="n">
        <x:v>4</x:v>
      </x:c>
      <x:c r="F918" s="1" t="n">
        <x:v>9</x:v>
      </x:c>
      <x:c r="G918" s="1" t="n">
        <x:v>1</x:v>
      </x:c>
      <x:c r="H918" s="1" t="n">
        <x:v>0</x:v>
      </x:c>
      <x:c r="I918" s="1" t="n">
        <x:v>0</x:v>
      </x:c>
      <x:c r="J918" s="1" t="str">
        <x:v>no</x:v>
      </x:c>
      <x:c r="K918" s="1" t="n">
        <x:f>2*H918+E918+IF(G918&gt;30,2,0)-IF(B918&gt;24,1,0)</x:f>
        <x:v>3</x:v>
      </x:c>
      <x:c r="L918" s="1" t="str">
        <x:f>IF(K918&gt;=3,"yes","no")</x:f>
        <x:v>yes</x:v>
      </x:c>
      <x:c r="M918" s="1"/>
      <x:c r="N918" s="1"/>
      <x:c r="O918" s="1"/>
    </x:row>
    <x:row r="919">
      <x:c r="A919" s="1" t="str">
        <x:v>S0918</x:v>
      </x:c>
      <x:c r="B919" s="1" t="n">
        <x:v>21</x:v>
      </x:c>
      <x:c r="C919" s="1" t="str">
        <x:v>basic</x:v>
      </x:c>
      <x:c r="D919" s="8" t="n">
        <x:v>9.99</x:v>
      </x:c>
      <x:c r="E919" s="1" t="n">
        <x:v>2</x:v>
      </x:c>
      <x:c r="F919" s="1" t="n">
        <x:v>18</x:v>
      </x:c>
      <x:c r="G919" s="1" t="n">
        <x:v>23</x:v>
      </x:c>
      <x:c r="H919" s="1" t="n">
        <x:v>0</x:v>
      </x:c>
      <x:c r="I919" s="1" t="n">
        <x:v>0</x:v>
      </x:c>
      <x:c r="J919" s="1" t="str">
        <x:v>no</x:v>
      </x:c>
      <x:c r="K919" s="1" t="n">
        <x:f>2*H919+E919+IF(G919&gt;30,2,0)-IF(B919&gt;24,1,0)</x:f>
        <x:v>2</x:v>
      </x:c>
      <x:c r="L919" s="1" t="str">
        <x:f>IF(K919&gt;=3,"yes","no")</x:f>
        <x:v>no</x:v>
      </x:c>
      <x:c r="M919" s="1"/>
      <x:c r="N919" s="1"/>
      <x:c r="O919" s="1"/>
    </x:row>
    <x:row r="920">
      <x:c r="A920" s="1" t="str">
        <x:v>S0919</x:v>
      </x:c>
      <x:c r="B920" s="1" t="n">
        <x:v>24</x:v>
      </x:c>
      <x:c r="C920" s="1" t="str">
        <x:v>basic</x:v>
      </x:c>
      <x:c r="D920" s="8" t="n">
        <x:v>9.99</x:v>
      </x:c>
      <x:c r="E920" s="1" t="n">
        <x:v>0</x:v>
      </x:c>
      <x:c r="F920" s="1" t="n">
        <x:v>18</x:v>
      </x:c>
      <x:c r="G920" s="1" t="n">
        <x:v>7</x:v>
      </x:c>
      <x:c r="H920" s="1" t="n">
        <x:v>0</x:v>
      </x:c>
      <x:c r="I920" s="1" t="n">
        <x:v>0</x:v>
      </x:c>
      <x:c r="J920" s="1" t="str">
        <x:v>no</x:v>
      </x:c>
      <x:c r="K920" s="1" t="n">
        <x:f>2*H920+E920+IF(G920&gt;30,2,0)-IF(B920&gt;24,1,0)</x:f>
        <x:v>0</x:v>
      </x:c>
      <x:c r="L920" s="1" t="str">
        <x:f>IF(K920&gt;=3,"yes","no")</x:f>
        <x:v>no</x:v>
      </x:c>
      <x:c r="M920" s="1"/>
      <x:c r="N920" s="1"/>
      <x:c r="O920" s="1"/>
    </x:row>
    <x:row r="921">
      <x:c r="A921" s="1" t="str">
        <x:v>S0920</x:v>
      </x:c>
      <x:c r="B921" s="1" t="n">
        <x:v>12</x:v>
      </x:c>
      <x:c r="C921" s="1" t="str">
        <x:v>basic</x:v>
      </x:c>
      <x:c r="D921" s="8" t="n">
        <x:v>9.99</x:v>
      </x:c>
      <x:c r="E921" s="1" t="n">
        <x:v>0</x:v>
      </x:c>
      <x:c r="F921" s="1" t="n">
        <x:v>25</x:v>
      </x:c>
      <x:c r="G921" s="1" t="n">
        <x:v>1</x:v>
      </x:c>
      <x:c r="H921" s="1" t="n">
        <x:v>0</x:v>
      </x:c>
      <x:c r="I921" s="1" t="n">
        <x:v>0</x:v>
      </x:c>
      <x:c r="J921" s="1" t="str">
        <x:v>no</x:v>
      </x:c>
      <x:c r="K921" s="1" t="n">
        <x:f>2*H921+E921+IF(G921&gt;30,2,0)-IF(B921&gt;24,1,0)</x:f>
        <x:v>0</x:v>
      </x:c>
      <x:c r="L921" s="1" t="str">
        <x:f>IF(K921&gt;=3,"yes","no")</x:f>
        <x:v>no</x:v>
      </x:c>
      <x:c r="M921" s="1"/>
      <x:c r="N921" s="1"/>
      <x:c r="O921" s="1"/>
    </x:row>
    <x:row r="922">
      <x:c r="A922" s="1" t="str">
        <x:v>S0921</x:v>
      </x:c>
      <x:c r="B922" s="1" t="n">
        <x:v>16</x:v>
      </x:c>
      <x:c r="C922" s="1" t="str">
        <x:v>basic</x:v>
      </x:c>
      <x:c r="D922" s="8" t="n">
        <x:v>9.99</x:v>
      </x:c>
      <x:c r="E922" s="1" t="n">
        <x:v>0</x:v>
      </x:c>
      <x:c r="F922" s="1" t="n">
        <x:v>24</x:v>
      </x:c>
      <x:c r="G922" s="1" t="n">
        <x:v>2</x:v>
      </x:c>
      <x:c r="H922" s="1" t="n">
        <x:v>2</x:v>
      </x:c>
      <x:c r="I922" s="1" t="n">
        <x:v>1</x:v>
      </x:c>
      <x:c r="J922" s="1" t="str">
        <x:v>no</x:v>
      </x:c>
      <x:c r="K922" s="1" t="n">
        <x:f>2*H922+E922+IF(G922&gt;30,2,0)-IF(B922&gt;24,1,0)</x:f>
        <x:v>4</x:v>
      </x:c>
      <x:c r="L922" s="1" t="str">
        <x:f>IF(K922&gt;=3,"yes","no")</x:f>
        <x:v>yes</x:v>
      </x:c>
      <x:c r="M922" s="1"/>
      <x:c r="N922" s="1"/>
      <x:c r="O922" s="1"/>
    </x:row>
    <x:row r="923">
      <x:c r="A923" s="1" t="str">
        <x:v>S0922</x:v>
      </x:c>
      <x:c r="B923" s="1" t="n">
        <x:v>38</x:v>
      </x:c>
      <x:c r="C923" s="1" t="str">
        <x:v>basic</x:v>
      </x:c>
      <x:c r="D923" s="8" t="n">
        <x:v>9.99</x:v>
      </x:c>
      <x:c r="E923" s="1" t="n">
        <x:v>0</x:v>
      </x:c>
      <x:c r="F923" s="1" t="n">
        <x:v>10</x:v>
      </x:c>
      <x:c r="G923" s="1" t="n">
        <x:v>15</x:v>
      </x:c>
      <x:c r="H923" s="1" t="n">
        <x:v>0</x:v>
      </x:c>
      <x:c r="I923" s="1" t="n">
        <x:v>0</x:v>
      </x:c>
      <x:c r="J923" s="1" t="str">
        <x:v>no</x:v>
      </x:c>
      <x:c r="K923" s="1" t="n">
        <x:f>2*H923+E923+IF(G923&gt;30,2,0)-IF(B923&gt;24,1,0)</x:f>
        <x:v>-1</x:v>
      </x:c>
      <x:c r="L923" s="1" t="str">
        <x:f>IF(K923&gt;=3,"yes","no")</x:f>
        <x:v>no</x:v>
      </x:c>
      <x:c r="M923" s="1"/>
      <x:c r="N923" s="1"/>
      <x:c r="O923" s="1"/>
    </x:row>
    <x:row r="924">
      <x:c r="A924" s="1" t="str">
        <x:v>S0923</x:v>
      </x:c>
      <x:c r="B924" s="1" t="n">
        <x:v>20</x:v>
      </x:c>
      <x:c r="C924" s="1" t="str">
        <x:v>premium</x:v>
      </x:c>
      <x:c r="D924" s="8" t="n">
        <x:v>15.99</x:v>
      </x:c>
      <x:c r="E924" s="1" t="n">
        <x:v>0</x:v>
      </x:c>
      <x:c r="F924" s="1" t="n">
        <x:v>29</x:v>
      </x:c>
      <x:c r="G924" s="1" t="n">
        <x:v>4</x:v>
      </x:c>
      <x:c r="H924" s="1" t="n">
        <x:v>0</x:v>
      </x:c>
      <x:c r="I924" s="1" t="n">
        <x:v>0</x:v>
      </x:c>
      <x:c r="J924" s="1" t="str">
        <x:v>no</x:v>
      </x:c>
      <x:c r="K924" s="1" t="n">
        <x:f>2*H924+E924+IF(G924&gt;30,2,0)-IF(B924&gt;24,1,0)</x:f>
        <x:v>0</x:v>
      </x:c>
      <x:c r="L924" s="1" t="str">
        <x:f>IF(K924&gt;=3,"yes","no")</x:f>
        <x:v>no</x:v>
      </x:c>
      <x:c r="M924" s="1"/>
      <x:c r="N924" s="1"/>
      <x:c r="O924" s="1"/>
    </x:row>
    <x:row r="925">
      <x:c r="A925" s="1" t="str">
        <x:v>S0924</x:v>
      </x:c>
      <x:c r="B925" s="1" t="n">
        <x:v>47</x:v>
      </x:c>
      <x:c r="C925" s="1" t="str">
        <x:v>basic</x:v>
      </x:c>
      <x:c r="D925" s="8" t="n">
        <x:v>9.99</x:v>
      </x:c>
      <x:c r="E925" s="1" t="n">
        <x:v>1</x:v>
      </x:c>
      <x:c r="F925" s="1" t="n">
        <x:v>11</x:v>
      </x:c>
      <x:c r="G925" s="1" t="n">
        <x:v>7</x:v>
      </x:c>
      <x:c r="H925" s="1" t="n">
        <x:v>1</x:v>
      </x:c>
      <x:c r="I925" s="1" t="n">
        <x:v>0</x:v>
      </x:c>
      <x:c r="J925" s="1" t="str">
        <x:v>no</x:v>
      </x:c>
      <x:c r="K925" s="1" t="n">
        <x:f>2*H925+E925+IF(G925&gt;30,2,0)-IF(B925&gt;24,1,0)</x:f>
        <x:v>2</x:v>
      </x:c>
      <x:c r="L925" s="1" t="str">
        <x:f>IF(K925&gt;=3,"yes","no")</x:f>
        <x:v>no</x:v>
      </x:c>
      <x:c r="M925" s="1"/>
      <x:c r="N925" s="1"/>
      <x:c r="O925" s="1"/>
    </x:row>
    <x:row r="926">
      <x:c r="A926" s="1" t="str">
        <x:v>S0925</x:v>
      </x:c>
      <x:c r="B926" s="1" t="n">
        <x:v>15</x:v>
      </x:c>
      <x:c r="C926" s="1" t="str">
        <x:v>basic</x:v>
      </x:c>
      <x:c r="D926" s="8" t="n">
        <x:v>9.99</x:v>
      </x:c>
      <x:c r="E926" s="1" t="n">
        <x:v>2</x:v>
      </x:c>
      <x:c r="F926" s="1" t="n">
        <x:v>12</x:v>
      </x:c>
      <x:c r="G926" s="1" t="n">
        <x:v>23</x:v>
      </x:c>
      <x:c r="H926" s="1" t="n">
        <x:v>0</x:v>
      </x:c>
      <x:c r="I926" s="1" t="n">
        <x:v>1</x:v>
      </x:c>
      <x:c r="J926" s="1" t="str">
        <x:v>no</x:v>
      </x:c>
      <x:c r="K926" s="1" t="n">
        <x:f>2*H926+E926+IF(G926&gt;30,2,0)-IF(B926&gt;24,1,0)</x:f>
        <x:v>2</x:v>
      </x:c>
      <x:c r="L926" s="1" t="str">
        <x:f>IF(K926&gt;=3,"yes","no")</x:f>
        <x:v>no</x:v>
      </x:c>
      <x:c r="M926" s="1"/>
      <x:c r="N926" s="1"/>
      <x:c r="O926" s="1"/>
    </x:row>
    <x:row r="927">
      <x:c r="A927" s="1" t="str">
        <x:v>S0926</x:v>
      </x:c>
      <x:c r="B927" s="1" t="n">
        <x:v>11</x:v>
      </x:c>
      <x:c r="C927" s="1" t="str">
        <x:v>premium</x:v>
      </x:c>
      <x:c r="D927" s="8" t="n">
        <x:v>15.99</x:v>
      </x:c>
      <x:c r="E927" s="1" t="n">
        <x:v>0</x:v>
      </x:c>
      <x:c r="F927" s="1" t="n">
        <x:v>20</x:v>
      </x:c>
      <x:c r="G927" s="1" t="n">
        <x:v>6</x:v>
      </x:c>
      <x:c r="H927" s="1" t="n">
        <x:v>0</x:v>
      </x:c>
      <x:c r="I927" s="1" t="n">
        <x:v>0</x:v>
      </x:c>
      <x:c r="J927" s="1" t="str">
        <x:v>no</x:v>
      </x:c>
      <x:c r="K927" s="1" t="n">
        <x:f>2*H927+E927+IF(G927&gt;30,2,0)-IF(B927&gt;24,1,0)</x:f>
        <x:v>0</x:v>
      </x:c>
      <x:c r="L927" s="1" t="str">
        <x:f>IF(K927&gt;=3,"yes","no")</x:f>
        <x:v>no</x:v>
      </x:c>
      <x:c r="M927" s="1"/>
      <x:c r="N927" s="1"/>
      <x:c r="O927" s="1"/>
    </x:row>
    <x:row r="928">
      <x:c r="A928" s="1" t="str">
        <x:v>S0927</x:v>
      </x:c>
      <x:c r="B928" s="1" t="n">
        <x:v>19</x:v>
      </x:c>
      <x:c r="C928" s="1" t="str">
        <x:v>premium</x:v>
      </x:c>
      <x:c r="D928" s="8" t="n">
        <x:v>15.99</x:v>
      </x:c>
      <x:c r="E928" s="1" t="n">
        <x:v>1</x:v>
      </x:c>
      <x:c r="F928" s="1" t="n">
        <x:v>12</x:v>
      </x:c>
      <x:c r="G928" s="1" t="n">
        <x:v>16</x:v>
      </x:c>
      <x:c r="H928" s="1" t="n">
        <x:v>0</x:v>
      </x:c>
      <x:c r="I928" s="1" t="n">
        <x:v>0</x:v>
      </x:c>
      <x:c r="J928" s="1" t="str">
        <x:v>no</x:v>
      </x:c>
      <x:c r="K928" s="1" t="n">
        <x:f>2*H928+E928+IF(G928&gt;30,2,0)-IF(B928&gt;24,1,0)</x:f>
        <x:v>1</x:v>
      </x:c>
      <x:c r="L928" s="1" t="str">
        <x:f>IF(K928&gt;=3,"yes","no")</x:f>
        <x:v>no</x:v>
      </x:c>
      <x:c r="M928" s="1"/>
      <x:c r="N928" s="1"/>
      <x:c r="O928" s="1"/>
    </x:row>
    <x:row r="929">
      <x:c r="A929" s="1" t="str">
        <x:v>S0928</x:v>
      </x:c>
      <x:c r="B929" s="1" t="n">
        <x:v>39</x:v>
      </x:c>
      <x:c r="C929" s="1" t="str">
        <x:v>basic</x:v>
      </x:c>
      <x:c r="D929" s="8" t="n">
        <x:v>9.99</x:v>
      </x:c>
      <x:c r="E929" s="1" t="n">
        <x:v>0</x:v>
      </x:c>
      <x:c r="F929" s="1" t="n">
        <x:v>15</x:v>
      </x:c>
      <x:c r="G929" s="1" t="n">
        <x:v>23</x:v>
      </x:c>
      <x:c r="H929" s="1" t="n">
        <x:v>0</x:v>
      </x:c>
      <x:c r="I929" s="1" t="n">
        <x:v>1</x:v>
      </x:c>
      <x:c r="J929" s="1" t="str">
        <x:v>no</x:v>
      </x:c>
      <x:c r="K929" s="1" t="n">
        <x:f>2*H929+E929+IF(G929&gt;30,2,0)-IF(B929&gt;24,1,0)</x:f>
        <x:v>-1</x:v>
      </x:c>
      <x:c r="L929" s="1" t="str">
        <x:f>IF(K929&gt;=3,"yes","no")</x:f>
        <x:v>no</x:v>
      </x:c>
      <x:c r="M929" s="1"/>
      <x:c r="N929" s="1"/>
      <x:c r="O929" s="1"/>
    </x:row>
    <x:row r="930">
      <x:c r="A930" s="1" t="str">
        <x:v>S0929</x:v>
      </x:c>
      <x:c r="B930" s="1" t="n">
        <x:v>11</x:v>
      </x:c>
      <x:c r="C930" s="1" t="str">
        <x:v>basic</x:v>
      </x:c>
      <x:c r="D930" s="8" t="n">
        <x:v>9.99</x:v>
      </x:c>
      <x:c r="E930" s="1" t="n">
        <x:v>1</x:v>
      </x:c>
      <x:c r="F930" s="1" t="n">
        <x:v>15</x:v>
      </x:c>
      <x:c r="G930" s="1" t="n">
        <x:v>0</x:v>
      </x:c>
      <x:c r="H930" s="1" t="n">
        <x:v>0</x:v>
      </x:c>
      <x:c r="I930" s="1" t="n">
        <x:v>1</x:v>
      </x:c>
      <x:c r="J930" s="1" t="str">
        <x:v>no</x:v>
      </x:c>
      <x:c r="K930" s="1" t="n">
        <x:f>2*H930+E930+IF(G930&gt;30,2,0)-IF(B930&gt;24,1,0)</x:f>
        <x:v>1</x:v>
      </x:c>
      <x:c r="L930" s="1" t="str">
        <x:f>IF(K930&gt;=3,"yes","no")</x:f>
        <x:v>no</x:v>
      </x:c>
      <x:c r="M930" s="1"/>
      <x:c r="N930" s="1"/>
      <x:c r="O930" s="1"/>
    </x:row>
    <x:row r="931">
      <x:c r="A931" s="1" t="str">
        <x:v>S0930</x:v>
      </x:c>
      <x:c r="B931" s="1" t="n">
        <x:v>22</x:v>
      </x:c>
      <x:c r="C931" s="1" t="str">
        <x:v>basic</x:v>
      </x:c>
      <x:c r="D931" s="8" t="n">
        <x:v>9.99</x:v>
      </x:c>
      <x:c r="E931" s="1" t="n">
        <x:v>0</x:v>
      </x:c>
      <x:c r="F931" s="1" t="n">
        <x:v>27</x:v>
      </x:c>
      <x:c r="G931" s="1" t="n">
        <x:v>6</x:v>
      </x:c>
      <x:c r="H931" s="1" t="n">
        <x:v>0</x:v>
      </x:c>
      <x:c r="I931" s="1" t="n">
        <x:v>1</x:v>
      </x:c>
      <x:c r="J931" s="1" t="str">
        <x:v>no</x:v>
      </x:c>
      <x:c r="K931" s="1" t="n">
        <x:f>2*H931+E931+IF(G931&gt;30,2,0)-IF(B931&gt;24,1,0)</x:f>
        <x:v>0</x:v>
      </x:c>
      <x:c r="L931" s="1" t="str">
        <x:f>IF(K931&gt;=3,"yes","no")</x:f>
        <x:v>no</x:v>
      </x:c>
      <x:c r="M931" s="1"/>
      <x:c r="N931" s="1"/>
      <x:c r="O931" s="1"/>
    </x:row>
    <x:row r="932">
      <x:c r="A932" s="1" t="str">
        <x:v>S0931</x:v>
      </x:c>
      <x:c r="B932" s="1" t="n">
        <x:v>46</x:v>
      </x:c>
      <x:c r="C932" s="1" t="str">
        <x:v>basic</x:v>
      </x:c>
      <x:c r="D932" s="8" t="n">
        <x:v>9.99</x:v>
      </x:c>
      <x:c r="E932" s="1" t="n">
        <x:v>1</x:v>
      </x:c>
      <x:c r="F932" s="1" t="n">
        <x:v>22</x:v>
      </x:c>
      <x:c r="G932" s="1" t="n">
        <x:v>5</x:v>
      </x:c>
      <x:c r="H932" s="1" t="n">
        <x:v>0</x:v>
      </x:c>
      <x:c r="I932" s="1" t="n">
        <x:v>1</x:v>
      </x:c>
      <x:c r="J932" s="1" t="str">
        <x:v>no</x:v>
      </x:c>
      <x:c r="K932" s="1" t="n">
        <x:f>2*H932+E932+IF(G932&gt;30,2,0)-IF(B932&gt;24,1,0)</x:f>
        <x:v>0</x:v>
      </x:c>
      <x:c r="L932" s="1" t="str">
        <x:f>IF(K932&gt;=3,"yes","no")</x:f>
        <x:v>no</x:v>
      </x:c>
      <x:c r="M932" s="1"/>
      <x:c r="N932" s="1"/>
      <x:c r="O932" s="1"/>
    </x:row>
    <x:row r="933">
      <x:c r="A933" s="1" t="str">
        <x:v>S0932</x:v>
      </x:c>
      <x:c r="B933" s="1" t="n">
        <x:v>10</x:v>
      </x:c>
      <x:c r="C933" s="1" t="str">
        <x:v>basic</x:v>
      </x:c>
      <x:c r="D933" s="8" t="n">
        <x:v>9.99</x:v>
      </x:c>
      <x:c r="E933" s="1" t="n">
        <x:v>1</x:v>
      </x:c>
      <x:c r="F933" s="1" t="n">
        <x:v>20</x:v>
      </x:c>
      <x:c r="G933" s="1" t="n">
        <x:v>14</x:v>
      </x:c>
      <x:c r="H933" s="1" t="n">
        <x:v>0</x:v>
      </x:c>
      <x:c r="I933" s="1" t="n">
        <x:v>0</x:v>
      </x:c>
      <x:c r="J933" s="1" t="str">
        <x:v>no</x:v>
      </x:c>
      <x:c r="K933" s="1" t="n">
        <x:f>2*H933+E933+IF(G933&gt;30,2,0)-IF(B933&gt;24,1,0)</x:f>
        <x:v>1</x:v>
      </x:c>
      <x:c r="L933" s="1" t="str">
        <x:f>IF(K933&gt;=3,"yes","no")</x:f>
        <x:v>no</x:v>
      </x:c>
      <x:c r="M933" s="1"/>
      <x:c r="N933" s="1"/>
      <x:c r="O933" s="1"/>
    </x:row>
    <x:row r="934">
      <x:c r="A934" s="1" t="str">
        <x:v>S0933</x:v>
      </x:c>
      <x:c r="B934" s="1" t="n">
        <x:v>25</x:v>
      </x:c>
      <x:c r="C934" s="1" t="str">
        <x:v>basic</x:v>
      </x:c>
      <x:c r="D934" s="8" t="n">
        <x:v>9.99</x:v>
      </x:c>
      <x:c r="E934" s="1" t="n">
        <x:v>0</x:v>
      </x:c>
      <x:c r="F934" s="1" t="n">
        <x:v>6</x:v>
      </x:c>
      <x:c r="G934" s="1" t="n">
        <x:v>21</x:v>
      </x:c>
      <x:c r="H934" s="1" t="n">
        <x:v>0</x:v>
      </x:c>
      <x:c r="I934" s="1" t="n">
        <x:v>0</x:v>
      </x:c>
      <x:c r="J934" s="1" t="str">
        <x:v>no</x:v>
      </x:c>
      <x:c r="K934" s="1" t="n">
        <x:f>2*H934+E934+IF(G934&gt;30,2,0)-IF(B934&gt;24,1,0)</x:f>
        <x:v>-1</x:v>
      </x:c>
      <x:c r="L934" s="1" t="str">
        <x:f>IF(K934&gt;=3,"yes","no")</x:f>
        <x:v>no</x:v>
      </x:c>
      <x:c r="M934" s="1"/>
      <x:c r="N934" s="1"/>
      <x:c r="O934" s="1"/>
    </x:row>
    <x:row r="935">
      <x:c r="A935" s="1" t="str">
        <x:v>S0934</x:v>
      </x:c>
      <x:c r="B935" s="1" t="n">
        <x:v>27</x:v>
      </x:c>
      <x:c r="C935" s="1" t="str">
        <x:v>basic</x:v>
      </x:c>
      <x:c r="D935" s="8" t="n">
        <x:v>9.99</x:v>
      </x:c>
      <x:c r="E935" s="1" t="n">
        <x:v>0</x:v>
      </x:c>
      <x:c r="F935" s="1" t="n">
        <x:v>14</x:v>
      </x:c>
      <x:c r="G935" s="1" t="n">
        <x:v>14</x:v>
      </x:c>
      <x:c r="H935" s="1" t="n">
        <x:v>0</x:v>
      </x:c>
      <x:c r="I935" s="1" t="n">
        <x:v>0</x:v>
      </x:c>
      <x:c r="J935" s="1" t="str">
        <x:v>no</x:v>
      </x:c>
      <x:c r="K935" s="1" t="n">
        <x:f>2*H935+E935+IF(G935&gt;30,2,0)-IF(B935&gt;24,1,0)</x:f>
        <x:v>-1</x:v>
      </x:c>
      <x:c r="L935" s="1" t="str">
        <x:f>IF(K935&gt;=3,"yes","no")</x:f>
        <x:v>no</x:v>
      </x:c>
      <x:c r="M935" s="1"/>
      <x:c r="N935" s="1"/>
      <x:c r="O935" s="1"/>
    </x:row>
    <x:row r="936">
      <x:c r="A936" s="1" t="str">
        <x:v>S0935</x:v>
      </x:c>
      <x:c r="B936" s="1" t="n">
        <x:v>44</x:v>
      </x:c>
      <x:c r="C936" s="1" t="str">
        <x:v>basic</x:v>
      </x:c>
      <x:c r="D936" s="8" t="n">
        <x:v>9.99</x:v>
      </x:c>
      <x:c r="E936" s="1" t="n">
        <x:v>1</x:v>
      </x:c>
      <x:c r="F936" s="1" t="n">
        <x:v>24</x:v>
      </x:c>
      <x:c r="G936" s="1" t="n">
        <x:v>6</x:v>
      </x:c>
      <x:c r="H936" s="1" t="n">
        <x:v>0</x:v>
      </x:c>
      <x:c r="I936" s="1" t="n">
        <x:v>0</x:v>
      </x:c>
      <x:c r="J936" s="1" t="str">
        <x:v>no</x:v>
      </x:c>
      <x:c r="K936" s="1" t="n">
        <x:f>2*H936+E936+IF(G936&gt;30,2,0)-IF(B936&gt;24,1,0)</x:f>
        <x:v>0</x:v>
      </x:c>
      <x:c r="L936" s="1" t="str">
        <x:f>IF(K936&gt;=3,"yes","no")</x:f>
        <x:v>no</x:v>
      </x:c>
      <x:c r="M936" s="1"/>
      <x:c r="N936" s="1"/>
      <x:c r="O936" s="1"/>
    </x:row>
    <x:row r="937">
      <x:c r="A937" s="1" t="str">
        <x:v>S0936</x:v>
      </x:c>
      <x:c r="B937" s="1" t="n">
        <x:v>16</x:v>
      </x:c>
      <x:c r="C937" s="1" t="str">
        <x:v>basic</x:v>
      </x:c>
      <x:c r="D937" s="8" t="n">
        <x:v>9.99</x:v>
      </x:c>
      <x:c r="E937" s="1" t="n">
        <x:v>0</x:v>
      </x:c>
      <x:c r="F937" s="1" t="n">
        <x:v>23</x:v>
      </x:c>
      <x:c r="G937" s="1" t="n">
        <x:v>8</x:v>
      </x:c>
      <x:c r="H937" s="1" t="n">
        <x:v>0</x:v>
      </x:c>
      <x:c r="I937" s="1" t="n">
        <x:v>0</x:v>
      </x:c>
      <x:c r="J937" s="1" t="str">
        <x:v>no</x:v>
      </x:c>
      <x:c r="K937" s="1" t="n">
        <x:f>2*H937+E937+IF(G937&gt;30,2,0)-IF(B937&gt;24,1,0)</x:f>
        <x:v>0</x:v>
      </x:c>
      <x:c r="L937" s="1" t="str">
        <x:f>IF(K937&gt;=3,"yes","no")</x:f>
        <x:v>no</x:v>
      </x:c>
      <x:c r="M937" s="1"/>
      <x:c r="N937" s="1"/>
      <x:c r="O937" s="1"/>
    </x:row>
    <x:row r="938">
      <x:c r="A938" s="1" t="str">
        <x:v>S0937</x:v>
      </x:c>
      <x:c r="B938" s="1" t="n">
        <x:v>33</x:v>
      </x:c>
      <x:c r="C938" s="1" t="str">
        <x:v>premium</x:v>
      </x:c>
      <x:c r="D938" s="8" t="n">
        <x:v>15.99</x:v>
      </x:c>
      <x:c r="E938" s="1" t="n">
        <x:v>1</x:v>
      </x:c>
      <x:c r="F938" s="1" t="n">
        <x:v>26</x:v>
      </x:c>
      <x:c r="G938" s="1" t="n">
        <x:v>1</x:v>
      </x:c>
      <x:c r="H938" s="1" t="n">
        <x:v>0</x:v>
      </x:c>
      <x:c r="I938" s="1" t="n">
        <x:v>0</x:v>
      </x:c>
      <x:c r="J938" s="1" t="str">
        <x:v>no</x:v>
      </x:c>
      <x:c r="K938" s="1" t="n">
        <x:f>2*H938+E938+IF(G938&gt;30,2,0)-IF(B938&gt;24,1,0)</x:f>
        <x:v>0</x:v>
      </x:c>
      <x:c r="L938" s="1" t="str">
        <x:f>IF(K938&gt;=3,"yes","no")</x:f>
        <x:v>no</x:v>
      </x:c>
      <x:c r="M938" s="1"/>
      <x:c r="N938" s="1"/>
      <x:c r="O938" s="1"/>
    </x:row>
    <x:row r="939">
      <x:c r="A939" s="1" t="str">
        <x:v>S0938</x:v>
      </x:c>
      <x:c r="B939" s="1" t="n">
        <x:v>3</x:v>
      </x:c>
      <x:c r="C939" s="1" t="str">
        <x:v>premium</x:v>
      </x:c>
      <x:c r="D939" s="8" t="n">
        <x:v>15.99</x:v>
      </x:c>
      <x:c r="E939" s="1" t="n">
        <x:v>0</x:v>
      </x:c>
      <x:c r="F939" s="1" t="n">
        <x:v>20</x:v>
      </x:c>
      <x:c r="G939" s="1" t="n">
        <x:v>21</x:v>
      </x:c>
      <x:c r="H939" s="1" t="n">
        <x:v>1</x:v>
      </x:c>
      <x:c r="I939" s="1" t="n">
        <x:v>0</x:v>
      </x:c>
      <x:c r="J939" s="1" t="str">
        <x:v>no</x:v>
      </x:c>
      <x:c r="K939" s="1" t="n">
        <x:f>2*H939+E939+IF(G939&gt;30,2,0)-IF(B939&gt;24,1,0)</x:f>
        <x:v>2</x:v>
      </x:c>
      <x:c r="L939" s="1" t="str">
        <x:f>IF(K939&gt;=3,"yes","no")</x:f>
        <x:v>no</x:v>
      </x:c>
      <x:c r="M939" s="1"/>
      <x:c r="N939" s="1"/>
      <x:c r="O939" s="1"/>
    </x:row>
    <x:row r="940">
      <x:c r="A940" s="1" t="str">
        <x:v>S0939</x:v>
      </x:c>
      <x:c r="B940" s="1" t="n">
        <x:v>4</x:v>
      </x:c>
      <x:c r="C940" s="1" t="str">
        <x:v>premium</x:v>
      </x:c>
      <x:c r="D940" s="8" t="n">
        <x:v>15.99</x:v>
      </x:c>
      <x:c r="E940" s="1" t="n">
        <x:v>0</x:v>
      </x:c>
      <x:c r="F940" s="1" t="n">
        <x:v>23</x:v>
      </x:c>
      <x:c r="G940" s="1" t="n">
        <x:v>5</x:v>
      </x:c>
      <x:c r="H940" s="1" t="n">
        <x:v>0</x:v>
      </x:c>
      <x:c r="I940" s="1" t="n">
        <x:v>0</x:v>
      </x:c>
      <x:c r="J940" s="1" t="str">
        <x:v>no</x:v>
      </x:c>
      <x:c r="K940" s="1" t="n">
        <x:f>2*H940+E940+IF(G940&gt;30,2,0)-IF(B940&gt;24,1,0)</x:f>
        <x:v>0</x:v>
      </x:c>
      <x:c r="L940" s="1" t="str">
        <x:f>IF(K940&gt;=3,"yes","no")</x:f>
        <x:v>no</x:v>
      </x:c>
      <x:c r="M940" s="1"/>
      <x:c r="N940" s="1"/>
      <x:c r="O940" s="1"/>
    </x:row>
    <x:row r="941">
      <x:c r="A941" s="1" t="str">
        <x:v>S0940</x:v>
      </x:c>
      <x:c r="B941" s="1" t="n">
        <x:v>46</x:v>
      </x:c>
      <x:c r="C941" s="1" t="str">
        <x:v>basic</x:v>
      </x:c>
      <x:c r="D941" s="8" t="n">
        <x:v>9.99</x:v>
      </x:c>
      <x:c r="E941" s="1" t="n">
        <x:v>1</x:v>
      </x:c>
      <x:c r="F941" s="1" t="n">
        <x:v>24</x:v>
      </x:c>
      <x:c r="G941" s="1" t="n">
        <x:v>0</x:v>
      </x:c>
      <x:c r="H941" s="1" t="n">
        <x:v>0</x:v>
      </x:c>
      <x:c r="I941" s="1" t="n">
        <x:v>1</x:v>
      </x:c>
      <x:c r="J941" s="1" t="str">
        <x:v>no</x:v>
      </x:c>
      <x:c r="K941" s="1" t="n">
        <x:f>2*H941+E941+IF(G941&gt;30,2,0)-IF(B941&gt;24,1,0)</x:f>
        <x:v>0</x:v>
      </x:c>
      <x:c r="L941" s="1" t="str">
        <x:f>IF(K941&gt;=3,"yes","no")</x:f>
        <x:v>no</x:v>
      </x:c>
      <x:c r="M941" s="1"/>
      <x:c r="N941" s="1"/>
      <x:c r="O941" s="1"/>
    </x:row>
    <x:row r="942">
      <x:c r="A942" s="1" t="str">
        <x:v>S0941</x:v>
      </x:c>
      <x:c r="B942" s="1" t="n">
        <x:v>32</x:v>
      </x:c>
      <x:c r="C942" s="1" t="str">
        <x:v>premium</x:v>
      </x:c>
      <x:c r="D942" s="8" t="n">
        <x:v>15.99</x:v>
      </x:c>
      <x:c r="E942" s="1" t="n">
        <x:v>0</x:v>
      </x:c>
      <x:c r="F942" s="1" t="n">
        <x:v>32</x:v>
      </x:c>
      <x:c r="G942" s="1" t="n">
        <x:v>1</x:v>
      </x:c>
      <x:c r="H942" s="1" t="n">
        <x:v>0</x:v>
      </x:c>
      <x:c r="I942" s="1" t="n">
        <x:v>0</x:v>
      </x:c>
      <x:c r="J942" s="1" t="str">
        <x:v>no</x:v>
      </x:c>
      <x:c r="K942" s="1" t="n">
        <x:f>2*H942+E942+IF(G942&gt;30,2,0)-IF(B942&gt;24,1,0)</x:f>
        <x:v>-1</x:v>
      </x:c>
      <x:c r="L942" s="1" t="str">
        <x:f>IF(K942&gt;=3,"yes","no")</x:f>
        <x:v>no</x:v>
      </x:c>
      <x:c r="M942" s="1"/>
      <x:c r="N942" s="1"/>
      <x:c r="O942" s="1"/>
    </x:row>
    <x:row r="943">
      <x:c r="A943" s="1" t="str">
        <x:v>S0942</x:v>
      </x:c>
      <x:c r="B943" s="1" t="n">
        <x:v>19</x:v>
      </x:c>
      <x:c r="C943" s="1" t="str">
        <x:v>basic</x:v>
      </x:c>
      <x:c r="D943" s="8" t="n">
        <x:v>9.99</x:v>
      </x:c>
      <x:c r="E943" s="1" t="n">
        <x:v>0</x:v>
      </x:c>
      <x:c r="F943" s="1" t="n">
        <x:v>18</x:v>
      </x:c>
      <x:c r="G943" s="1" t="n">
        <x:v>0</x:v>
      </x:c>
      <x:c r="H943" s="1" t="n">
        <x:v>0</x:v>
      </x:c>
      <x:c r="I943" s="1" t="n">
        <x:v>0</x:v>
      </x:c>
      <x:c r="J943" s="1" t="str">
        <x:v>no</x:v>
      </x:c>
      <x:c r="K943" s="1" t="n">
        <x:f>2*H943+E943+IF(G943&gt;30,2,0)-IF(B943&gt;24,1,0)</x:f>
        <x:v>0</x:v>
      </x:c>
      <x:c r="L943" s="1" t="str">
        <x:f>IF(K943&gt;=3,"yes","no")</x:f>
        <x:v>no</x:v>
      </x:c>
      <x:c r="M943" s="1"/>
      <x:c r="N943" s="1"/>
      <x:c r="O943" s="1"/>
    </x:row>
    <x:row r="944">
      <x:c r="A944" s="1" t="str">
        <x:v>S0943</x:v>
      </x:c>
      <x:c r="B944" s="1" t="n">
        <x:v>47</x:v>
      </x:c>
      <x:c r="C944" s="1" t="str">
        <x:v>premium</x:v>
      </x:c>
      <x:c r="D944" s="8" t="n">
        <x:v>15.99</x:v>
      </x:c>
      <x:c r="E944" s="1" t="n">
        <x:v>4</x:v>
      </x:c>
      <x:c r="F944" s="1" t="n">
        <x:v>18</x:v>
      </x:c>
      <x:c r="G944" s="1" t="n">
        <x:v>4</x:v>
      </x:c>
      <x:c r="H944" s="1" t="n">
        <x:v>0</x:v>
      </x:c>
      <x:c r="I944" s="1" t="n">
        <x:v>1</x:v>
      </x:c>
      <x:c r="J944" s="1" t="str">
        <x:v>no</x:v>
      </x:c>
      <x:c r="K944" s="1" t="n">
        <x:f>2*H944+E944+IF(G944&gt;30,2,0)-IF(B944&gt;24,1,0)</x:f>
        <x:v>3</x:v>
      </x:c>
      <x:c r="L944" s="1" t="str">
        <x:f>IF(K944&gt;=3,"yes","no")</x:f>
        <x:v>yes</x:v>
      </x:c>
      <x:c r="M944" s="1"/>
      <x:c r="N944" s="1"/>
      <x:c r="O944" s="1"/>
    </x:row>
    <x:row r="945">
      <x:c r="A945" s="1" t="str">
        <x:v>S0944</x:v>
      </x:c>
      <x:c r="B945" s="1" t="n">
        <x:v>41</x:v>
      </x:c>
      <x:c r="C945" s="1" t="str">
        <x:v>premium</x:v>
      </x:c>
      <x:c r="D945" s="8" t="n">
        <x:v>15.99</x:v>
      </x:c>
      <x:c r="E945" s="1" t="n">
        <x:v>0</x:v>
      </x:c>
      <x:c r="F945" s="1" t="n">
        <x:v>22</x:v>
      </x:c>
      <x:c r="G945" s="1" t="n">
        <x:v>1</x:v>
      </x:c>
      <x:c r="H945" s="1" t="n">
        <x:v>0</x:v>
      </x:c>
      <x:c r="I945" s="1" t="n">
        <x:v>0</x:v>
      </x:c>
      <x:c r="J945" s="1" t="str">
        <x:v>no</x:v>
      </x:c>
      <x:c r="K945" s="1" t="n">
        <x:f>2*H945+E945+IF(G945&gt;30,2,0)-IF(B945&gt;24,1,0)</x:f>
        <x:v>-1</x:v>
      </x:c>
      <x:c r="L945" s="1" t="str">
        <x:f>IF(K945&gt;=3,"yes","no")</x:f>
        <x:v>no</x:v>
      </x:c>
      <x:c r="M945" s="1"/>
      <x:c r="N945" s="1"/>
      <x:c r="O945" s="1"/>
    </x:row>
    <x:row r="946">
      <x:c r="A946" s="1" t="str">
        <x:v>S0945</x:v>
      </x:c>
      <x:c r="B946" s="1" t="n">
        <x:v>13</x:v>
      </x:c>
      <x:c r="C946" s="1" t="str">
        <x:v>basic</x:v>
      </x:c>
      <x:c r="D946" s="8" t="n">
        <x:v>9.99</x:v>
      </x:c>
      <x:c r="E946" s="1" t="n">
        <x:v>0</x:v>
      </x:c>
      <x:c r="F946" s="1" t="n">
        <x:v>10</x:v>
      </x:c>
      <x:c r="G946" s="1" t="n">
        <x:v>5</x:v>
      </x:c>
      <x:c r="H946" s="1" t="n">
        <x:v>0</x:v>
      </x:c>
      <x:c r="I946" s="1" t="n">
        <x:v>1</x:v>
      </x:c>
      <x:c r="J946" s="1" t="str">
        <x:v>no</x:v>
      </x:c>
      <x:c r="K946" s="1" t="n">
        <x:f>2*H946+E946+IF(G946&gt;30,2,0)-IF(B946&gt;24,1,0)</x:f>
        <x:v>0</x:v>
      </x:c>
      <x:c r="L946" s="1" t="str">
        <x:f>IF(K946&gt;=3,"yes","no")</x:f>
        <x:v>no</x:v>
      </x:c>
      <x:c r="M946" s="1"/>
      <x:c r="N946" s="1"/>
      <x:c r="O946" s="1"/>
    </x:row>
    <x:row r="947">
      <x:c r="A947" s="1" t="str">
        <x:v>S0946</x:v>
      </x:c>
      <x:c r="B947" s="1" t="n">
        <x:v>3</x:v>
      </x:c>
      <x:c r="C947" s="1" t="str">
        <x:v>premium</x:v>
      </x:c>
      <x:c r="D947" s="8" t="n">
        <x:v>15.99</x:v>
      </x:c>
      <x:c r="E947" s="1" t="n">
        <x:v>0</x:v>
      </x:c>
      <x:c r="F947" s="1" t="n">
        <x:v>16</x:v>
      </x:c>
      <x:c r="G947" s="1" t="n">
        <x:v>15</x:v>
      </x:c>
      <x:c r="H947" s="1" t="n">
        <x:v>2</x:v>
      </x:c>
      <x:c r="I947" s="1" t="n">
        <x:v>0</x:v>
      </x:c>
      <x:c r="J947" s="1" t="str">
        <x:v>yes</x:v>
      </x:c>
      <x:c r="K947" s="1" t="n">
        <x:f>2*H947+E947+IF(G947&gt;30,2,0)-IF(B947&gt;24,1,0)</x:f>
        <x:v>4</x:v>
      </x:c>
      <x:c r="L947" s="1" t="str">
        <x:f>IF(K947&gt;=3,"yes","no")</x:f>
        <x:v>yes</x:v>
      </x:c>
      <x:c r="M947" s="1"/>
      <x:c r="N947" s="1"/>
      <x:c r="O947" s="1"/>
    </x:row>
    <x:row r="948">
      <x:c r="A948" s="1" t="str">
        <x:v>S0947</x:v>
      </x:c>
      <x:c r="B948" s="1" t="n">
        <x:v>24</x:v>
      </x:c>
      <x:c r="C948" s="1" t="str">
        <x:v>basic</x:v>
      </x:c>
      <x:c r="D948" s="8" t="n">
        <x:v>9.99</x:v>
      </x:c>
      <x:c r="E948" s="1" t="n">
        <x:v>0</x:v>
      </x:c>
      <x:c r="F948" s="1" t="n">
        <x:v>9</x:v>
      </x:c>
      <x:c r="G948" s="1" t="n">
        <x:v>6</x:v>
      </x:c>
      <x:c r="H948" s="1" t="n">
        <x:v>0</x:v>
      </x:c>
      <x:c r="I948" s="1" t="n">
        <x:v>0</x:v>
      </x:c>
      <x:c r="J948" s="1" t="str">
        <x:v>no</x:v>
      </x:c>
      <x:c r="K948" s="1" t="n">
        <x:f>2*H948+E948+IF(G948&gt;30,2,0)-IF(B948&gt;24,1,0)</x:f>
        <x:v>0</x:v>
      </x:c>
      <x:c r="L948" s="1" t="str">
        <x:f>IF(K948&gt;=3,"yes","no")</x:f>
        <x:v>no</x:v>
      </x:c>
      <x:c r="M948" s="1"/>
      <x:c r="N948" s="1"/>
      <x:c r="O948" s="1"/>
    </x:row>
    <x:row r="949">
      <x:c r="A949" s="1" t="str">
        <x:v>S0948</x:v>
      </x:c>
      <x:c r="B949" s="1" t="n">
        <x:v>41</x:v>
      </x:c>
      <x:c r="C949" s="1" t="str">
        <x:v>basic</x:v>
      </x:c>
      <x:c r="D949" s="8" t="n">
        <x:v>9.99</x:v>
      </x:c>
      <x:c r="E949" s="1" t="n">
        <x:v>0</x:v>
      </x:c>
      <x:c r="F949" s="1" t="n">
        <x:v>10</x:v>
      </x:c>
      <x:c r="G949" s="1" t="n">
        <x:v>20</x:v>
      </x:c>
      <x:c r="H949" s="1" t="n">
        <x:v>0</x:v>
      </x:c>
      <x:c r="I949" s="1" t="n">
        <x:v>0</x:v>
      </x:c>
      <x:c r="J949" s="1" t="str">
        <x:v>no</x:v>
      </x:c>
      <x:c r="K949" s="1" t="n">
        <x:f>2*H949+E949+IF(G949&gt;30,2,0)-IF(B949&gt;24,1,0)</x:f>
        <x:v>-1</x:v>
      </x:c>
      <x:c r="L949" s="1" t="str">
        <x:f>IF(K949&gt;=3,"yes","no")</x:f>
        <x:v>no</x:v>
      </x:c>
      <x:c r="M949" s="1"/>
      <x:c r="N949" s="1"/>
      <x:c r="O949" s="1"/>
    </x:row>
    <x:row r="950">
      <x:c r="A950" s="1" t="str">
        <x:v>S0949</x:v>
      </x:c>
      <x:c r="B950" s="1" t="n">
        <x:v>3</x:v>
      </x:c>
      <x:c r="C950" s="1" t="str">
        <x:v>basic</x:v>
      </x:c>
      <x:c r="D950" s="8" t="n">
        <x:v>9.99</x:v>
      </x:c>
      <x:c r="E950" s="1" t="n">
        <x:v>2</x:v>
      </x:c>
      <x:c r="F950" s="1" t="n">
        <x:v>33</x:v>
      </x:c>
      <x:c r="G950" s="1" t="n">
        <x:v>1</x:v>
      </x:c>
      <x:c r="H950" s="1" t="n">
        <x:v>0</x:v>
      </x:c>
      <x:c r="I950" s="1" t="n">
        <x:v>0</x:v>
      </x:c>
      <x:c r="J950" s="1" t="str">
        <x:v>no</x:v>
      </x:c>
      <x:c r="K950" s="1" t="n">
        <x:f>2*H950+E950+IF(G950&gt;30,2,0)-IF(B950&gt;24,1,0)</x:f>
        <x:v>2</x:v>
      </x:c>
      <x:c r="L950" s="1" t="str">
        <x:f>IF(K950&gt;=3,"yes","no")</x:f>
        <x:v>no</x:v>
      </x:c>
      <x:c r="M950" s="1"/>
      <x:c r="N950" s="1"/>
      <x:c r="O950" s="1"/>
    </x:row>
    <x:row r="951">
      <x:c r="A951" s="1" t="str">
        <x:v>S0950</x:v>
      </x:c>
      <x:c r="B951" s="1" t="n">
        <x:v>21</x:v>
      </x:c>
      <x:c r="C951" s="1" t="str">
        <x:v>basic</x:v>
      </x:c>
      <x:c r="D951" s="8" t="n">
        <x:v>9.99</x:v>
      </x:c>
      <x:c r="E951" s="1" t="n">
        <x:v>0</x:v>
      </x:c>
      <x:c r="F951" s="1" t="n">
        <x:v>5</x:v>
      </x:c>
      <x:c r="G951" s="1" t="n">
        <x:v>1</x:v>
      </x:c>
      <x:c r="H951" s="1" t="n">
        <x:v>1</x:v>
      </x:c>
      <x:c r="I951" s="1" t="n">
        <x:v>1</x:v>
      </x:c>
      <x:c r="J951" s="1" t="str">
        <x:v>yes</x:v>
      </x:c>
      <x:c r="K951" s="1" t="n">
        <x:f>2*H951+E951+IF(G951&gt;30,2,0)-IF(B951&gt;24,1,0)</x:f>
        <x:v>2</x:v>
      </x:c>
      <x:c r="L951" s="1" t="str">
        <x:f>IF(K951&gt;=3,"yes","no")</x:f>
        <x:v>no</x:v>
      </x:c>
      <x:c r="M951" s="1"/>
      <x:c r="N951" s="1"/>
      <x:c r="O951" s="1"/>
    </x:row>
    <x:row r="952">
      <x:c r="A952" s="1" t="str">
        <x:v>S0951</x:v>
      </x:c>
      <x:c r="B952" s="1" t="n">
        <x:v>35</x:v>
      </x:c>
      <x:c r="C952" s="1" t="str">
        <x:v>basic</x:v>
      </x:c>
      <x:c r="D952" s="8" t="n">
        <x:v>9.99</x:v>
      </x:c>
      <x:c r="E952" s="1" t="n">
        <x:v>3</x:v>
      </x:c>
      <x:c r="F952" s="1" t="n">
        <x:v>23</x:v>
      </x:c>
      <x:c r="G952" s="1" t="n">
        <x:v>0</x:v>
      </x:c>
      <x:c r="H952" s="1" t="n">
        <x:v>0</x:v>
      </x:c>
      <x:c r="I952" s="1" t="n">
        <x:v>0</x:v>
      </x:c>
      <x:c r="J952" s="1" t="str">
        <x:v>no</x:v>
      </x:c>
      <x:c r="K952" s="1" t="n">
        <x:f>2*H952+E952+IF(G952&gt;30,2,0)-IF(B952&gt;24,1,0)</x:f>
        <x:v>2</x:v>
      </x:c>
      <x:c r="L952" s="1" t="str">
        <x:f>IF(K952&gt;=3,"yes","no")</x:f>
        <x:v>no</x:v>
      </x:c>
      <x:c r="M952" s="1"/>
      <x:c r="N952" s="1"/>
      <x:c r="O952" s="1"/>
    </x:row>
    <x:row r="953">
      <x:c r="A953" s="1" t="str">
        <x:v>S0952</x:v>
      </x:c>
      <x:c r="B953" s="1" t="n">
        <x:v>28</x:v>
      </x:c>
      <x:c r="C953" s="1" t="str">
        <x:v>premium</x:v>
      </x:c>
      <x:c r="D953" s="8" t="n">
        <x:v>15.99</x:v>
      </x:c>
      <x:c r="E953" s="1" t="n">
        <x:v>0</x:v>
      </x:c>
      <x:c r="F953" s="1" t="n">
        <x:v>2</x:v>
      </x:c>
      <x:c r="G953" s="1" t="n">
        <x:v>18</x:v>
      </x:c>
      <x:c r="H953" s="1" t="n">
        <x:v>0</x:v>
      </x:c>
      <x:c r="I953" s="1" t="n">
        <x:v>0</x:v>
      </x:c>
      <x:c r="J953" s="1" t="str">
        <x:v>no</x:v>
      </x:c>
      <x:c r="K953" s="1" t="n">
        <x:f>2*H953+E953+IF(G953&gt;30,2,0)-IF(B953&gt;24,1,0)</x:f>
        <x:v>-1</x:v>
      </x:c>
      <x:c r="L953" s="1" t="str">
        <x:f>IF(K953&gt;=3,"yes","no")</x:f>
        <x:v>no</x:v>
      </x:c>
      <x:c r="M953" s="1"/>
      <x:c r="N953" s="1"/>
      <x:c r="O953" s="1"/>
    </x:row>
    <x:row r="954">
      <x:c r="A954" s="1" t="str">
        <x:v>S0953</x:v>
      </x:c>
      <x:c r="B954" s="1" t="n">
        <x:v>30</x:v>
      </x:c>
      <x:c r="C954" s="1" t="str">
        <x:v>premium</x:v>
      </x:c>
      <x:c r="D954" s="8" t="n">
        <x:v>15.99</x:v>
      </x:c>
      <x:c r="E954" s="1" t="n">
        <x:v>0</x:v>
      </x:c>
      <x:c r="F954" s="1" t="n">
        <x:v>15</x:v>
      </x:c>
      <x:c r="G954" s="1" t="n">
        <x:v>4</x:v>
      </x:c>
      <x:c r="H954" s="1" t="n">
        <x:v>0</x:v>
      </x:c>
      <x:c r="I954" s="1" t="n">
        <x:v>0</x:v>
      </x:c>
      <x:c r="J954" s="1" t="str">
        <x:v>no</x:v>
      </x:c>
      <x:c r="K954" s="1" t="n">
        <x:f>2*H954+E954+IF(G954&gt;30,2,0)-IF(B954&gt;24,1,0)</x:f>
        <x:v>-1</x:v>
      </x:c>
      <x:c r="L954" s="1" t="str">
        <x:f>IF(K954&gt;=3,"yes","no")</x:f>
        <x:v>no</x:v>
      </x:c>
      <x:c r="M954" s="1"/>
      <x:c r="N954" s="1"/>
      <x:c r="O954" s="1"/>
    </x:row>
    <x:row r="955">
      <x:c r="A955" s="1" t="str">
        <x:v>S0954</x:v>
      </x:c>
      <x:c r="B955" s="1" t="n">
        <x:v>32</x:v>
      </x:c>
      <x:c r="C955" s="1" t="str">
        <x:v>basic</x:v>
      </x:c>
      <x:c r="D955" s="8" t="n">
        <x:v>9.99</x:v>
      </x:c>
      <x:c r="E955" s="1" t="n">
        <x:v>0</x:v>
      </x:c>
      <x:c r="F955" s="1" t="n">
        <x:v>15</x:v>
      </x:c>
      <x:c r="G955" s="1" t="n">
        <x:v>18</x:v>
      </x:c>
      <x:c r="H955" s="1" t="n">
        <x:v>0</x:v>
      </x:c>
      <x:c r="I955" s="1" t="n">
        <x:v>0</x:v>
      </x:c>
      <x:c r="J955" s="1" t="str">
        <x:v>no</x:v>
      </x:c>
      <x:c r="K955" s="1" t="n">
        <x:f>2*H955+E955+IF(G955&gt;30,2,0)-IF(B955&gt;24,1,0)</x:f>
        <x:v>-1</x:v>
      </x:c>
      <x:c r="L955" s="1" t="str">
        <x:f>IF(K955&gt;=3,"yes","no")</x:f>
        <x:v>no</x:v>
      </x:c>
      <x:c r="M955" s="1"/>
      <x:c r="N955" s="1"/>
      <x:c r="O955" s="1"/>
    </x:row>
    <x:row r="956">
      <x:c r="A956" s="1" t="str">
        <x:v>S0955</x:v>
      </x:c>
      <x:c r="B956" s="1" t="n">
        <x:v>24</x:v>
      </x:c>
      <x:c r="C956" s="1" t="str">
        <x:v>basic</x:v>
      </x:c>
      <x:c r="D956" s="8" t="n">
        <x:v>9.99</x:v>
      </x:c>
      <x:c r="E956" s="1" t="n">
        <x:v>0</x:v>
      </x:c>
      <x:c r="F956" s="1" t="n">
        <x:v>13</x:v>
      </x:c>
      <x:c r="G956" s="1" t="n">
        <x:v>28</x:v>
      </x:c>
      <x:c r="H956" s="1" t="n">
        <x:v>0</x:v>
      </x:c>
      <x:c r="I956" s="1" t="n">
        <x:v>0</x:v>
      </x:c>
      <x:c r="J956" s="1" t="str">
        <x:v>no</x:v>
      </x:c>
      <x:c r="K956" s="1" t="n">
        <x:f>2*H956+E956+IF(G956&gt;30,2,0)-IF(B956&gt;24,1,0)</x:f>
        <x:v>0</x:v>
      </x:c>
      <x:c r="L956" s="1" t="str">
        <x:f>IF(K956&gt;=3,"yes","no")</x:f>
        <x:v>no</x:v>
      </x:c>
      <x:c r="M956" s="1"/>
      <x:c r="N956" s="1"/>
      <x:c r="O956" s="1"/>
    </x:row>
    <x:row r="957">
      <x:c r="A957" s="1" t="str">
        <x:v>S0956</x:v>
      </x:c>
      <x:c r="B957" s="1" t="n">
        <x:v>16</x:v>
      </x:c>
      <x:c r="C957" s="1" t="str">
        <x:v>basic</x:v>
      </x:c>
      <x:c r="D957" s="8" t="n">
        <x:v>9.99</x:v>
      </x:c>
      <x:c r="E957" s="1" t="n">
        <x:v>2</x:v>
      </x:c>
      <x:c r="F957" s="1" t="n">
        <x:v>16</x:v>
      </x:c>
      <x:c r="G957" s="1" t="n">
        <x:v>27</x:v>
      </x:c>
      <x:c r="H957" s="1" t="n">
        <x:v>0</x:v>
      </x:c>
      <x:c r="I957" s="1" t="n">
        <x:v>0</x:v>
      </x:c>
      <x:c r="J957" s="1" t="str">
        <x:v>no</x:v>
      </x:c>
      <x:c r="K957" s="1" t="n">
        <x:f>2*H957+E957+IF(G957&gt;30,2,0)-IF(B957&gt;24,1,0)</x:f>
        <x:v>2</x:v>
      </x:c>
      <x:c r="L957" s="1" t="str">
        <x:f>IF(K957&gt;=3,"yes","no")</x:f>
        <x:v>no</x:v>
      </x:c>
      <x:c r="M957" s="1"/>
      <x:c r="N957" s="1"/>
      <x:c r="O957" s="1"/>
    </x:row>
    <x:row r="958">
      <x:c r="A958" s="1" t="str">
        <x:v>S0957</x:v>
      </x:c>
      <x:c r="B958" s="1" t="n">
        <x:v>6</x:v>
      </x:c>
      <x:c r="C958" s="1" t="str">
        <x:v>basic</x:v>
      </x:c>
      <x:c r="D958" s="8" t="n">
        <x:v>9.99</x:v>
      </x:c>
      <x:c r="E958" s="1" t="n">
        <x:v>0</x:v>
      </x:c>
      <x:c r="F958" s="1" t="n">
        <x:v>9</x:v>
      </x:c>
      <x:c r="G958" s="1" t="n">
        <x:v>6</x:v>
      </x:c>
      <x:c r="H958" s="1" t="n">
        <x:v>0</x:v>
      </x:c>
      <x:c r="I958" s="1" t="n">
        <x:v>0</x:v>
      </x:c>
      <x:c r="J958" s="1" t="str">
        <x:v>yes</x:v>
      </x:c>
      <x:c r="K958" s="1" t="n">
        <x:f>2*H958+E958+IF(G958&gt;30,2,0)-IF(B958&gt;24,1,0)</x:f>
        <x:v>0</x:v>
      </x:c>
      <x:c r="L958" s="1" t="str">
        <x:f>IF(K958&gt;=3,"yes","no")</x:f>
        <x:v>no</x:v>
      </x:c>
      <x:c r="M958" s="1"/>
      <x:c r="N958" s="1"/>
      <x:c r="O958" s="1"/>
    </x:row>
    <x:row r="959">
      <x:c r="A959" s="1" t="str">
        <x:v>S0958</x:v>
      </x:c>
      <x:c r="B959" s="1" t="n">
        <x:v>33</x:v>
      </x:c>
      <x:c r="C959" s="1" t="str">
        <x:v>basic</x:v>
      </x:c>
      <x:c r="D959" s="8" t="n">
        <x:v>9.99</x:v>
      </x:c>
      <x:c r="E959" s="1" t="n">
        <x:v>1</x:v>
      </x:c>
      <x:c r="F959" s="1" t="n">
        <x:v>24</x:v>
      </x:c>
      <x:c r="G959" s="1" t="n">
        <x:v>0</x:v>
      </x:c>
      <x:c r="H959" s="1" t="n">
        <x:v>0</x:v>
      </x:c>
      <x:c r="I959" s="1" t="n">
        <x:v>0</x:v>
      </x:c>
      <x:c r="J959" s="1" t="str">
        <x:v>no</x:v>
      </x:c>
      <x:c r="K959" s="1" t="n">
        <x:f>2*H959+E959+IF(G959&gt;30,2,0)-IF(B959&gt;24,1,0)</x:f>
        <x:v>0</x:v>
      </x:c>
      <x:c r="L959" s="1" t="str">
        <x:f>IF(K959&gt;=3,"yes","no")</x:f>
        <x:v>no</x:v>
      </x:c>
      <x:c r="M959" s="1"/>
      <x:c r="N959" s="1"/>
      <x:c r="O959" s="1"/>
    </x:row>
    <x:row r="960">
      <x:c r="A960" s="1" t="str">
        <x:v>S0959</x:v>
      </x:c>
      <x:c r="B960" s="1" t="n">
        <x:v>40</x:v>
      </x:c>
      <x:c r="C960" s="1" t="str">
        <x:v>premium</x:v>
      </x:c>
      <x:c r="D960" s="8" t="n">
        <x:v>15.99</x:v>
      </x:c>
      <x:c r="E960" s="1" t="n">
        <x:v>1</x:v>
      </x:c>
      <x:c r="F960" s="1" t="n">
        <x:v>17</x:v>
      </x:c>
      <x:c r="G960" s="1" t="n">
        <x:v>3</x:v>
      </x:c>
      <x:c r="H960" s="1" t="n">
        <x:v>0</x:v>
      </x:c>
      <x:c r="I960" s="1" t="n">
        <x:v>1</x:v>
      </x:c>
      <x:c r="J960" s="1" t="str">
        <x:v>no</x:v>
      </x:c>
      <x:c r="K960" s="1" t="n">
        <x:f>2*H960+E960+IF(G960&gt;30,2,0)-IF(B960&gt;24,1,0)</x:f>
        <x:v>0</x:v>
      </x:c>
      <x:c r="L960" s="1" t="str">
        <x:f>IF(K960&gt;=3,"yes","no")</x:f>
        <x:v>no</x:v>
      </x:c>
      <x:c r="M960" s="1"/>
      <x:c r="N960" s="1"/>
      <x:c r="O960" s="1"/>
    </x:row>
    <x:row r="961">
      <x:c r="A961" s="1" t="str">
        <x:v>S0960</x:v>
      </x:c>
      <x:c r="B961" s="1" t="n">
        <x:v>48</x:v>
      </x:c>
      <x:c r="C961" s="1" t="str">
        <x:v>premium</x:v>
      </x:c>
      <x:c r="D961" s="8" t="n">
        <x:v>15.99</x:v>
      </x:c>
      <x:c r="E961" s="1" t="n">
        <x:v>3</x:v>
      </x:c>
      <x:c r="F961" s="1" t="n">
        <x:v>11</x:v>
      </x:c>
      <x:c r="G961" s="1" t="n">
        <x:v>24</x:v>
      </x:c>
      <x:c r="H961" s="1" t="n">
        <x:v>0</x:v>
      </x:c>
      <x:c r="I961" s="1" t="n">
        <x:v>0</x:v>
      </x:c>
      <x:c r="J961" s="1" t="str">
        <x:v>no</x:v>
      </x:c>
      <x:c r="K961" s="1" t="n">
        <x:f>2*H961+E961+IF(G961&gt;30,2,0)-IF(B961&gt;24,1,0)</x:f>
        <x:v>2</x:v>
      </x:c>
      <x:c r="L961" s="1" t="str">
        <x:f>IF(K961&gt;=3,"yes","no")</x:f>
        <x:v>no</x:v>
      </x:c>
      <x:c r="M961" s="1"/>
      <x:c r="N961" s="1"/>
      <x:c r="O961" s="1"/>
    </x:row>
    <x:row r="962">
      <x:c r="A962" s="1" t="str">
        <x:v>S0961</x:v>
      </x:c>
      <x:c r="B962" s="1" t="n">
        <x:v>36</x:v>
      </x:c>
      <x:c r="C962" s="1" t="str">
        <x:v>basic</x:v>
      </x:c>
      <x:c r="D962" s="8" t="n">
        <x:v>9.99</x:v>
      </x:c>
      <x:c r="E962" s="1" t="n">
        <x:v>0</x:v>
      </x:c>
      <x:c r="F962" s="1" t="n">
        <x:v>0</x:v>
      </x:c>
      <x:c r="G962" s="1" t="n">
        <x:v>38</x:v>
      </x:c>
      <x:c r="H962" s="1" t="n">
        <x:v>0</x:v>
      </x:c>
      <x:c r="I962" s="1" t="n">
        <x:v>1</x:v>
      </x:c>
      <x:c r="J962" s="1" t="str">
        <x:v>no</x:v>
      </x:c>
      <x:c r="K962" s="1" t="n">
        <x:f>2*H962+E962+IF(G962&gt;30,2,0)-IF(B962&gt;24,1,0)</x:f>
        <x:v>1</x:v>
      </x:c>
      <x:c r="L962" s="1" t="str">
        <x:f>IF(K962&gt;=3,"yes","no")</x:f>
        <x:v>no</x:v>
      </x:c>
      <x:c r="M962" s="1"/>
      <x:c r="N962" s="1"/>
      <x:c r="O962" s="1"/>
    </x:row>
    <x:row r="963">
      <x:c r="A963" s="1" t="str">
        <x:v>S0962</x:v>
      </x:c>
      <x:c r="B963" s="1" t="n">
        <x:v>38</x:v>
      </x:c>
      <x:c r="C963" s="1" t="str">
        <x:v>basic</x:v>
      </x:c>
      <x:c r="D963" s="8" t="n">
        <x:v>9.99</x:v>
      </x:c>
      <x:c r="E963" s="1" t="n">
        <x:v>1</x:v>
      </x:c>
      <x:c r="F963" s="1" t="n">
        <x:v>13</x:v>
      </x:c>
      <x:c r="G963" s="1" t="n">
        <x:v>5</x:v>
      </x:c>
      <x:c r="H963" s="1" t="n">
        <x:v>1</x:v>
      </x:c>
      <x:c r="I963" s="1" t="n">
        <x:v>0</x:v>
      </x:c>
      <x:c r="J963" s="1" t="str">
        <x:v>no</x:v>
      </x:c>
      <x:c r="K963" s="1" t="n">
        <x:f>2*H963+E963+IF(G963&gt;30,2,0)-IF(B963&gt;24,1,0)</x:f>
        <x:v>2</x:v>
      </x:c>
      <x:c r="L963" s="1" t="str">
        <x:f>IF(K963&gt;=3,"yes","no")</x:f>
        <x:v>no</x:v>
      </x:c>
      <x:c r="M963" s="1"/>
      <x:c r="N963" s="1"/>
      <x:c r="O963" s="1"/>
    </x:row>
    <x:row r="964">
      <x:c r="A964" s="1" t="str">
        <x:v>S0963</x:v>
      </x:c>
      <x:c r="B964" s="1" t="n">
        <x:v>14</x:v>
      </x:c>
      <x:c r="C964" s="1" t="str">
        <x:v>basic</x:v>
      </x:c>
      <x:c r="D964" s="8" t="n">
        <x:v>9.99</x:v>
      </x:c>
      <x:c r="E964" s="1" t="n">
        <x:v>1</x:v>
      </x:c>
      <x:c r="F964" s="1" t="n">
        <x:v>27</x:v>
      </x:c>
      <x:c r="G964" s="1" t="n">
        <x:v>19</x:v>
      </x:c>
      <x:c r="H964" s="1" t="n">
        <x:v>0</x:v>
      </x:c>
      <x:c r="I964" s="1" t="n">
        <x:v>1</x:v>
      </x:c>
      <x:c r="J964" s="1" t="str">
        <x:v>no</x:v>
      </x:c>
      <x:c r="K964" s="1" t="n">
        <x:f>2*H964+E964+IF(G964&gt;30,2,0)-IF(B964&gt;24,1,0)</x:f>
        <x:v>1</x:v>
      </x:c>
      <x:c r="L964" s="1" t="str">
        <x:f>IF(K964&gt;=3,"yes","no")</x:f>
        <x:v>no</x:v>
      </x:c>
      <x:c r="M964" s="1"/>
      <x:c r="N964" s="1"/>
      <x:c r="O964" s="1"/>
    </x:row>
    <x:row r="965">
      <x:c r="A965" s="1" t="str">
        <x:v>S0964</x:v>
      </x:c>
      <x:c r="B965" s="1" t="n">
        <x:v>4</x:v>
      </x:c>
      <x:c r="C965" s="1" t="str">
        <x:v>premium</x:v>
      </x:c>
      <x:c r="D965" s="8" t="n">
        <x:v>15.99</x:v>
      </x:c>
      <x:c r="E965" s="1" t="n">
        <x:v>0</x:v>
      </x:c>
      <x:c r="F965" s="1" t="n">
        <x:v>25</x:v>
      </x:c>
      <x:c r="G965" s="1" t="n">
        <x:v>1</x:v>
      </x:c>
      <x:c r="H965" s="1" t="n">
        <x:v>0</x:v>
      </x:c>
      <x:c r="I965" s="1" t="n">
        <x:v>1</x:v>
      </x:c>
      <x:c r="J965" s="1" t="str">
        <x:v>no</x:v>
      </x:c>
      <x:c r="K965" s="1" t="n">
        <x:f>2*H965+E965+IF(G965&gt;30,2,0)-IF(B965&gt;24,1,0)</x:f>
        <x:v>0</x:v>
      </x:c>
      <x:c r="L965" s="1" t="str">
        <x:f>IF(K965&gt;=3,"yes","no")</x:f>
        <x:v>no</x:v>
      </x:c>
      <x:c r="M965" s="1"/>
      <x:c r="N965" s="1"/>
      <x:c r="O965" s="1"/>
    </x:row>
    <x:row r="966">
      <x:c r="A966" s="1" t="str">
        <x:v>S0965</x:v>
      </x:c>
      <x:c r="B966" s="1" t="n">
        <x:v>22</x:v>
      </x:c>
      <x:c r="C966" s="1" t="str">
        <x:v>basic</x:v>
      </x:c>
      <x:c r="D966" s="8" t="n">
        <x:v>9.99</x:v>
      </x:c>
      <x:c r="E966" s="1" t="n">
        <x:v>4</x:v>
      </x:c>
      <x:c r="F966" s="1" t="n">
        <x:v>16</x:v>
      </x:c>
      <x:c r="G966" s="1" t="n">
        <x:v>4</x:v>
      </x:c>
      <x:c r="H966" s="1" t="n">
        <x:v>0</x:v>
      </x:c>
      <x:c r="I966" s="1" t="n">
        <x:v>0</x:v>
      </x:c>
      <x:c r="J966" s="1" t="str">
        <x:v>yes</x:v>
      </x:c>
      <x:c r="K966" s="1" t="n">
        <x:f>2*H966+E966+IF(G966&gt;30,2,0)-IF(B966&gt;24,1,0)</x:f>
        <x:v>4</x:v>
      </x:c>
      <x:c r="L966" s="1" t="str">
        <x:f>IF(K966&gt;=3,"yes","no")</x:f>
        <x:v>yes</x:v>
      </x:c>
      <x:c r="M966" s="1"/>
      <x:c r="N966" s="1"/>
      <x:c r="O966" s="1"/>
    </x:row>
    <x:row r="967">
      <x:c r="A967" s="1" t="str">
        <x:v>S0966</x:v>
      </x:c>
      <x:c r="B967" s="1" t="n">
        <x:v>32</x:v>
      </x:c>
      <x:c r="C967" s="1" t="str">
        <x:v>premium</x:v>
      </x:c>
      <x:c r="D967" s="8" t="n">
        <x:v>15.99</x:v>
      </x:c>
      <x:c r="E967" s="1" t="n">
        <x:v>2</x:v>
      </x:c>
      <x:c r="F967" s="1" t="n">
        <x:v>0</x:v>
      </x:c>
      <x:c r="G967" s="1" t="n">
        <x:v>58</x:v>
      </x:c>
      <x:c r="H967" s="1" t="n">
        <x:v>0</x:v>
      </x:c>
      <x:c r="I967" s="1" t="n">
        <x:v>1</x:v>
      </x:c>
      <x:c r="J967" s="1" t="str">
        <x:v>yes</x:v>
      </x:c>
      <x:c r="K967" s="1" t="n">
        <x:f>2*H967+E967+IF(G967&gt;30,2,0)-IF(B967&gt;24,1,0)</x:f>
        <x:v>3</x:v>
      </x:c>
      <x:c r="L967" s="1" t="str">
        <x:f>IF(K967&gt;=3,"yes","no")</x:f>
        <x:v>yes</x:v>
      </x:c>
      <x:c r="M967" s="1"/>
      <x:c r="N967" s="1"/>
      <x:c r="O967" s="1"/>
    </x:row>
    <x:row r="968">
      <x:c r="A968" s="1" t="str">
        <x:v>S0967</x:v>
      </x:c>
      <x:c r="B968" s="1" t="n">
        <x:v>18</x:v>
      </x:c>
      <x:c r="C968" s="1" t="str">
        <x:v>basic</x:v>
      </x:c>
      <x:c r="D968" s="8" t="n">
        <x:v>9.99</x:v>
      </x:c>
      <x:c r="E968" s="1" t="n">
        <x:v>0</x:v>
      </x:c>
      <x:c r="F968" s="1" t="n">
        <x:v>1</x:v>
      </x:c>
      <x:c r="G968" s="1" t="n">
        <x:v>25</x:v>
      </x:c>
      <x:c r="H968" s="1" t="n">
        <x:v>0</x:v>
      </x:c>
      <x:c r="I968" s="1" t="n">
        <x:v>1</x:v>
      </x:c>
      <x:c r="J968" s="1" t="str">
        <x:v>no</x:v>
      </x:c>
      <x:c r="K968" s="1" t="n">
        <x:f>2*H968+E968+IF(G968&gt;30,2,0)-IF(B968&gt;24,1,0)</x:f>
        <x:v>0</x:v>
      </x:c>
      <x:c r="L968" s="1" t="str">
        <x:f>IF(K968&gt;=3,"yes","no")</x:f>
        <x:v>no</x:v>
      </x:c>
      <x:c r="M968" s="1"/>
      <x:c r="N968" s="1"/>
      <x:c r="O968" s="1"/>
    </x:row>
    <x:row r="969">
      <x:c r="A969" s="1" t="str">
        <x:v>S0968</x:v>
      </x:c>
      <x:c r="B969" s="1" t="n">
        <x:v>22</x:v>
      </x:c>
      <x:c r="C969" s="1" t="str">
        <x:v>basic</x:v>
      </x:c>
      <x:c r="D969" s="8" t="n">
        <x:v>9.99</x:v>
      </x:c>
      <x:c r="E969" s="1" t="n">
        <x:v>0</x:v>
      </x:c>
      <x:c r="F969" s="1" t="n">
        <x:v>10</x:v>
      </x:c>
      <x:c r="G969" s="1" t="n">
        <x:v>22</x:v>
      </x:c>
      <x:c r="H969" s="1" t="n">
        <x:v>0</x:v>
      </x:c>
      <x:c r="I969" s="1" t="n">
        <x:v>1</x:v>
      </x:c>
      <x:c r="J969" s="1" t="str">
        <x:v>no</x:v>
      </x:c>
      <x:c r="K969" s="1" t="n">
        <x:f>2*H969+E969+IF(G969&gt;30,2,0)-IF(B969&gt;24,1,0)</x:f>
        <x:v>0</x:v>
      </x:c>
      <x:c r="L969" s="1" t="str">
        <x:f>IF(K969&gt;=3,"yes","no")</x:f>
        <x:v>no</x:v>
      </x:c>
      <x:c r="M969" s="1"/>
      <x:c r="N969" s="1"/>
      <x:c r="O969" s="1"/>
    </x:row>
    <x:row r="970">
      <x:c r="A970" s="1" t="str">
        <x:v>S0969</x:v>
      </x:c>
      <x:c r="B970" s="1" t="n">
        <x:v>37</x:v>
      </x:c>
      <x:c r="C970" s="1" t="str">
        <x:v>premium</x:v>
      </x:c>
      <x:c r="D970" s="8" t="n">
        <x:v>15.99</x:v>
      </x:c>
      <x:c r="E970" s="1" t="n">
        <x:v>1</x:v>
      </x:c>
      <x:c r="F970" s="1" t="n">
        <x:v>0</x:v>
      </x:c>
      <x:c r="G970" s="1" t="n">
        <x:v>38</x:v>
      </x:c>
      <x:c r="H970" s="1" t="n">
        <x:v>0</x:v>
      </x:c>
      <x:c r="I970" s="1" t="n">
        <x:v>0</x:v>
      </x:c>
      <x:c r="J970" s="1" t="str">
        <x:v>no</x:v>
      </x:c>
      <x:c r="K970" s="1" t="n">
        <x:f>2*H970+E970+IF(G970&gt;30,2,0)-IF(B970&gt;24,1,0)</x:f>
        <x:v>2</x:v>
      </x:c>
      <x:c r="L970" s="1" t="str">
        <x:f>IF(K970&gt;=3,"yes","no")</x:f>
        <x:v>no</x:v>
      </x:c>
      <x:c r="M970" s="1"/>
      <x:c r="N970" s="1"/>
      <x:c r="O970" s="1"/>
    </x:row>
    <x:row r="971">
      <x:c r="A971" s="1" t="str">
        <x:v>S0970</x:v>
      </x:c>
      <x:c r="B971" s="1" t="n">
        <x:v>33</x:v>
      </x:c>
      <x:c r="C971" s="1" t="str">
        <x:v>basic</x:v>
      </x:c>
      <x:c r="D971" s="8" t="n">
        <x:v>9.99</x:v>
      </x:c>
      <x:c r="E971" s="1" t="n">
        <x:v>0</x:v>
      </x:c>
      <x:c r="F971" s="1" t="n">
        <x:v>11</x:v>
      </x:c>
      <x:c r="G971" s="1" t="n">
        <x:v>1</x:v>
      </x:c>
      <x:c r="H971" s="1" t="n">
        <x:v>0</x:v>
      </x:c>
      <x:c r="I971" s="1" t="n">
        <x:v>0</x:v>
      </x:c>
      <x:c r="J971" s="1" t="str">
        <x:v>no</x:v>
      </x:c>
      <x:c r="K971" s="1" t="n">
        <x:f>2*H971+E971+IF(G971&gt;30,2,0)-IF(B971&gt;24,1,0)</x:f>
        <x:v>-1</x:v>
      </x:c>
      <x:c r="L971" s="1" t="str">
        <x:f>IF(K971&gt;=3,"yes","no")</x:f>
        <x:v>no</x:v>
      </x:c>
      <x:c r="M971" s="1"/>
      <x:c r="N971" s="1"/>
      <x:c r="O971" s="1"/>
    </x:row>
    <x:row r="972">
      <x:c r="A972" s="1" t="str">
        <x:v>S0971</x:v>
      </x:c>
      <x:c r="B972" s="1" t="n">
        <x:v>22</x:v>
      </x:c>
      <x:c r="C972" s="1" t="str">
        <x:v>basic</x:v>
      </x:c>
      <x:c r="D972" s="8" t="n">
        <x:v>9.99</x:v>
      </x:c>
      <x:c r="E972" s="1" t="n">
        <x:v>0</x:v>
      </x:c>
      <x:c r="F972" s="1" t="n">
        <x:v>0</x:v>
      </x:c>
      <x:c r="G972" s="1" t="n">
        <x:v>42</x:v>
      </x:c>
      <x:c r="H972" s="1" t="n">
        <x:v>0</x:v>
      </x:c>
      <x:c r="I972" s="1" t="n">
        <x:v>0</x:v>
      </x:c>
      <x:c r="J972" s="1" t="str">
        <x:v>yes</x:v>
      </x:c>
      <x:c r="K972" s="1" t="n">
        <x:f>2*H972+E972+IF(G972&gt;30,2,0)-IF(B972&gt;24,1,0)</x:f>
        <x:v>2</x:v>
      </x:c>
      <x:c r="L972" s="1" t="str">
        <x:f>IF(K972&gt;=3,"yes","no")</x:f>
        <x:v>no</x:v>
      </x:c>
      <x:c r="M972" s="1"/>
      <x:c r="N972" s="1"/>
      <x:c r="O972" s="1"/>
    </x:row>
    <x:row r="973">
      <x:c r="A973" s="1" t="str">
        <x:v>S0972</x:v>
      </x:c>
      <x:c r="B973" s="1" t="n">
        <x:v>22</x:v>
      </x:c>
      <x:c r="C973" s="1" t="str">
        <x:v>premium</x:v>
      </x:c>
      <x:c r="D973" s="8" t="n">
        <x:v>15.99</x:v>
      </x:c>
      <x:c r="E973" s="1" t="n">
        <x:v>0</x:v>
      </x:c>
      <x:c r="F973" s="1" t="n">
        <x:v>25</x:v>
      </x:c>
      <x:c r="G973" s="1" t="n">
        <x:v>7</x:v>
      </x:c>
      <x:c r="H973" s="1" t="n">
        <x:v>0</x:v>
      </x:c>
      <x:c r="I973" s="1" t="n">
        <x:v>1</x:v>
      </x:c>
      <x:c r="J973" s="1" t="str">
        <x:v>no</x:v>
      </x:c>
      <x:c r="K973" s="1" t="n">
        <x:f>2*H973+E973+IF(G973&gt;30,2,0)-IF(B973&gt;24,1,0)</x:f>
        <x:v>0</x:v>
      </x:c>
      <x:c r="L973" s="1" t="str">
        <x:f>IF(K973&gt;=3,"yes","no")</x:f>
        <x:v>no</x:v>
      </x:c>
      <x:c r="M973" s="1"/>
      <x:c r="N973" s="1"/>
      <x:c r="O973" s="1"/>
    </x:row>
    <x:row r="974">
      <x:c r="A974" s="1" t="str">
        <x:v>S0973</x:v>
      </x:c>
      <x:c r="B974" s="1" t="n">
        <x:v>11</x:v>
      </x:c>
      <x:c r="C974" s="1" t="str">
        <x:v>basic</x:v>
      </x:c>
      <x:c r="D974" s="8" t="n">
        <x:v>9.99</x:v>
      </x:c>
      <x:c r="E974" s="1" t="n">
        <x:v>2</x:v>
      </x:c>
      <x:c r="F974" s="1" t="n">
        <x:v>24</x:v>
      </x:c>
      <x:c r="G974" s="1" t="n">
        <x:v>7</x:v>
      </x:c>
      <x:c r="H974" s="1" t="n">
        <x:v>0</x:v>
      </x:c>
      <x:c r="I974" s="1" t="n">
        <x:v>1</x:v>
      </x:c>
      <x:c r="J974" s="1" t="str">
        <x:v>no</x:v>
      </x:c>
      <x:c r="K974" s="1" t="n">
        <x:f>2*H974+E974+IF(G974&gt;30,2,0)-IF(B974&gt;24,1,0)</x:f>
        <x:v>2</x:v>
      </x:c>
      <x:c r="L974" s="1" t="str">
        <x:f>IF(K974&gt;=3,"yes","no")</x:f>
        <x:v>no</x:v>
      </x:c>
      <x:c r="M974" s="1"/>
      <x:c r="N974" s="1"/>
      <x:c r="O974" s="1"/>
    </x:row>
    <x:row r="975">
      <x:c r="A975" s="1" t="str">
        <x:v>S0974</x:v>
      </x:c>
      <x:c r="B975" s="1" t="n">
        <x:v>6</x:v>
      </x:c>
      <x:c r="C975" s="1" t="str">
        <x:v>basic</x:v>
      </x:c>
      <x:c r="D975" s="8" t="n">
        <x:v>9.99</x:v>
      </x:c>
      <x:c r="E975" s="1" t="n">
        <x:v>0</x:v>
      </x:c>
      <x:c r="F975" s="1" t="n">
        <x:v>0</x:v>
      </x:c>
      <x:c r="G975" s="1" t="n">
        <x:v>31</x:v>
      </x:c>
      <x:c r="H975" s="1" t="n">
        <x:v>0</x:v>
      </x:c>
      <x:c r="I975" s="1" t="n">
        <x:v>0</x:v>
      </x:c>
      <x:c r="J975" s="1" t="str">
        <x:v>yes</x:v>
      </x:c>
      <x:c r="K975" s="1" t="n">
        <x:f>2*H975+E975+IF(G975&gt;30,2,0)-IF(B975&gt;24,1,0)</x:f>
        <x:v>2</x:v>
      </x:c>
      <x:c r="L975" s="1" t="str">
        <x:f>IF(K975&gt;=3,"yes","no")</x:f>
        <x:v>no</x:v>
      </x:c>
      <x:c r="M975" s="1"/>
      <x:c r="N975" s="1"/>
      <x:c r="O975" s="1"/>
    </x:row>
    <x:row r="976">
      <x:c r="A976" s="1" t="str">
        <x:v>S0975</x:v>
      </x:c>
      <x:c r="B976" s="1" t="n">
        <x:v>15</x:v>
      </x:c>
      <x:c r="C976" s="1" t="str">
        <x:v>premium</x:v>
      </x:c>
      <x:c r="D976" s="8" t="n">
        <x:v>15.99</x:v>
      </x:c>
      <x:c r="E976" s="1" t="n">
        <x:v>0</x:v>
      </x:c>
      <x:c r="F976" s="1" t="n">
        <x:v>11</x:v>
      </x:c>
      <x:c r="G976" s="1" t="n">
        <x:v>2</x:v>
      </x:c>
      <x:c r="H976" s="1" t="n">
        <x:v>0</x:v>
      </x:c>
      <x:c r="I976" s="1" t="n">
        <x:v>1</x:v>
      </x:c>
      <x:c r="J976" s="1" t="str">
        <x:v>no</x:v>
      </x:c>
      <x:c r="K976" s="1" t="n">
        <x:f>2*H976+E976+IF(G976&gt;30,2,0)-IF(B976&gt;24,1,0)</x:f>
        <x:v>0</x:v>
      </x:c>
      <x:c r="L976" s="1" t="str">
        <x:f>IF(K976&gt;=3,"yes","no")</x:f>
        <x:v>no</x:v>
      </x:c>
      <x:c r="M976" s="1"/>
      <x:c r="N976" s="1"/>
      <x:c r="O976" s="1"/>
    </x:row>
    <x:row r="977">
      <x:c r="A977" s="1" t="str">
        <x:v>S0976</x:v>
      </x:c>
      <x:c r="B977" s="1" t="n">
        <x:v>19</x:v>
      </x:c>
      <x:c r="C977" s="1" t="str">
        <x:v>premium</x:v>
      </x:c>
      <x:c r="D977" s="8" t="n">
        <x:v>15.99</x:v>
      </x:c>
      <x:c r="E977" s="1" t="n">
        <x:v>3</x:v>
      </x:c>
      <x:c r="F977" s="1" t="n">
        <x:v>26</x:v>
      </x:c>
      <x:c r="G977" s="1" t="n">
        <x:v>2</x:v>
      </x:c>
      <x:c r="H977" s="1" t="n">
        <x:v>0</x:v>
      </x:c>
      <x:c r="I977" s="1" t="n">
        <x:v>1</x:v>
      </x:c>
      <x:c r="J977" s="1" t="str">
        <x:v>no</x:v>
      </x:c>
      <x:c r="K977" s="1" t="n">
        <x:f>2*H977+E977+IF(G977&gt;30,2,0)-IF(B977&gt;24,1,0)</x:f>
        <x:v>3</x:v>
      </x:c>
      <x:c r="L977" s="1" t="str">
        <x:f>IF(K977&gt;=3,"yes","no")</x:f>
        <x:v>yes</x:v>
      </x:c>
      <x:c r="M977" s="1"/>
      <x:c r="N977" s="1"/>
      <x:c r="O977" s="1"/>
    </x:row>
    <x:row r="978">
      <x:c r="A978" s="1" t="str">
        <x:v>S0977</x:v>
      </x:c>
      <x:c r="B978" s="1" t="n">
        <x:v>35</x:v>
      </x:c>
      <x:c r="C978" s="1" t="str">
        <x:v>premium</x:v>
      </x:c>
      <x:c r="D978" s="8" t="n">
        <x:v>15.99</x:v>
      </x:c>
      <x:c r="E978" s="1" t="n">
        <x:v>0</x:v>
      </x:c>
      <x:c r="F978" s="1" t="n">
        <x:v>3</x:v>
      </x:c>
      <x:c r="G978" s="1" t="n">
        <x:v>6</x:v>
      </x:c>
      <x:c r="H978" s="1" t="n">
        <x:v>0</x:v>
      </x:c>
      <x:c r="I978" s="1" t="n">
        <x:v>1</x:v>
      </x:c>
      <x:c r="J978" s="1" t="str">
        <x:v>no</x:v>
      </x:c>
      <x:c r="K978" s="1" t="n">
        <x:f>2*H978+E978+IF(G978&gt;30,2,0)-IF(B978&gt;24,1,0)</x:f>
        <x:v>-1</x:v>
      </x:c>
      <x:c r="L978" s="1" t="str">
        <x:f>IF(K978&gt;=3,"yes","no")</x:f>
        <x:v>no</x:v>
      </x:c>
      <x:c r="M978" s="1"/>
      <x:c r="N978" s="1"/>
      <x:c r="O978" s="1"/>
    </x:row>
    <x:row r="979">
      <x:c r="A979" s="1" t="str">
        <x:v>S0978</x:v>
      </x:c>
      <x:c r="B979" s="1" t="n">
        <x:v>31</x:v>
      </x:c>
      <x:c r="C979" s="1" t="str">
        <x:v>basic</x:v>
      </x:c>
      <x:c r="D979" s="8" t="n">
        <x:v>9.99</x:v>
      </x:c>
      <x:c r="E979" s="1" t="n">
        <x:v>0</x:v>
      </x:c>
      <x:c r="F979" s="1" t="n">
        <x:v>15</x:v>
      </x:c>
      <x:c r="G979" s="1" t="n">
        <x:v>5</x:v>
      </x:c>
      <x:c r="H979" s="1" t="n">
        <x:v>0</x:v>
      </x:c>
      <x:c r="I979" s="1" t="n">
        <x:v>1</x:v>
      </x:c>
      <x:c r="J979" s="1" t="str">
        <x:v>no</x:v>
      </x:c>
      <x:c r="K979" s="1" t="n">
        <x:f>2*H979+E979+IF(G979&gt;30,2,0)-IF(B979&gt;24,1,0)</x:f>
        <x:v>-1</x:v>
      </x:c>
      <x:c r="L979" s="1" t="str">
        <x:f>IF(K979&gt;=3,"yes","no")</x:f>
        <x:v>no</x:v>
      </x:c>
      <x:c r="M979" s="1"/>
      <x:c r="N979" s="1"/>
      <x:c r="O979" s="1"/>
    </x:row>
    <x:row r="980">
      <x:c r="A980" s="1" t="str">
        <x:v>S0979</x:v>
      </x:c>
      <x:c r="B980" s="1" t="n">
        <x:v>21</x:v>
      </x:c>
      <x:c r="C980" s="1" t="str">
        <x:v>basic</x:v>
      </x:c>
      <x:c r="D980" s="8" t="n">
        <x:v>9.99</x:v>
      </x:c>
      <x:c r="E980" s="1" t="n">
        <x:v>1</x:v>
      </x:c>
      <x:c r="F980" s="1" t="n">
        <x:v>19</x:v>
      </x:c>
      <x:c r="G980" s="1" t="n">
        <x:v>3</x:v>
      </x:c>
      <x:c r="H980" s="1" t="n">
        <x:v>0</x:v>
      </x:c>
      <x:c r="I980" s="1" t="n">
        <x:v>0</x:v>
      </x:c>
      <x:c r="J980" s="1" t="str">
        <x:v>no</x:v>
      </x:c>
      <x:c r="K980" s="1" t="n">
        <x:f>2*H980+E980+IF(G980&gt;30,2,0)-IF(B980&gt;24,1,0)</x:f>
        <x:v>1</x:v>
      </x:c>
      <x:c r="L980" s="1" t="str">
        <x:f>IF(K980&gt;=3,"yes","no")</x:f>
        <x:v>no</x:v>
      </x:c>
      <x:c r="M980" s="1"/>
      <x:c r="N980" s="1"/>
      <x:c r="O980" s="1"/>
    </x:row>
    <x:row r="981">
      <x:c r="A981" s="1" t="str">
        <x:v>S0980</x:v>
      </x:c>
      <x:c r="B981" s="1" t="n">
        <x:v>28</x:v>
      </x:c>
      <x:c r="C981" s="1" t="str">
        <x:v>basic</x:v>
      </x:c>
      <x:c r="D981" s="8" t="n">
        <x:v>9.99</x:v>
      </x:c>
      <x:c r="E981" s="1" t="n">
        <x:v>4</x:v>
      </x:c>
      <x:c r="F981" s="1" t="n">
        <x:v>14</x:v>
      </x:c>
      <x:c r="G981" s="1" t="n">
        <x:v>3</x:v>
      </x:c>
      <x:c r="H981" s="1" t="n">
        <x:v>0</x:v>
      </x:c>
      <x:c r="I981" s="1" t="n">
        <x:v>0</x:v>
      </x:c>
      <x:c r="J981" s="1" t="str">
        <x:v>no</x:v>
      </x:c>
      <x:c r="K981" s="1" t="n">
        <x:f>2*H981+E981+IF(G981&gt;30,2,0)-IF(B981&gt;24,1,0)</x:f>
        <x:v>3</x:v>
      </x:c>
      <x:c r="L981" s="1" t="str">
        <x:f>IF(K981&gt;=3,"yes","no")</x:f>
        <x:v>yes</x:v>
      </x:c>
      <x:c r="M981" s="1"/>
      <x:c r="N981" s="1"/>
      <x:c r="O981" s="1"/>
    </x:row>
    <x:row r="982">
      <x:c r="A982" s="1" t="str">
        <x:v>S0981</x:v>
      </x:c>
      <x:c r="B982" s="1" t="n">
        <x:v>37</x:v>
      </x:c>
      <x:c r="C982" s="1" t="str">
        <x:v>basic</x:v>
      </x:c>
      <x:c r="D982" s="8" t="n">
        <x:v>9.99</x:v>
      </x:c>
      <x:c r="E982" s="1" t="n">
        <x:v>1</x:v>
      </x:c>
      <x:c r="F982" s="1" t="n">
        <x:v>24</x:v>
      </x:c>
      <x:c r="G982" s="1" t="n">
        <x:v>0</x:v>
      </x:c>
      <x:c r="H982" s="1" t="n">
        <x:v>0</x:v>
      </x:c>
      <x:c r="I982" s="1" t="n">
        <x:v>0</x:v>
      </x:c>
      <x:c r="J982" s="1" t="str">
        <x:v>no</x:v>
      </x:c>
      <x:c r="K982" s="1" t="n">
        <x:f>2*H982+E982+IF(G982&gt;30,2,0)-IF(B982&gt;24,1,0)</x:f>
        <x:v>0</x:v>
      </x:c>
      <x:c r="L982" s="1" t="str">
        <x:f>IF(K982&gt;=3,"yes","no")</x:f>
        <x:v>no</x:v>
      </x:c>
      <x:c r="M982" s="1"/>
      <x:c r="N982" s="1"/>
      <x:c r="O982" s="1"/>
    </x:row>
    <x:row r="983">
      <x:c r="A983" s="1" t="str">
        <x:v>S0982</x:v>
      </x:c>
      <x:c r="B983" s="1" t="n">
        <x:v>41</x:v>
      </x:c>
      <x:c r="C983" s="1" t="str">
        <x:v>basic</x:v>
      </x:c>
      <x:c r="D983" s="8" t="n">
        <x:v>9.99</x:v>
      </x:c>
      <x:c r="E983" s="1" t="n">
        <x:v>0</x:v>
      </x:c>
      <x:c r="F983" s="1" t="n">
        <x:v>20</x:v>
      </x:c>
      <x:c r="G983" s="1" t="n">
        <x:v>3</x:v>
      </x:c>
      <x:c r="H983" s="1" t="n">
        <x:v>1</x:v>
      </x:c>
      <x:c r="I983" s="1" t="n">
        <x:v>0</x:v>
      </x:c>
      <x:c r="J983" s="1" t="str">
        <x:v>no</x:v>
      </x:c>
      <x:c r="K983" s="1" t="n">
        <x:f>2*H983+E983+IF(G983&gt;30,2,0)-IF(B983&gt;24,1,0)</x:f>
        <x:v>1</x:v>
      </x:c>
      <x:c r="L983" s="1" t="str">
        <x:f>IF(K983&gt;=3,"yes","no")</x:f>
        <x:v>no</x:v>
      </x:c>
      <x:c r="M983" s="1"/>
      <x:c r="N983" s="1"/>
      <x:c r="O983" s="1"/>
    </x:row>
    <x:row r="984">
      <x:c r="A984" s="1" t="str">
        <x:v>S0983</x:v>
      </x:c>
      <x:c r="B984" s="1" t="n">
        <x:v>37</x:v>
      </x:c>
      <x:c r="C984" s="1" t="str">
        <x:v>basic</x:v>
      </x:c>
      <x:c r="D984" s="8" t="n">
        <x:v>9.99</x:v>
      </x:c>
      <x:c r="E984" s="1" t="n">
        <x:v>0</x:v>
      </x:c>
      <x:c r="F984" s="1" t="n">
        <x:v>9</x:v>
      </x:c>
      <x:c r="G984" s="1" t="n">
        <x:v>28</x:v>
      </x:c>
      <x:c r="H984" s="1" t="n">
        <x:v>0</x:v>
      </x:c>
      <x:c r="I984" s="1" t="n">
        <x:v>0</x:v>
      </x:c>
      <x:c r="J984" s="1" t="str">
        <x:v>no</x:v>
      </x:c>
      <x:c r="K984" s="1" t="n">
        <x:f>2*H984+E984+IF(G984&gt;30,2,0)-IF(B984&gt;24,1,0)</x:f>
        <x:v>-1</x:v>
      </x:c>
      <x:c r="L984" s="1" t="str">
        <x:f>IF(K984&gt;=3,"yes","no")</x:f>
        <x:v>no</x:v>
      </x:c>
      <x:c r="M984" s="1"/>
      <x:c r="N984" s="1"/>
      <x:c r="O984" s="1"/>
    </x:row>
    <x:row r="985">
      <x:c r="A985" s="1" t="str">
        <x:v>S0984</x:v>
      </x:c>
      <x:c r="B985" s="1" t="n">
        <x:v>48</x:v>
      </x:c>
      <x:c r="C985" s="1" t="str">
        <x:v>basic</x:v>
      </x:c>
      <x:c r="D985" s="8" t="n">
        <x:v>9.99</x:v>
      </x:c>
      <x:c r="E985" s="1" t="n">
        <x:v>1</x:v>
      </x:c>
      <x:c r="F985" s="1" t="n">
        <x:v>24</x:v>
      </x:c>
      <x:c r="G985" s="1" t="n">
        <x:v>5</x:v>
      </x:c>
      <x:c r="H985" s="1" t="n">
        <x:v>0</x:v>
      </x:c>
      <x:c r="I985" s="1" t="n">
        <x:v>0</x:v>
      </x:c>
      <x:c r="J985" s="1" t="str">
        <x:v>no</x:v>
      </x:c>
      <x:c r="K985" s="1" t="n">
        <x:f>2*H985+E985+IF(G985&gt;30,2,0)-IF(B985&gt;24,1,0)</x:f>
        <x:v>0</x:v>
      </x:c>
      <x:c r="L985" s="1" t="str">
        <x:f>IF(K985&gt;=3,"yes","no")</x:f>
        <x:v>no</x:v>
      </x:c>
      <x:c r="M985" s="1"/>
      <x:c r="N985" s="1"/>
      <x:c r="O985" s="1"/>
    </x:row>
    <x:row r="986">
      <x:c r="A986" s="1" t="str">
        <x:v>S0985</x:v>
      </x:c>
      <x:c r="B986" s="1" t="n">
        <x:v>47</x:v>
      </x:c>
      <x:c r="C986" s="1" t="str">
        <x:v>basic</x:v>
      </x:c>
      <x:c r="D986" s="8" t="n">
        <x:v>9.99</x:v>
      </x:c>
      <x:c r="E986" s="1" t="n">
        <x:v>0</x:v>
      </x:c>
      <x:c r="F986" s="1" t="n">
        <x:v>11</x:v>
      </x:c>
      <x:c r="G986" s="1" t="n">
        <x:v>3</x:v>
      </x:c>
      <x:c r="H986" s="1" t="n">
        <x:v>0</x:v>
      </x:c>
      <x:c r="I986" s="1" t="n">
        <x:v>0</x:v>
      </x:c>
      <x:c r="J986" s="1" t="str">
        <x:v>no</x:v>
      </x:c>
      <x:c r="K986" s="1" t="n">
        <x:f>2*H986+E986+IF(G986&gt;30,2,0)-IF(B986&gt;24,1,0)</x:f>
        <x:v>-1</x:v>
      </x:c>
      <x:c r="L986" s="1" t="str">
        <x:f>IF(K986&gt;=3,"yes","no")</x:f>
        <x:v>no</x:v>
      </x:c>
      <x:c r="M986" s="1"/>
      <x:c r="N986" s="1"/>
      <x:c r="O986" s="1"/>
    </x:row>
    <x:row r="987">
      <x:c r="A987" s="1" t="str">
        <x:v>S0986</x:v>
      </x:c>
      <x:c r="B987" s="1" t="n">
        <x:v>45</x:v>
      </x:c>
      <x:c r="C987" s="1" t="str">
        <x:v>basic</x:v>
      </x:c>
      <x:c r="D987" s="8" t="n">
        <x:v>9.99</x:v>
      </x:c>
      <x:c r="E987" s="1" t="n">
        <x:v>3</x:v>
      </x:c>
      <x:c r="F987" s="1" t="n">
        <x:v>6</x:v>
      </x:c>
      <x:c r="G987" s="1" t="n">
        <x:v>1</x:v>
      </x:c>
      <x:c r="H987" s="1" t="n">
        <x:v>0</x:v>
      </x:c>
      <x:c r="I987" s="1" t="n">
        <x:v>0</x:v>
      </x:c>
      <x:c r="J987" s="1" t="str">
        <x:v>no</x:v>
      </x:c>
      <x:c r="K987" s="1" t="n">
        <x:f>2*H987+E987+IF(G987&gt;30,2,0)-IF(B987&gt;24,1,0)</x:f>
        <x:v>2</x:v>
      </x:c>
      <x:c r="L987" s="1" t="str">
        <x:f>IF(K987&gt;=3,"yes","no")</x:f>
        <x:v>no</x:v>
      </x:c>
      <x:c r="M987" s="1"/>
      <x:c r="N987" s="1"/>
      <x:c r="O987" s="1"/>
    </x:row>
    <x:row r="988">
      <x:c r="A988" s="1" t="str">
        <x:v>S0987</x:v>
      </x:c>
      <x:c r="B988" s="1" t="n">
        <x:v>12</x:v>
      </x:c>
      <x:c r="C988" s="1" t="str">
        <x:v>premium</x:v>
      </x:c>
      <x:c r="D988" s="8" t="n">
        <x:v>15.99</x:v>
      </x:c>
      <x:c r="E988" s="1" t="n">
        <x:v>0</x:v>
      </x:c>
      <x:c r="F988" s="1" t="n">
        <x:v>30</x:v>
      </x:c>
      <x:c r="G988" s="1" t="n">
        <x:v>5</x:v>
      </x:c>
      <x:c r="H988" s="1" t="n">
        <x:v>1</x:v>
      </x:c>
      <x:c r="I988" s="1" t="n">
        <x:v>0</x:v>
      </x:c>
      <x:c r="J988" s="1" t="str">
        <x:v>no</x:v>
      </x:c>
      <x:c r="K988" s="1" t="n">
        <x:f>2*H988+E988+IF(G988&gt;30,2,0)-IF(B988&gt;24,1,0)</x:f>
        <x:v>2</x:v>
      </x:c>
      <x:c r="L988" s="1" t="str">
        <x:f>IF(K988&gt;=3,"yes","no")</x:f>
        <x:v>no</x:v>
      </x:c>
      <x:c r="M988" s="1"/>
      <x:c r="N988" s="1"/>
      <x:c r="O988" s="1"/>
    </x:row>
    <x:row r="989">
      <x:c r="A989" s="1" t="str">
        <x:v>S0988</x:v>
      </x:c>
      <x:c r="B989" s="1" t="n">
        <x:v>45</x:v>
      </x:c>
      <x:c r="C989" s="1" t="str">
        <x:v>basic</x:v>
      </x:c>
      <x:c r="D989" s="8" t="n">
        <x:v>9.99</x:v>
      </x:c>
      <x:c r="E989" s="1" t="n">
        <x:v>0</x:v>
      </x:c>
      <x:c r="F989" s="1" t="n">
        <x:v>20</x:v>
      </x:c>
      <x:c r="G989" s="1" t="n">
        <x:v>8</x:v>
      </x:c>
      <x:c r="H989" s="1" t="n">
        <x:v>0</x:v>
      </x:c>
      <x:c r="I989" s="1" t="n">
        <x:v>0</x:v>
      </x:c>
      <x:c r="J989" s="1" t="str">
        <x:v>no</x:v>
      </x:c>
      <x:c r="K989" s="1" t="n">
        <x:f>2*H989+E989+IF(G989&gt;30,2,0)-IF(B989&gt;24,1,0)</x:f>
        <x:v>-1</x:v>
      </x:c>
      <x:c r="L989" s="1" t="str">
        <x:f>IF(K989&gt;=3,"yes","no")</x:f>
        <x:v>no</x:v>
      </x:c>
      <x:c r="M989" s="1"/>
      <x:c r="N989" s="1"/>
      <x:c r="O989" s="1"/>
    </x:row>
    <x:row r="990">
      <x:c r="A990" s="1" t="str">
        <x:v>S0989</x:v>
      </x:c>
      <x:c r="B990" s="1" t="n">
        <x:v>46</x:v>
      </x:c>
      <x:c r="C990" s="1" t="str">
        <x:v>basic</x:v>
      </x:c>
      <x:c r="D990" s="8" t="n">
        <x:v>9.99</x:v>
      </x:c>
      <x:c r="E990" s="1" t="n">
        <x:v>1</x:v>
      </x:c>
      <x:c r="F990" s="1" t="n">
        <x:v>14</x:v>
      </x:c>
      <x:c r="G990" s="1" t="n">
        <x:v>1</x:v>
      </x:c>
      <x:c r="H990" s="1" t="n">
        <x:v>0</x:v>
      </x:c>
      <x:c r="I990" s="1" t="n">
        <x:v>1</x:v>
      </x:c>
      <x:c r="J990" s="1" t="str">
        <x:v>no</x:v>
      </x:c>
      <x:c r="K990" s="1" t="n">
        <x:f>2*H990+E990+IF(G990&gt;30,2,0)-IF(B990&gt;24,1,0)</x:f>
        <x:v>0</x:v>
      </x:c>
      <x:c r="L990" s="1" t="str">
        <x:f>IF(K990&gt;=3,"yes","no")</x:f>
        <x:v>no</x:v>
      </x:c>
      <x:c r="M990" s="1"/>
      <x:c r="N990" s="1"/>
      <x:c r="O990" s="1"/>
    </x:row>
    <x:row r="991">
      <x:c r="A991" s="1" t="str">
        <x:v>S0990</x:v>
      </x:c>
      <x:c r="B991" s="1" t="n">
        <x:v>28</x:v>
      </x:c>
      <x:c r="C991" s="1" t="str">
        <x:v>basic</x:v>
      </x:c>
      <x:c r="D991" s="8" t="n">
        <x:v>9.99</x:v>
      </x:c>
      <x:c r="E991" s="1" t="n">
        <x:v>0</x:v>
      </x:c>
      <x:c r="F991" s="1" t="n">
        <x:v>21</x:v>
      </x:c>
      <x:c r="G991" s="1" t="n">
        <x:v>6</x:v>
      </x:c>
      <x:c r="H991" s="1" t="n">
        <x:v>0</x:v>
      </x:c>
      <x:c r="I991" s="1" t="n">
        <x:v>1</x:v>
      </x:c>
      <x:c r="J991" s="1" t="str">
        <x:v>no</x:v>
      </x:c>
      <x:c r="K991" s="1" t="n">
        <x:f>2*H991+E991+IF(G991&gt;30,2,0)-IF(B991&gt;24,1,0)</x:f>
        <x:v>-1</x:v>
      </x:c>
      <x:c r="L991" s="1" t="str">
        <x:f>IF(K991&gt;=3,"yes","no")</x:f>
        <x:v>no</x:v>
      </x:c>
      <x:c r="M991" s="1"/>
      <x:c r="N991" s="1"/>
      <x:c r="O991" s="1"/>
    </x:row>
    <x:row r="992">
      <x:c r="A992" s="1" t="str">
        <x:v>S0991</x:v>
      </x:c>
      <x:c r="B992" s="1" t="n">
        <x:v>46</x:v>
      </x:c>
      <x:c r="C992" s="1" t="str">
        <x:v>basic</x:v>
      </x:c>
      <x:c r="D992" s="8" t="n">
        <x:v>9.99</x:v>
      </x:c>
      <x:c r="E992" s="1" t="n">
        <x:v>0</x:v>
      </x:c>
      <x:c r="F992" s="1" t="n">
        <x:v>9</x:v>
      </x:c>
      <x:c r="G992" s="1" t="n">
        <x:v>1</x:v>
      </x:c>
      <x:c r="H992" s="1" t="n">
        <x:v>0</x:v>
      </x:c>
      <x:c r="I992" s="1" t="n">
        <x:v>0</x:v>
      </x:c>
      <x:c r="J992" s="1" t="str">
        <x:v>no</x:v>
      </x:c>
      <x:c r="K992" s="1" t="n">
        <x:f>2*H992+E992+IF(G992&gt;30,2,0)-IF(B992&gt;24,1,0)</x:f>
        <x:v>-1</x:v>
      </x:c>
      <x:c r="L992" s="1" t="str">
        <x:f>IF(K992&gt;=3,"yes","no")</x:f>
        <x:v>no</x:v>
      </x:c>
      <x:c r="M992" s="1"/>
      <x:c r="N992" s="1"/>
      <x:c r="O992" s="1"/>
    </x:row>
    <x:row r="993">
      <x:c r="A993" s="1" t="str">
        <x:v>S0992</x:v>
      </x:c>
      <x:c r="B993" s="1" t="n">
        <x:v>29</x:v>
      </x:c>
      <x:c r="C993" s="1" t="str">
        <x:v>basic</x:v>
      </x:c>
      <x:c r="D993" s="8" t="n">
        <x:v>9.99</x:v>
      </x:c>
      <x:c r="E993" s="1" t="n">
        <x:v>0</x:v>
      </x:c>
      <x:c r="F993" s="1" t="n">
        <x:v>10</x:v>
      </x:c>
      <x:c r="G993" s="1" t="n">
        <x:v>21</x:v>
      </x:c>
      <x:c r="H993" s="1" t="n">
        <x:v>0</x:v>
      </x:c>
      <x:c r="I993" s="1" t="n">
        <x:v>1</x:v>
      </x:c>
      <x:c r="J993" s="1" t="str">
        <x:v>yes</x:v>
      </x:c>
      <x:c r="K993" s="1" t="n">
        <x:f>2*H993+E993+IF(G993&gt;30,2,0)-IF(B993&gt;24,1,0)</x:f>
        <x:v>-1</x:v>
      </x:c>
      <x:c r="L993" s="1" t="str">
        <x:f>IF(K993&gt;=3,"yes","no")</x:f>
        <x:v>no</x:v>
      </x:c>
      <x:c r="M993" s="1"/>
      <x:c r="N993" s="1"/>
      <x:c r="O993" s="1"/>
    </x:row>
    <x:row r="994">
      <x:c r="A994" s="1" t="str">
        <x:v>S0993</x:v>
      </x:c>
      <x:c r="B994" s="1" t="n">
        <x:v>44</x:v>
      </x:c>
      <x:c r="C994" s="1" t="str">
        <x:v>basic</x:v>
      </x:c>
      <x:c r="D994" s="8" t="n">
        <x:v>9.99</x:v>
      </x:c>
      <x:c r="E994" s="1" t="n">
        <x:v>1</x:v>
      </x:c>
      <x:c r="F994" s="1" t="n">
        <x:v>27</x:v>
      </x:c>
      <x:c r="G994" s="1" t="n">
        <x:v>0</x:v>
      </x:c>
      <x:c r="H994" s="1" t="n">
        <x:v>1</x:v>
      </x:c>
      <x:c r="I994" s="1" t="n">
        <x:v>0</x:v>
      </x:c>
      <x:c r="J994" s="1" t="str">
        <x:v>no</x:v>
      </x:c>
      <x:c r="K994" s="1" t="n">
        <x:f>2*H994+E994+IF(G994&gt;30,2,0)-IF(B994&gt;24,1,0)</x:f>
        <x:v>2</x:v>
      </x:c>
      <x:c r="L994" s="1" t="str">
        <x:f>IF(K994&gt;=3,"yes","no")</x:f>
        <x:v>no</x:v>
      </x:c>
      <x:c r="M994" s="1"/>
      <x:c r="N994" s="1"/>
      <x:c r="O994" s="1"/>
    </x:row>
    <x:row r="995">
      <x:c r="A995" s="1" t="str">
        <x:v>S0994</x:v>
      </x:c>
      <x:c r="B995" s="1" t="n">
        <x:v>45</x:v>
      </x:c>
      <x:c r="C995" s="1" t="str">
        <x:v>basic</x:v>
      </x:c>
      <x:c r="D995" s="8" t="n">
        <x:v>9.99</x:v>
      </x:c>
      <x:c r="E995" s="1" t="n">
        <x:v>1</x:v>
      </x:c>
      <x:c r="F995" s="1" t="n">
        <x:v>9</x:v>
      </x:c>
      <x:c r="G995" s="1" t="n">
        <x:v>26</x:v>
      </x:c>
      <x:c r="H995" s="1" t="n">
        <x:v>1</x:v>
      </x:c>
      <x:c r="I995" s="1" t="n">
        <x:v>0</x:v>
      </x:c>
      <x:c r="J995" s="1" t="str">
        <x:v>yes</x:v>
      </x:c>
      <x:c r="K995" s="1" t="n">
        <x:f>2*H995+E995+IF(G995&gt;30,2,0)-IF(B995&gt;24,1,0)</x:f>
        <x:v>2</x:v>
      </x:c>
      <x:c r="L995" s="1" t="str">
        <x:f>IF(K995&gt;=3,"yes","no")</x:f>
        <x:v>no</x:v>
      </x:c>
      <x:c r="M995" s="1"/>
      <x:c r="N995" s="1"/>
      <x:c r="O995" s="1"/>
    </x:row>
    <x:row r="996">
      <x:c r="A996" s="1" t="str">
        <x:v>S0995</x:v>
      </x:c>
      <x:c r="B996" s="1" t="n">
        <x:v>14</x:v>
      </x:c>
      <x:c r="C996" s="1" t="str">
        <x:v>premium</x:v>
      </x:c>
      <x:c r="D996" s="8" t="n">
        <x:v>15.99</x:v>
      </x:c>
      <x:c r="E996" s="1" t="n">
        <x:v>0</x:v>
      </x:c>
      <x:c r="F996" s="1" t="n">
        <x:v>10</x:v>
      </x:c>
      <x:c r="G996" s="1" t="n">
        <x:v>3</x:v>
      </x:c>
      <x:c r="H996" s="1" t="n">
        <x:v>0</x:v>
      </x:c>
      <x:c r="I996" s="1" t="n">
        <x:v>0</x:v>
      </x:c>
      <x:c r="J996" s="1" t="str">
        <x:v>yes</x:v>
      </x:c>
      <x:c r="K996" s="1" t="n">
        <x:f>2*H996+E996+IF(G996&gt;30,2,0)-IF(B996&gt;24,1,0)</x:f>
        <x:v>0</x:v>
      </x:c>
      <x:c r="L996" s="1" t="str">
        <x:f>IF(K996&gt;=3,"yes","no")</x:f>
        <x:v>no</x:v>
      </x:c>
      <x:c r="M996" s="1"/>
      <x:c r="N996" s="1"/>
      <x:c r="O996" s="1"/>
    </x:row>
    <x:row r="997">
      <x:c r="A997" s="1" t="str">
        <x:v>S0996</x:v>
      </x:c>
      <x:c r="B997" s="1" t="n">
        <x:v>16</x:v>
      </x:c>
      <x:c r="C997" s="1" t="str">
        <x:v>basic</x:v>
      </x:c>
      <x:c r="D997" s="8" t="n">
        <x:v>9.99</x:v>
      </x:c>
      <x:c r="E997" s="1" t="n">
        <x:v>2</x:v>
      </x:c>
      <x:c r="F997" s="1" t="n">
        <x:v>0</x:v>
      </x:c>
      <x:c r="G997" s="1" t="n">
        <x:v>37</x:v>
      </x:c>
      <x:c r="H997" s="1" t="n">
        <x:v>1</x:v>
      </x:c>
      <x:c r="I997" s="1" t="n">
        <x:v>0</x:v>
      </x:c>
      <x:c r="J997" s="1" t="str">
        <x:v>yes</x:v>
      </x:c>
      <x:c r="K997" s="1" t="n">
        <x:f>2*H997+E997+IF(G997&gt;30,2,0)-IF(B997&gt;24,1,0)</x:f>
        <x:v>6</x:v>
      </x:c>
      <x:c r="L997" s="1" t="str">
        <x:f>IF(K997&gt;=3,"yes","no")</x:f>
        <x:v>yes</x:v>
      </x:c>
      <x:c r="M997" s="1"/>
      <x:c r="N997" s="1"/>
      <x:c r="O997" s="1"/>
    </x:row>
    <x:row r="998">
      <x:c r="A998" s="1" t="str">
        <x:v>S0997</x:v>
      </x:c>
      <x:c r="B998" s="1" t="n">
        <x:v>5</x:v>
      </x:c>
      <x:c r="C998" s="1" t="str">
        <x:v>basic</x:v>
      </x:c>
      <x:c r="D998" s="8" t="n">
        <x:v>9.99</x:v>
      </x:c>
      <x:c r="E998" s="1" t="n">
        <x:v>0</x:v>
      </x:c>
      <x:c r="F998" s="1" t="n">
        <x:v>5</x:v>
      </x:c>
      <x:c r="G998" s="1" t="n">
        <x:v>21</x:v>
      </x:c>
      <x:c r="H998" s="1" t="n">
        <x:v>0</x:v>
      </x:c>
      <x:c r="I998" s="1" t="n">
        <x:v>0</x:v>
      </x:c>
      <x:c r="J998" s="1" t="str">
        <x:v>yes</x:v>
      </x:c>
      <x:c r="K998" s="1" t="n">
        <x:f>2*H998+E998+IF(G998&gt;30,2,0)-IF(B998&gt;24,1,0)</x:f>
        <x:v>0</x:v>
      </x:c>
      <x:c r="L998" s="1" t="str">
        <x:f>IF(K998&gt;=3,"yes","no")</x:f>
        <x:v>no</x:v>
      </x:c>
      <x:c r="M998" s="1"/>
      <x:c r="N998" s="1"/>
      <x:c r="O998" s="1"/>
    </x:row>
    <x:row r="999">
      <x:c r="A999" s="1" t="str">
        <x:v>S0998</x:v>
      </x:c>
      <x:c r="B999" s="1" t="n">
        <x:v>40</x:v>
      </x:c>
      <x:c r="C999" s="1" t="str">
        <x:v>basic</x:v>
      </x:c>
      <x:c r="D999" s="8" t="n">
        <x:v>9.99</x:v>
      </x:c>
      <x:c r="E999" s="1" t="n">
        <x:v>0</x:v>
      </x:c>
      <x:c r="F999" s="1" t="n">
        <x:v>5</x:v>
      </x:c>
      <x:c r="G999" s="1" t="n">
        <x:v>3</x:v>
      </x:c>
      <x:c r="H999" s="1" t="n">
        <x:v>0</x:v>
      </x:c>
      <x:c r="I999" s="1" t="n">
        <x:v>0</x:v>
      </x:c>
      <x:c r="J999" s="1" t="str">
        <x:v>no</x:v>
      </x:c>
      <x:c r="K999" s="1" t="n">
        <x:f>2*H999+E999+IF(G999&gt;30,2,0)-IF(B999&gt;24,1,0)</x:f>
        <x:v>-1</x:v>
      </x:c>
      <x:c r="L999" s="1" t="str">
        <x:f>IF(K999&gt;=3,"yes","no")</x:f>
        <x:v>no</x:v>
      </x:c>
      <x:c r="M999" s="1"/>
      <x:c r="N999" s="1"/>
      <x:c r="O999" s="1"/>
    </x:row>
    <x:row r="1000">
      <x:c r="A1000" s="1" t="str">
        <x:v>S0999</x:v>
      </x:c>
      <x:c r="B1000" s="1" t="n">
        <x:v>38</x:v>
      </x:c>
      <x:c r="C1000" s="1" t="str">
        <x:v>premium</x:v>
      </x:c>
      <x:c r="D1000" s="8" t="n">
        <x:v>15.99</x:v>
      </x:c>
      <x:c r="E1000" s="1" t="n">
        <x:v>3</x:v>
      </x:c>
      <x:c r="F1000" s="1" t="n">
        <x:v>13</x:v>
      </x:c>
      <x:c r="G1000" s="1" t="n">
        <x:v>2</x:v>
      </x:c>
      <x:c r="H1000" s="1" t="n">
        <x:v>0</x:v>
      </x:c>
      <x:c r="I1000" s="1" t="n">
        <x:v>1</x:v>
      </x:c>
      <x:c r="J1000" s="1" t="str">
        <x:v>no</x:v>
      </x:c>
      <x:c r="K1000" s="1" t="n">
        <x:f>2*H1000+E1000+IF(G1000&gt;30,2,0)-IF(B1000&gt;24,1,0)</x:f>
        <x:v>2</x:v>
      </x:c>
      <x:c r="L1000" s="1" t="str">
        <x:f>IF(K1000&gt;=3,"yes","no")</x:f>
        <x:v>no</x:v>
      </x:c>
      <x:c r="M1000" s="1"/>
      <x:c r="N1000" s="1"/>
      <x:c r="O1000" s="1"/>
    </x:row>
    <x:row r="1001">
      <x:c r="A1001" s="1" t="str">
        <x:v>S1000</x:v>
      </x:c>
      <x:c r="B1001" s="1" t="n">
        <x:v>27</x:v>
      </x:c>
      <x:c r="C1001" s="1" t="str">
        <x:v>premium</x:v>
      </x:c>
      <x:c r="D1001" s="8" t="n">
        <x:v>15.99</x:v>
      </x:c>
      <x:c r="E1001" s="1" t="n">
        <x:v>1</x:v>
      </x:c>
      <x:c r="F1001" s="1" t="n">
        <x:v>20</x:v>
      </x:c>
      <x:c r="G1001" s="1" t="n">
        <x:v>7</x:v>
      </x:c>
      <x:c r="H1001" s="1" t="n">
        <x:v>0</x:v>
      </x:c>
      <x:c r="I1001" s="1" t="n">
        <x:v>0</x:v>
      </x:c>
      <x:c r="J1001" s="1" t="str">
        <x:v>no</x:v>
      </x:c>
      <x:c r="K1001" s="1" t="n">
        <x:f>2*H1001+E1001+IF(G1001&gt;30,2,0)-IF(B1001&gt;24,1,0)</x:f>
        <x:v>0</x:v>
      </x:c>
      <x:c r="L1001" s="1" t="str">
        <x:f>IF(K1001&gt;=3,"yes","no")</x:f>
        <x:v>no</x:v>
      </x:c>
      <x:c r="M1001" s="1"/>
      <x:c r="N1001" s="1"/>
      <x:c r="O1001" s="1"/>
    </x:row>
    <x:row r="1002">
      <x:c r="A1002" s="1" t="str">
        <x:v>S1001</x:v>
      </x:c>
      <x:c r="B1002" s="1" t="n">
        <x:v>27</x:v>
      </x:c>
      <x:c r="C1002" s="1" t="str">
        <x:v>premium</x:v>
      </x:c>
      <x:c r="D1002" s="8" t="n">
        <x:v>15.99</x:v>
      </x:c>
      <x:c r="E1002" s="1" t="n">
        <x:v>0</x:v>
      </x:c>
      <x:c r="F1002" s="1" t="n">
        <x:v>23</x:v>
      </x:c>
      <x:c r="G1002" s="1" t="n">
        <x:v>7</x:v>
      </x:c>
      <x:c r="H1002" s="1" t="n">
        <x:v>1</x:v>
      </x:c>
      <x:c r="I1002" s="1" t="n">
        <x:v>0</x:v>
      </x:c>
      <x:c r="J1002" s="1" t="str">
        <x:v>no</x:v>
      </x:c>
      <x:c r="K1002" s="1" t="n">
        <x:f>2*H1002+E1002+IF(G1002&gt;30,2,0)-IF(B1002&gt;24,1,0)</x:f>
        <x:v>1</x:v>
      </x:c>
      <x:c r="L1002" s="1" t="str">
        <x:f>IF(K1002&gt;=3,"yes","no")</x:f>
        <x:v>no</x:v>
      </x:c>
      <x:c r="M1002" s="1"/>
      <x:c r="N1002" s="1"/>
      <x:c r="O1002" s="1"/>
    </x:row>
    <x:row r="1003">
      <x:c r="A1003" s="1" t="str">
        <x:v>S1002</x:v>
      </x:c>
      <x:c r="B1003" s="1" t="n">
        <x:v>16</x:v>
      </x:c>
      <x:c r="C1003" s="1" t="str">
        <x:v>basic</x:v>
      </x:c>
      <x:c r="D1003" s="8" t="n">
        <x:v>9.99</x:v>
      </x:c>
      <x:c r="E1003" s="1" t="n">
        <x:v>0</x:v>
      </x:c>
      <x:c r="F1003" s="1" t="n">
        <x:v>18</x:v>
      </x:c>
      <x:c r="G1003" s="1" t="n">
        <x:v>5</x:v>
      </x:c>
      <x:c r="H1003" s="1" t="n">
        <x:v>0</x:v>
      </x:c>
      <x:c r="I1003" s="1" t="n">
        <x:v>1</x:v>
      </x:c>
      <x:c r="J1003" s="1" t="str">
        <x:v>no</x:v>
      </x:c>
      <x:c r="K1003" s="1" t="n">
        <x:f>2*H1003+E1003+IF(G1003&gt;30,2,0)-IF(B1003&gt;24,1,0)</x:f>
        <x:v>0</x:v>
      </x:c>
      <x:c r="L1003" s="1" t="str">
        <x:f>IF(K1003&gt;=3,"yes","no")</x:f>
        <x:v>no</x:v>
      </x:c>
      <x:c r="M1003" s="1"/>
      <x:c r="N1003" s="1"/>
      <x:c r="O1003" s="1"/>
    </x:row>
    <x:row r="1004">
      <x:c r="A1004" s="1" t="str">
        <x:v>S1003</x:v>
      </x:c>
      <x:c r="B1004" s="1" t="n">
        <x:v>11</x:v>
      </x:c>
      <x:c r="C1004" s="1" t="str">
        <x:v>basic</x:v>
      </x:c>
      <x:c r="D1004" s="8" t="n">
        <x:v>9.99</x:v>
      </x:c>
      <x:c r="E1004" s="1" t="n">
        <x:v>1</x:v>
      </x:c>
      <x:c r="F1004" s="1" t="n">
        <x:v>19</x:v>
      </x:c>
      <x:c r="G1004" s="1" t="n">
        <x:v>15</x:v>
      </x:c>
      <x:c r="H1004" s="1" t="n">
        <x:v>0</x:v>
      </x:c>
      <x:c r="I1004" s="1" t="n">
        <x:v>0</x:v>
      </x:c>
      <x:c r="J1004" s="1" t="str">
        <x:v>yes</x:v>
      </x:c>
      <x:c r="K1004" s="1" t="n">
        <x:f>2*H1004+E1004+IF(G1004&gt;30,2,0)-IF(B1004&gt;24,1,0)</x:f>
        <x:v>1</x:v>
      </x:c>
      <x:c r="L1004" s="1" t="str">
        <x:f>IF(K1004&gt;=3,"yes","no")</x:f>
        <x:v>no</x:v>
      </x:c>
      <x:c r="M1004" s="1"/>
      <x:c r="N1004" s="1"/>
      <x:c r="O1004" s="1"/>
    </x:row>
    <x:row r="1005">
      <x:c r="A1005" s="1" t="str">
        <x:v>S1004</x:v>
      </x:c>
      <x:c r="B1005" s="1" t="n">
        <x:v>9</x:v>
      </x:c>
      <x:c r="C1005" s="1" t="str">
        <x:v>premium</x:v>
      </x:c>
      <x:c r="D1005" s="8" t="n">
        <x:v>15.99</x:v>
      </x:c>
      <x:c r="E1005" s="1" t="n">
        <x:v>2</x:v>
      </x:c>
      <x:c r="F1005" s="1" t="n">
        <x:v>18</x:v>
      </x:c>
      <x:c r="G1005" s="1" t="n">
        <x:v>5</x:v>
      </x:c>
      <x:c r="H1005" s="1" t="n">
        <x:v>1</x:v>
      </x:c>
      <x:c r="I1005" s="1" t="n">
        <x:v>0</x:v>
      </x:c>
      <x:c r="J1005" s="1" t="str">
        <x:v>yes</x:v>
      </x:c>
      <x:c r="K1005" s="1" t="n">
        <x:f>2*H1005+E1005+IF(G1005&gt;30,2,0)-IF(B1005&gt;24,1,0)</x:f>
        <x:v>4</x:v>
      </x:c>
      <x:c r="L1005" s="1" t="str">
        <x:f>IF(K1005&gt;=3,"yes","no")</x:f>
        <x:v>yes</x:v>
      </x:c>
      <x:c r="M1005" s="1"/>
      <x:c r="N1005" s="1"/>
      <x:c r="O1005" s="1"/>
    </x:row>
    <x:row r="1006">
      <x:c r="A1006" s="1" t="str">
        <x:v>S1005</x:v>
      </x:c>
      <x:c r="B1006" s="1" t="n">
        <x:v>29</x:v>
      </x:c>
      <x:c r="C1006" s="1" t="str">
        <x:v>premium</x:v>
      </x:c>
      <x:c r="D1006" s="8" t="n">
        <x:v>15.99</x:v>
      </x:c>
      <x:c r="E1006" s="1" t="n">
        <x:v>1</x:v>
      </x:c>
      <x:c r="F1006" s="1" t="n">
        <x:v>24</x:v>
      </x:c>
      <x:c r="G1006" s="1" t="n">
        <x:v>7</x:v>
      </x:c>
      <x:c r="H1006" s="1" t="n">
        <x:v>0</x:v>
      </x:c>
      <x:c r="I1006" s="1" t="n">
        <x:v>0</x:v>
      </x:c>
      <x:c r="J1006" s="1" t="str">
        <x:v>no</x:v>
      </x:c>
      <x:c r="K1006" s="1" t="n">
        <x:f>2*H1006+E1006+IF(G1006&gt;30,2,0)-IF(B1006&gt;24,1,0)</x:f>
        <x:v>0</x:v>
      </x:c>
      <x:c r="L1006" s="1" t="str">
        <x:f>IF(K1006&gt;=3,"yes","no")</x:f>
        <x:v>no</x:v>
      </x:c>
      <x:c r="M1006" s="1"/>
      <x:c r="N1006" s="1"/>
      <x:c r="O1006" s="1"/>
    </x:row>
    <x:row r="1007">
      <x:c r="A1007" s="1" t="str">
        <x:v>S1006</x:v>
      </x:c>
      <x:c r="B1007" s="1" t="n">
        <x:v>17</x:v>
      </x:c>
      <x:c r="C1007" s="1" t="str">
        <x:v>premium</x:v>
      </x:c>
      <x:c r="D1007" s="8" t="n">
        <x:v>15.99</x:v>
      </x:c>
      <x:c r="E1007" s="1" t="n">
        <x:v>1</x:v>
      </x:c>
      <x:c r="F1007" s="1" t="n">
        <x:v>34</x:v>
      </x:c>
      <x:c r="G1007" s="1" t="n">
        <x:v>0</x:v>
      </x:c>
      <x:c r="H1007" s="1" t="n">
        <x:v>0</x:v>
      </x:c>
      <x:c r="I1007" s="1" t="n">
        <x:v>0</x:v>
      </x:c>
      <x:c r="J1007" s="1" t="str">
        <x:v>no</x:v>
      </x:c>
      <x:c r="K1007" s="1" t="n">
        <x:f>2*H1007+E1007+IF(G1007&gt;30,2,0)-IF(B1007&gt;24,1,0)</x:f>
        <x:v>1</x:v>
      </x:c>
      <x:c r="L1007" s="1" t="str">
        <x:f>IF(K1007&gt;=3,"yes","no")</x:f>
        <x:v>no</x:v>
      </x:c>
      <x:c r="M1007" s="1"/>
      <x:c r="N1007" s="1"/>
      <x:c r="O1007" s="1"/>
    </x:row>
    <x:row r="1008">
      <x:c r="A1008" s="1" t="str">
        <x:v>S1007</x:v>
      </x:c>
      <x:c r="B1008" s="1" t="n">
        <x:v>16</x:v>
      </x:c>
      <x:c r="C1008" s="1" t="str">
        <x:v>premium</x:v>
      </x:c>
      <x:c r="D1008" s="8" t="n">
        <x:v>15.99</x:v>
      </x:c>
      <x:c r="E1008" s="1" t="n">
        <x:v>1</x:v>
      </x:c>
      <x:c r="F1008" s="1" t="n">
        <x:v>30</x:v>
      </x:c>
      <x:c r="G1008" s="1" t="n">
        <x:v>4</x:v>
      </x:c>
      <x:c r="H1008" s="1" t="n">
        <x:v>0</x:v>
      </x:c>
      <x:c r="I1008" s="1" t="n">
        <x:v>1</x:v>
      </x:c>
      <x:c r="J1008" s="1" t="str">
        <x:v>no</x:v>
      </x:c>
      <x:c r="K1008" s="1" t="n">
        <x:f>2*H1008+E1008+IF(G1008&gt;30,2,0)-IF(B1008&gt;24,1,0)</x:f>
        <x:v>1</x:v>
      </x:c>
      <x:c r="L1008" s="1" t="str">
        <x:f>IF(K1008&gt;=3,"yes","no")</x:f>
        <x:v>no</x:v>
      </x:c>
      <x:c r="M1008" s="1"/>
      <x:c r="N1008" s="1"/>
      <x:c r="O1008" s="1"/>
    </x:row>
    <x:row r="1009">
      <x:c r="A1009" s="1" t="str">
        <x:v>S1008</x:v>
      </x:c>
      <x:c r="B1009" s="1" t="n">
        <x:v>17</x:v>
      </x:c>
      <x:c r="C1009" s="1" t="str">
        <x:v>basic</x:v>
      </x:c>
      <x:c r="D1009" s="8" t="n">
        <x:v>9.99</x:v>
      </x:c>
      <x:c r="E1009" s="1" t="n">
        <x:v>0</x:v>
      </x:c>
      <x:c r="F1009" s="1" t="n">
        <x:v>11</x:v>
      </x:c>
      <x:c r="G1009" s="1" t="n">
        <x:v>13</x:v>
      </x:c>
      <x:c r="H1009" s="1" t="n">
        <x:v>0</x:v>
      </x:c>
      <x:c r="I1009" s="1" t="n">
        <x:v>0</x:v>
      </x:c>
      <x:c r="J1009" s="1" t="str">
        <x:v>no</x:v>
      </x:c>
      <x:c r="K1009" s="1" t="n">
        <x:f>2*H1009+E1009+IF(G1009&gt;30,2,0)-IF(B1009&gt;24,1,0)</x:f>
        <x:v>0</x:v>
      </x:c>
      <x:c r="L1009" s="1" t="str">
        <x:f>IF(K1009&gt;=3,"yes","no")</x:f>
        <x:v>no</x:v>
      </x:c>
      <x:c r="M1009" s="1"/>
      <x:c r="N1009" s="1"/>
      <x:c r="O1009" s="1"/>
    </x:row>
    <x:row r="1010">
      <x:c r="A1010" s="1" t="str">
        <x:v>S1009</x:v>
      </x:c>
      <x:c r="B1010" s="1" t="n">
        <x:v>12</x:v>
      </x:c>
      <x:c r="C1010" s="1" t="str">
        <x:v>premium</x:v>
      </x:c>
      <x:c r="D1010" s="8" t="n">
        <x:v>15.99</x:v>
      </x:c>
      <x:c r="E1010" s="1" t="n">
        <x:v>0</x:v>
      </x:c>
      <x:c r="F1010" s="1" t="n">
        <x:v>25</x:v>
      </x:c>
      <x:c r="G1010" s="1" t="n">
        <x:v>1</x:v>
      </x:c>
      <x:c r="H1010" s="1" t="n">
        <x:v>0</x:v>
      </x:c>
      <x:c r="I1010" s="1" t="n">
        <x:v>0</x:v>
      </x:c>
      <x:c r="J1010" s="1" t="str">
        <x:v>no</x:v>
      </x:c>
      <x:c r="K1010" s="1" t="n">
        <x:f>2*H1010+E1010+IF(G1010&gt;30,2,0)-IF(B1010&gt;24,1,0)</x:f>
        <x:v>0</x:v>
      </x:c>
      <x:c r="L1010" s="1" t="str">
        <x:f>IF(K1010&gt;=3,"yes","no")</x:f>
        <x:v>no</x:v>
      </x:c>
      <x:c r="M1010" s="1"/>
      <x:c r="N1010" s="1"/>
      <x:c r="O1010" s="1"/>
    </x:row>
    <x:row r="1011">
      <x:c r="A1011" s="1" t="str">
        <x:v>S1010</x:v>
      </x:c>
      <x:c r="B1011" s="1" t="n">
        <x:v>36</x:v>
      </x:c>
      <x:c r="C1011" s="1" t="str">
        <x:v>premium</x:v>
      </x:c>
      <x:c r="D1011" s="8" t="n">
        <x:v>15.99</x:v>
      </x:c>
      <x:c r="E1011" s="1" t="n">
        <x:v>0</x:v>
      </x:c>
      <x:c r="F1011" s="1" t="n">
        <x:v>30</x:v>
      </x:c>
      <x:c r="G1011" s="1" t="n">
        <x:v>7</x:v>
      </x:c>
      <x:c r="H1011" s="1" t="n">
        <x:v>0</x:v>
      </x:c>
      <x:c r="I1011" s="1" t="n">
        <x:v>0</x:v>
      </x:c>
      <x:c r="J1011" s="1" t="str">
        <x:v>no</x:v>
      </x:c>
      <x:c r="K1011" s="1" t="n">
        <x:f>2*H1011+E1011+IF(G1011&gt;30,2,0)-IF(B1011&gt;24,1,0)</x:f>
        <x:v>-1</x:v>
      </x:c>
      <x:c r="L1011" s="1" t="str">
        <x:f>IF(K1011&gt;=3,"yes","no")</x:f>
        <x:v>no</x:v>
      </x:c>
      <x:c r="M1011" s="1"/>
      <x:c r="N1011" s="1"/>
      <x:c r="O1011" s="1"/>
    </x:row>
    <x:row r="1012">
      <x:c r="A1012" s="1" t="str">
        <x:v>S1011</x:v>
      </x:c>
      <x:c r="B1012" s="1" t="n">
        <x:v>27</x:v>
      </x:c>
      <x:c r="C1012" s="1" t="str">
        <x:v>basic</x:v>
      </x:c>
      <x:c r="D1012" s="8" t="n">
        <x:v>9.99</x:v>
      </x:c>
      <x:c r="E1012" s="1" t="n">
        <x:v>3</x:v>
      </x:c>
      <x:c r="F1012" s="1" t="n">
        <x:v>15</x:v>
      </x:c>
      <x:c r="G1012" s="1" t="n">
        <x:v>5</x:v>
      </x:c>
      <x:c r="H1012" s="1" t="n">
        <x:v>0</x:v>
      </x:c>
      <x:c r="I1012" s="1" t="n">
        <x:v>0</x:v>
      </x:c>
      <x:c r="J1012" s="1" t="str">
        <x:v>no</x:v>
      </x:c>
      <x:c r="K1012" s="1" t="n">
        <x:f>2*H1012+E1012+IF(G1012&gt;30,2,0)-IF(B1012&gt;24,1,0)</x:f>
        <x:v>2</x:v>
      </x:c>
      <x:c r="L1012" s="1" t="str">
        <x:f>IF(K1012&gt;=3,"yes","no")</x:f>
        <x:v>no</x:v>
      </x:c>
      <x:c r="M1012" s="1"/>
      <x:c r="N1012" s="1"/>
      <x:c r="O1012" s="1"/>
    </x:row>
    <x:row r="1013">
      <x:c r="A1013" s="1" t="str">
        <x:v>S1012</x:v>
      </x:c>
      <x:c r="B1013" s="1" t="n">
        <x:v>1</x:v>
      </x:c>
      <x:c r="C1013" s="1" t="str">
        <x:v>basic</x:v>
      </x:c>
      <x:c r="D1013" s="8" t="n">
        <x:v>9.99</x:v>
      </x:c>
      <x:c r="E1013" s="1" t="n">
        <x:v>0</x:v>
      </x:c>
      <x:c r="F1013" s="1" t="n">
        <x:v>1</x:v>
      </x:c>
      <x:c r="G1013" s="1" t="n">
        <x:v>11</x:v>
      </x:c>
      <x:c r="H1013" s="1" t="n">
        <x:v>2</x:v>
      </x:c>
      <x:c r="I1013" s="1" t="n">
        <x:v>0</x:v>
      </x:c>
      <x:c r="J1013" s="1" t="str">
        <x:v>yes</x:v>
      </x:c>
      <x:c r="K1013" s="1" t="n">
        <x:f>2*H1013+E1013+IF(G1013&gt;30,2,0)-IF(B1013&gt;24,1,0)</x:f>
        <x:v>4</x:v>
      </x:c>
      <x:c r="L1013" s="1" t="str">
        <x:f>IF(K1013&gt;=3,"yes","no")</x:f>
        <x:v>yes</x:v>
      </x:c>
      <x:c r="M1013" s="1"/>
      <x:c r="N1013" s="1"/>
      <x:c r="O1013" s="1"/>
    </x:row>
    <x:row r="1014">
      <x:c r="A1014" s="1" t="str">
        <x:v>S1013</x:v>
      </x:c>
      <x:c r="B1014" s="1" t="n">
        <x:v>47</x:v>
      </x:c>
      <x:c r="C1014" s="1" t="str">
        <x:v>basic</x:v>
      </x:c>
      <x:c r="D1014" s="8" t="n">
        <x:v>9.99</x:v>
      </x:c>
      <x:c r="E1014" s="1" t="n">
        <x:v>1</x:v>
      </x:c>
      <x:c r="F1014" s="1" t="n">
        <x:v>0</x:v>
      </x:c>
      <x:c r="G1014" s="1" t="n">
        <x:v>47</x:v>
      </x:c>
      <x:c r="H1014" s="1" t="n">
        <x:v>0</x:v>
      </x:c>
      <x:c r="I1014" s="1" t="n">
        <x:v>0</x:v>
      </x:c>
      <x:c r="J1014" s="1" t="str">
        <x:v>yes</x:v>
      </x:c>
      <x:c r="K1014" s="1" t="n">
        <x:f>2*H1014+E1014+IF(G1014&gt;30,2,0)-IF(B1014&gt;24,1,0)</x:f>
        <x:v>2</x:v>
      </x:c>
      <x:c r="L1014" s="1" t="str">
        <x:f>IF(K1014&gt;=3,"yes","no")</x:f>
        <x:v>no</x:v>
      </x:c>
      <x:c r="M1014" s="1"/>
      <x:c r="N1014" s="1"/>
      <x:c r="O1014" s="1"/>
    </x:row>
    <x:row r="1015">
      <x:c r="A1015" s="1" t="str">
        <x:v>S1014</x:v>
      </x:c>
      <x:c r="B1015" s="1" t="n">
        <x:v>48</x:v>
      </x:c>
      <x:c r="C1015" s="1" t="str">
        <x:v>basic</x:v>
      </x:c>
      <x:c r="D1015" s="8" t="n">
        <x:v>9.99</x:v>
      </x:c>
      <x:c r="E1015" s="1" t="n">
        <x:v>0</x:v>
      </x:c>
      <x:c r="F1015" s="1" t="n">
        <x:v>6</x:v>
      </x:c>
      <x:c r="G1015" s="1" t="n">
        <x:v>24</x:v>
      </x:c>
      <x:c r="H1015" s="1" t="n">
        <x:v>0</x:v>
      </x:c>
      <x:c r="I1015" s="1" t="n">
        <x:v>0</x:v>
      </x:c>
      <x:c r="J1015" s="1" t="str">
        <x:v>no</x:v>
      </x:c>
      <x:c r="K1015" s="1" t="n">
        <x:f>2*H1015+E1015+IF(G1015&gt;30,2,0)-IF(B1015&gt;24,1,0)</x:f>
        <x:v>-1</x:v>
      </x:c>
      <x:c r="L1015" s="1" t="str">
        <x:f>IF(K1015&gt;=3,"yes","no")</x:f>
        <x:v>no</x:v>
      </x:c>
      <x:c r="M1015" s="1"/>
      <x:c r="N1015" s="1"/>
      <x:c r="O1015" s="1"/>
    </x:row>
    <x:row r="1016">
      <x:c r="A1016" s="1" t="str">
        <x:v>S1015</x:v>
      </x:c>
      <x:c r="B1016" s="1" t="n">
        <x:v>40</x:v>
      </x:c>
      <x:c r="C1016" s="1" t="str">
        <x:v>basic</x:v>
      </x:c>
      <x:c r="D1016" s="8" t="n">
        <x:v>9.99</x:v>
      </x:c>
      <x:c r="E1016" s="1" t="n">
        <x:v>1</x:v>
      </x:c>
      <x:c r="F1016" s="1" t="n">
        <x:v>17</x:v>
      </x:c>
      <x:c r="G1016" s="1" t="n">
        <x:v>12</x:v>
      </x:c>
      <x:c r="H1016" s="1" t="n">
        <x:v>0</x:v>
      </x:c>
      <x:c r="I1016" s="1" t="n">
        <x:v>0</x:v>
      </x:c>
      <x:c r="J1016" s="1" t="str">
        <x:v>no</x:v>
      </x:c>
      <x:c r="K1016" s="1" t="n">
        <x:f>2*H1016+E1016+IF(G1016&gt;30,2,0)-IF(B1016&gt;24,1,0)</x:f>
        <x:v>0</x:v>
      </x:c>
      <x:c r="L1016" s="1" t="str">
        <x:f>IF(K1016&gt;=3,"yes","no")</x:f>
        <x:v>no</x:v>
      </x:c>
      <x:c r="M1016" s="1"/>
      <x:c r="N1016" s="1"/>
      <x:c r="O1016" s="1"/>
    </x:row>
    <x:row r="1017">
      <x:c r="A1017" s="1" t="str">
        <x:v>S1016</x:v>
      </x:c>
      <x:c r="B1017" s="1" t="n">
        <x:v>23</x:v>
      </x:c>
      <x:c r="C1017" s="1" t="str">
        <x:v>basic</x:v>
      </x:c>
      <x:c r="D1017" s="8" t="n">
        <x:v>9.99</x:v>
      </x:c>
      <x:c r="E1017" s="1" t="n">
        <x:v>2</x:v>
      </x:c>
      <x:c r="F1017" s="1" t="n">
        <x:v>21</x:v>
      </x:c>
      <x:c r="G1017" s="1" t="n">
        <x:v>0</x:v>
      </x:c>
      <x:c r="H1017" s="1" t="n">
        <x:v>0</x:v>
      </x:c>
      <x:c r="I1017" s="1" t="n">
        <x:v>1</x:v>
      </x:c>
      <x:c r="J1017" s="1" t="str">
        <x:v>no</x:v>
      </x:c>
      <x:c r="K1017" s="1" t="n">
        <x:f>2*H1017+E1017+IF(G1017&gt;30,2,0)-IF(B1017&gt;24,1,0)</x:f>
        <x:v>2</x:v>
      </x:c>
      <x:c r="L1017" s="1" t="str">
        <x:f>IF(K1017&gt;=3,"yes","no")</x:f>
        <x:v>no</x:v>
      </x:c>
      <x:c r="M1017" s="1"/>
      <x:c r="N1017" s="1"/>
      <x:c r="O1017" s="1"/>
    </x:row>
    <x:row r="1018">
      <x:c r="A1018" s="1" t="str">
        <x:v>S1017</x:v>
      </x:c>
      <x:c r="B1018" s="1" t="n">
        <x:v>25</x:v>
      </x:c>
      <x:c r="C1018" s="1" t="str">
        <x:v>premium</x:v>
      </x:c>
      <x:c r="D1018" s="8" t="n">
        <x:v>15.99</x:v>
      </x:c>
      <x:c r="E1018" s="1" t="n">
        <x:v>1</x:v>
      </x:c>
      <x:c r="F1018" s="1" t="n">
        <x:v>30</x:v>
      </x:c>
      <x:c r="G1018" s="1" t="n">
        <x:v>3</x:v>
      </x:c>
      <x:c r="H1018" s="1" t="n">
        <x:v>0</x:v>
      </x:c>
      <x:c r="I1018" s="1" t="n">
        <x:v>0</x:v>
      </x:c>
      <x:c r="J1018" s="1" t="str">
        <x:v>no</x:v>
      </x:c>
      <x:c r="K1018" s="1" t="n">
        <x:f>2*H1018+E1018+IF(G1018&gt;30,2,0)-IF(B1018&gt;24,1,0)</x:f>
        <x:v>0</x:v>
      </x:c>
      <x:c r="L1018" s="1" t="str">
        <x:f>IF(K1018&gt;=3,"yes","no")</x:f>
        <x:v>no</x:v>
      </x:c>
      <x:c r="M1018" s="1"/>
      <x:c r="N1018" s="1"/>
      <x:c r="O1018" s="1"/>
    </x:row>
    <x:row r="1019">
      <x:c r="A1019" s="1" t="str">
        <x:v>S1018</x:v>
      </x:c>
      <x:c r="B1019" s="1" t="n">
        <x:v>16</x:v>
      </x:c>
      <x:c r="C1019" s="1" t="str">
        <x:v>basic</x:v>
      </x:c>
      <x:c r="D1019" s="8" t="n">
        <x:v>9.99</x:v>
      </x:c>
      <x:c r="E1019" s="1" t="n">
        <x:v>0</x:v>
      </x:c>
      <x:c r="F1019" s="1" t="n">
        <x:v>4</x:v>
      </x:c>
      <x:c r="G1019" s="1" t="n">
        <x:v>1</x:v>
      </x:c>
      <x:c r="H1019" s="1" t="n">
        <x:v>0</x:v>
      </x:c>
      <x:c r="I1019" s="1" t="n">
        <x:v>1</x:v>
      </x:c>
      <x:c r="J1019" s="1" t="str">
        <x:v>no</x:v>
      </x:c>
      <x:c r="K1019" s="1" t="n">
        <x:f>2*H1019+E1019+IF(G1019&gt;30,2,0)-IF(B1019&gt;24,1,0)</x:f>
        <x:v>0</x:v>
      </x:c>
      <x:c r="L1019" s="1" t="str">
        <x:f>IF(K1019&gt;=3,"yes","no")</x:f>
        <x:v>no</x:v>
      </x:c>
      <x:c r="M1019" s="1"/>
      <x:c r="N1019" s="1"/>
      <x:c r="O1019" s="1"/>
    </x:row>
    <x:row r="1020">
      <x:c r="A1020" s="1" t="str">
        <x:v>S1019</x:v>
      </x:c>
      <x:c r="B1020" s="1" t="n">
        <x:v>30</x:v>
      </x:c>
      <x:c r="C1020" s="1" t="str">
        <x:v>basic</x:v>
      </x:c>
      <x:c r="D1020" s="8" t="n">
        <x:v>9.99</x:v>
      </x:c>
      <x:c r="E1020" s="1" t="n">
        <x:v>0</x:v>
      </x:c>
      <x:c r="F1020" s="1" t="n">
        <x:v>15</x:v>
      </x:c>
      <x:c r="G1020" s="1" t="n">
        <x:v>28</x:v>
      </x:c>
      <x:c r="H1020" s="1" t="n">
        <x:v>0</x:v>
      </x:c>
      <x:c r="I1020" s="1" t="n">
        <x:v>0</x:v>
      </x:c>
      <x:c r="J1020" s="1" t="str">
        <x:v>yes</x:v>
      </x:c>
      <x:c r="K1020" s="1" t="n">
        <x:f>2*H1020+E1020+IF(G1020&gt;30,2,0)-IF(B1020&gt;24,1,0)</x:f>
        <x:v>-1</x:v>
      </x:c>
      <x:c r="L1020" s="1" t="str">
        <x:f>IF(K1020&gt;=3,"yes","no")</x:f>
        <x:v>no</x:v>
      </x:c>
      <x:c r="M1020" s="1"/>
      <x:c r="N1020" s="1"/>
      <x:c r="O1020" s="1"/>
    </x:row>
    <x:row r="1021">
      <x:c r="A1021" s="1" t="str">
        <x:v>S1020</x:v>
      </x:c>
      <x:c r="B1021" s="1" t="n">
        <x:v>35</x:v>
      </x:c>
      <x:c r="C1021" s="1" t="str">
        <x:v>basic</x:v>
      </x:c>
      <x:c r="D1021" s="8" t="n">
        <x:v>9.99</x:v>
      </x:c>
      <x:c r="E1021" s="1" t="n">
        <x:v>0</x:v>
      </x:c>
      <x:c r="F1021" s="1" t="n">
        <x:v>12</x:v>
      </x:c>
      <x:c r="G1021" s="1" t="n">
        <x:v>29</x:v>
      </x:c>
      <x:c r="H1021" s="1" t="n">
        <x:v>0</x:v>
      </x:c>
      <x:c r="I1021" s="1" t="n">
        <x:v>0</x:v>
      </x:c>
      <x:c r="J1021" s="1" t="str">
        <x:v>no</x:v>
      </x:c>
      <x:c r="K1021" s="1" t="n">
        <x:f>2*H1021+E1021+IF(G1021&gt;30,2,0)-IF(B1021&gt;24,1,0)</x:f>
        <x:v>-1</x:v>
      </x:c>
      <x:c r="L1021" s="1" t="str">
        <x:f>IF(K1021&gt;=3,"yes","no")</x:f>
        <x:v>no</x:v>
      </x:c>
      <x:c r="M1021" s="1"/>
      <x:c r="N1021" s="1"/>
      <x:c r="O1021" s="1"/>
    </x:row>
    <x:row r="1022">
      <x:c r="A1022" s="1" t="str">
        <x:v>S1021</x:v>
      </x:c>
      <x:c r="B1022" s="1" t="n">
        <x:v>21</x:v>
      </x:c>
      <x:c r="C1022" s="1" t="str">
        <x:v>basic</x:v>
      </x:c>
      <x:c r="D1022" s="8" t="n">
        <x:v>9.99</x:v>
      </x:c>
      <x:c r="E1022" s="1" t="n">
        <x:v>0</x:v>
      </x:c>
      <x:c r="F1022" s="1" t="n">
        <x:v>0</x:v>
      </x:c>
      <x:c r="G1022" s="1" t="n">
        <x:v>35</x:v>
      </x:c>
      <x:c r="H1022" s="1" t="n">
        <x:v>0</x:v>
      </x:c>
      <x:c r="I1022" s="1" t="n">
        <x:v>0</x:v>
      </x:c>
      <x:c r="J1022" s="1" t="str">
        <x:v>yes</x:v>
      </x:c>
      <x:c r="K1022" s="1" t="n">
        <x:f>2*H1022+E1022+IF(G1022&gt;30,2,0)-IF(B1022&gt;24,1,0)</x:f>
        <x:v>2</x:v>
      </x:c>
      <x:c r="L1022" s="1" t="str">
        <x:f>IF(K1022&gt;=3,"yes","no")</x:f>
        <x:v>no</x:v>
      </x:c>
      <x:c r="M1022" s="1"/>
      <x:c r="N1022" s="1"/>
      <x:c r="O1022" s="1"/>
    </x:row>
    <x:row r="1023">
      <x:c r="A1023" s="1" t="str">
        <x:v>S1022</x:v>
      </x:c>
      <x:c r="B1023" s="1" t="n">
        <x:v>15</x:v>
      </x:c>
      <x:c r="C1023" s="1" t="str">
        <x:v>basic</x:v>
      </x:c>
      <x:c r="D1023" s="8" t="n">
        <x:v>9.99</x:v>
      </x:c>
      <x:c r="E1023" s="1" t="n">
        <x:v>0</x:v>
      </x:c>
      <x:c r="F1023" s="1" t="n">
        <x:v>0</x:v>
      </x:c>
      <x:c r="G1023" s="1" t="n">
        <x:v>33</x:v>
      </x:c>
      <x:c r="H1023" s="1" t="n">
        <x:v>0</x:v>
      </x:c>
      <x:c r="I1023" s="1" t="n">
        <x:v>1</x:v>
      </x:c>
      <x:c r="J1023" s="1" t="str">
        <x:v>yes</x:v>
      </x:c>
      <x:c r="K1023" s="1" t="n">
        <x:f>2*H1023+E1023+IF(G1023&gt;30,2,0)-IF(B1023&gt;24,1,0)</x:f>
        <x:v>2</x:v>
      </x:c>
      <x:c r="L1023" s="1" t="str">
        <x:f>IF(K1023&gt;=3,"yes","no")</x:f>
        <x:v>no</x:v>
      </x:c>
      <x:c r="M1023" s="1"/>
      <x:c r="N1023" s="1"/>
      <x:c r="O1023" s="1"/>
    </x:row>
    <x:row r="1024">
      <x:c r="A1024" s="1" t="str">
        <x:v>S1023</x:v>
      </x:c>
      <x:c r="B1024" s="1" t="n">
        <x:v>45</x:v>
      </x:c>
      <x:c r="C1024" s="1" t="str">
        <x:v>premium</x:v>
      </x:c>
      <x:c r="D1024" s="8" t="n">
        <x:v>15.99</x:v>
      </x:c>
      <x:c r="E1024" s="1" t="n">
        <x:v>0</x:v>
      </x:c>
      <x:c r="F1024" s="1" t="n">
        <x:v>11</x:v>
      </x:c>
      <x:c r="G1024" s="1" t="n">
        <x:v>16</x:v>
      </x:c>
      <x:c r="H1024" s="1" t="n">
        <x:v>0</x:v>
      </x:c>
      <x:c r="I1024" s="1" t="n">
        <x:v>0</x:v>
      </x:c>
      <x:c r="J1024" s="1" t="str">
        <x:v>no</x:v>
      </x:c>
      <x:c r="K1024" s="1" t="n">
        <x:f>2*H1024+E1024+IF(G1024&gt;30,2,0)-IF(B1024&gt;24,1,0)</x:f>
        <x:v>-1</x:v>
      </x:c>
      <x:c r="L1024" s="1" t="str">
        <x:f>IF(K1024&gt;=3,"yes","no")</x:f>
        <x:v>no</x:v>
      </x:c>
      <x:c r="M1024" s="1"/>
      <x:c r="N1024" s="1"/>
      <x:c r="O1024" s="1"/>
    </x:row>
    <x:row r="1025">
      <x:c r="A1025" s="1" t="str">
        <x:v>S1024</x:v>
      </x:c>
      <x:c r="B1025" s="1" t="n">
        <x:v>31</x:v>
      </x:c>
      <x:c r="C1025" s="1" t="str">
        <x:v>premium</x:v>
      </x:c>
      <x:c r="D1025" s="8" t="n">
        <x:v>15.99</x:v>
      </x:c>
      <x:c r="E1025" s="1" t="n">
        <x:v>0</x:v>
      </x:c>
      <x:c r="F1025" s="1" t="n">
        <x:v>14</x:v>
      </x:c>
      <x:c r="G1025" s="1" t="n">
        <x:v>1</x:v>
      </x:c>
      <x:c r="H1025" s="1" t="n">
        <x:v>0</x:v>
      </x:c>
      <x:c r="I1025" s="1" t="n">
        <x:v>0</x:v>
      </x:c>
      <x:c r="J1025" s="1" t="str">
        <x:v>no</x:v>
      </x:c>
      <x:c r="K1025" s="1" t="n">
        <x:f>2*H1025+E1025+IF(G1025&gt;30,2,0)-IF(B1025&gt;24,1,0)</x:f>
        <x:v>-1</x:v>
      </x:c>
      <x:c r="L1025" s="1" t="str">
        <x:f>IF(K1025&gt;=3,"yes","no")</x:f>
        <x:v>no</x:v>
      </x:c>
      <x:c r="M1025" s="1"/>
      <x:c r="N1025" s="1"/>
      <x:c r="O1025" s="1"/>
    </x:row>
    <x:row r="1026">
      <x:c r="A1026" s="1" t="str">
        <x:v>S1025</x:v>
      </x:c>
      <x:c r="B1026" s="1" t="n">
        <x:v>9</x:v>
      </x:c>
      <x:c r="C1026" s="1" t="str">
        <x:v>basic</x:v>
      </x:c>
      <x:c r="D1026" s="8" t="n">
        <x:v>9.99</x:v>
      </x:c>
      <x:c r="E1026" s="1" t="n">
        <x:v>0</x:v>
      </x:c>
      <x:c r="F1026" s="1" t="n">
        <x:v>19</x:v>
      </x:c>
      <x:c r="G1026" s="1" t="n">
        <x:v>0</x:v>
      </x:c>
      <x:c r="H1026" s="1" t="n">
        <x:v>0</x:v>
      </x:c>
      <x:c r="I1026" s="1" t="n">
        <x:v>0</x:v>
      </x:c>
      <x:c r="J1026" s="1" t="str">
        <x:v>no</x:v>
      </x:c>
      <x:c r="K1026" s="1" t="n">
        <x:f>2*H1026+E1026+IF(G1026&gt;30,2,0)-IF(B1026&gt;24,1,0)</x:f>
        <x:v>0</x:v>
      </x:c>
      <x:c r="L1026" s="1" t="str">
        <x:f>IF(K1026&gt;=3,"yes","no")</x:f>
        <x:v>no</x:v>
      </x:c>
      <x:c r="M1026" s="1"/>
      <x:c r="N1026" s="1"/>
      <x:c r="O1026" s="1"/>
    </x:row>
    <x:row r="1027">
      <x:c r="A1027" s="1" t="str">
        <x:v>S1026</x:v>
      </x:c>
      <x:c r="B1027" s="1" t="n">
        <x:v>36</x:v>
      </x:c>
      <x:c r="C1027" s="1" t="str">
        <x:v>premium</x:v>
      </x:c>
      <x:c r="D1027" s="8" t="n">
        <x:v>15.99</x:v>
      </x:c>
      <x:c r="E1027" s="1" t="n">
        <x:v>3</x:v>
      </x:c>
      <x:c r="F1027" s="1" t="n">
        <x:v>1</x:v>
      </x:c>
      <x:c r="G1027" s="1" t="n">
        <x:v>26</x:v>
      </x:c>
      <x:c r="H1027" s="1" t="n">
        <x:v>0</x:v>
      </x:c>
      <x:c r="I1027" s="1" t="n">
        <x:v>1</x:v>
      </x:c>
      <x:c r="J1027" s="1" t="str">
        <x:v>no</x:v>
      </x:c>
      <x:c r="K1027" s="1" t="n">
        <x:f>2*H1027+E1027+IF(G1027&gt;30,2,0)-IF(B1027&gt;24,1,0)</x:f>
        <x:v>2</x:v>
      </x:c>
      <x:c r="L1027" s="1" t="str">
        <x:f>IF(K1027&gt;=3,"yes","no")</x:f>
        <x:v>no</x:v>
      </x:c>
      <x:c r="M1027" s="1"/>
      <x:c r="N1027" s="1"/>
      <x:c r="O1027" s="1"/>
    </x:row>
    <x:row r="1028">
      <x:c r="A1028" s="1" t="str">
        <x:v>S1027</x:v>
      </x:c>
      <x:c r="B1028" s="1" t="n">
        <x:v>27</x:v>
      </x:c>
      <x:c r="C1028" s="1" t="str">
        <x:v>basic</x:v>
      </x:c>
      <x:c r="D1028" s="8" t="n">
        <x:v>9.99</x:v>
      </x:c>
      <x:c r="E1028" s="1" t="n">
        <x:v>2</x:v>
      </x:c>
      <x:c r="F1028" s="1" t="n">
        <x:v>0</x:v>
      </x:c>
      <x:c r="G1028" s="1" t="n">
        <x:v>35</x:v>
      </x:c>
      <x:c r="H1028" s="1" t="n">
        <x:v>0</x:v>
      </x:c>
      <x:c r="I1028" s="1" t="n">
        <x:v>0</x:v>
      </x:c>
      <x:c r="J1028" s="1" t="str">
        <x:v>no</x:v>
      </x:c>
      <x:c r="K1028" s="1" t="n">
        <x:f>2*H1028+E1028+IF(G1028&gt;30,2,0)-IF(B1028&gt;24,1,0)</x:f>
        <x:v>3</x:v>
      </x:c>
      <x:c r="L1028" s="1" t="str">
        <x:f>IF(K1028&gt;=3,"yes","no")</x:f>
        <x:v>yes</x:v>
      </x:c>
      <x:c r="M1028" s="1"/>
      <x:c r="N1028" s="1"/>
      <x:c r="O1028" s="1"/>
    </x:row>
    <x:row r="1029">
      <x:c r="A1029" s="1" t="str">
        <x:v>S1028</x:v>
      </x:c>
      <x:c r="B1029" s="1" t="n">
        <x:v>12</x:v>
      </x:c>
      <x:c r="C1029" s="1" t="str">
        <x:v>basic</x:v>
      </x:c>
      <x:c r="D1029" s="8" t="n">
        <x:v>9.99</x:v>
      </x:c>
      <x:c r="E1029" s="1" t="n">
        <x:v>2</x:v>
      </x:c>
      <x:c r="F1029" s="1" t="n">
        <x:v>19</x:v>
      </x:c>
      <x:c r="G1029" s="1" t="n">
        <x:v>6</x:v>
      </x:c>
      <x:c r="H1029" s="1" t="n">
        <x:v>0</x:v>
      </x:c>
      <x:c r="I1029" s="1" t="n">
        <x:v>0</x:v>
      </x:c>
      <x:c r="J1029" s="1" t="str">
        <x:v>no</x:v>
      </x:c>
      <x:c r="K1029" s="1" t="n">
        <x:f>2*H1029+E1029+IF(G1029&gt;30,2,0)-IF(B1029&gt;24,1,0)</x:f>
        <x:v>2</x:v>
      </x:c>
      <x:c r="L1029" s="1" t="str">
        <x:f>IF(K1029&gt;=3,"yes","no")</x:f>
        <x:v>no</x:v>
      </x:c>
      <x:c r="M1029" s="1"/>
      <x:c r="N1029" s="1"/>
      <x:c r="O1029" s="1"/>
    </x:row>
    <x:row r="1030">
      <x:c r="A1030" s="1" t="str">
        <x:v>S1029</x:v>
      </x:c>
      <x:c r="B1030" s="1" t="n">
        <x:v>30</x:v>
      </x:c>
      <x:c r="C1030" s="1" t="str">
        <x:v>basic</x:v>
      </x:c>
      <x:c r="D1030" s="8" t="n">
        <x:v>9.99</x:v>
      </x:c>
      <x:c r="E1030" s="1" t="n">
        <x:v>3</x:v>
      </x:c>
      <x:c r="F1030" s="1" t="n">
        <x:v>5</x:v>
      </x:c>
      <x:c r="G1030" s="1" t="n">
        <x:v>14</x:v>
      </x:c>
      <x:c r="H1030" s="1" t="n">
        <x:v>0</x:v>
      </x:c>
      <x:c r="I1030" s="1" t="n">
        <x:v>0</x:v>
      </x:c>
      <x:c r="J1030" s="1" t="str">
        <x:v>no</x:v>
      </x:c>
      <x:c r="K1030" s="1" t="n">
        <x:f>2*H1030+E1030+IF(G1030&gt;30,2,0)-IF(B1030&gt;24,1,0)</x:f>
        <x:v>2</x:v>
      </x:c>
      <x:c r="L1030" s="1" t="str">
        <x:f>IF(K1030&gt;=3,"yes","no")</x:f>
        <x:v>no</x:v>
      </x:c>
      <x:c r="M1030" s="1"/>
      <x:c r="N1030" s="1"/>
      <x:c r="O1030" s="1"/>
    </x:row>
    <x:row r="1031">
      <x:c r="A1031" s="1" t="str">
        <x:v>S1030</x:v>
      </x:c>
      <x:c r="B1031" s="1" t="n">
        <x:v>5</x:v>
      </x:c>
      <x:c r="C1031" s="1" t="str">
        <x:v>premium</x:v>
      </x:c>
      <x:c r="D1031" s="8" t="n">
        <x:v>15.99</x:v>
      </x:c>
      <x:c r="E1031" s="1" t="n">
        <x:v>1</x:v>
      </x:c>
      <x:c r="F1031" s="1" t="n">
        <x:v>6</x:v>
      </x:c>
      <x:c r="G1031" s="1" t="n">
        <x:v>20</x:v>
      </x:c>
      <x:c r="H1031" s="1" t="n">
        <x:v>0</x:v>
      </x:c>
      <x:c r="I1031" s="1" t="n">
        <x:v>0</x:v>
      </x:c>
      <x:c r="J1031" s="1" t="str">
        <x:v>yes</x:v>
      </x:c>
      <x:c r="K1031" s="1" t="n">
        <x:f>2*H1031+E1031+IF(G1031&gt;30,2,0)-IF(B1031&gt;24,1,0)</x:f>
        <x:v>1</x:v>
      </x:c>
      <x:c r="L1031" s="1" t="str">
        <x:f>IF(K1031&gt;=3,"yes","no")</x:f>
        <x:v>no</x:v>
      </x:c>
      <x:c r="M1031" s="1"/>
      <x:c r="N1031" s="1"/>
      <x:c r="O1031" s="1"/>
    </x:row>
    <x:row r="1032">
      <x:c r="A1032" s="1" t="str">
        <x:v>S1031</x:v>
      </x:c>
      <x:c r="B1032" s="1" t="n">
        <x:v>42</x:v>
      </x:c>
      <x:c r="C1032" s="1" t="str">
        <x:v>premium</x:v>
      </x:c>
      <x:c r="D1032" s="8" t="n">
        <x:v>15.99</x:v>
      </x:c>
      <x:c r="E1032" s="1" t="n">
        <x:v>0</x:v>
      </x:c>
      <x:c r="F1032" s="1" t="n">
        <x:v>28</x:v>
      </x:c>
      <x:c r="G1032" s="1" t="n">
        <x:v>1</x:v>
      </x:c>
      <x:c r="H1032" s="1" t="n">
        <x:v>0</x:v>
      </x:c>
      <x:c r="I1032" s="1" t="n">
        <x:v>1</x:v>
      </x:c>
      <x:c r="J1032" s="1" t="str">
        <x:v>no</x:v>
      </x:c>
      <x:c r="K1032" s="1" t="n">
        <x:f>2*H1032+E1032+IF(G1032&gt;30,2,0)-IF(B1032&gt;24,1,0)</x:f>
        <x:v>-1</x:v>
      </x:c>
      <x:c r="L1032" s="1" t="str">
        <x:f>IF(K1032&gt;=3,"yes","no")</x:f>
        <x:v>no</x:v>
      </x:c>
      <x:c r="M1032" s="1"/>
      <x:c r="N1032" s="1"/>
      <x:c r="O1032" s="1"/>
    </x:row>
    <x:row r="1033">
      <x:c r="A1033" s="1" t="str">
        <x:v>S1032</x:v>
      </x:c>
      <x:c r="B1033" s="1" t="n">
        <x:v>15</x:v>
      </x:c>
      <x:c r="C1033" s="1" t="str">
        <x:v>premium</x:v>
      </x:c>
      <x:c r="D1033" s="8" t="n">
        <x:v>15.99</x:v>
      </x:c>
      <x:c r="E1033" s="1" t="n">
        <x:v>0</x:v>
      </x:c>
      <x:c r="F1033" s="1" t="n">
        <x:v>0</x:v>
      </x:c>
      <x:c r="G1033" s="1" t="n">
        <x:v>31</x:v>
      </x:c>
      <x:c r="H1033" s="1" t="n">
        <x:v>0</x:v>
      </x:c>
      <x:c r="I1033" s="1" t="n">
        <x:v>1</x:v>
      </x:c>
      <x:c r="J1033" s="1" t="str">
        <x:v>no</x:v>
      </x:c>
      <x:c r="K1033" s="1" t="n">
        <x:f>2*H1033+E1033+IF(G1033&gt;30,2,0)-IF(B1033&gt;24,1,0)</x:f>
        <x:v>2</x:v>
      </x:c>
      <x:c r="L1033" s="1" t="str">
        <x:f>IF(K1033&gt;=3,"yes","no")</x:f>
        <x:v>no</x:v>
      </x:c>
      <x:c r="M1033" s="1"/>
      <x:c r="N1033" s="1"/>
      <x:c r="O1033" s="1"/>
    </x:row>
    <x:row r="1034">
      <x:c r="A1034" s="1" t="str">
        <x:v>S1033</x:v>
      </x:c>
      <x:c r="B1034" s="1" t="n">
        <x:v>8</x:v>
      </x:c>
      <x:c r="C1034" s="1" t="str">
        <x:v>basic</x:v>
      </x:c>
      <x:c r="D1034" s="8" t="n">
        <x:v>9.99</x:v>
      </x:c>
      <x:c r="E1034" s="1" t="n">
        <x:v>1</x:v>
      </x:c>
      <x:c r="F1034" s="1" t="n">
        <x:v>18</x:v>
      </x:c>
      <x:c r="G1034" s="1" t="n">
        <x:v>4</x:v>
      </x:c>
      <x:c r="H1034" s="1" t="n">
        <x:v>0</x:v>
      </x:c>
      <x:c r="I1034" s="1" t="n">
        <x:v>1</x:v>
      </x:c>
      <x:c r="J1034" s="1" t="str">
        <x:v>no</x:v>
      </x:c>
      <x:c r="K1034" s="1" t="n">
        <x:f>2*H1034+E1034+IF(G1034&gt;30,2,0)-IF(B1034&gt;24,1,0)</x:f>
        <x:v>1</x:v>
      </x:c>
      <x:c r="L1034" s="1" t="str">
        <x:f>IF(K1034&gt;=3,"yes","no")</x:f>
        <x:v>no</x:v>
      </x:c>
      <x:c r="M1034" s="1"/>
      <x:c r="N1034" s="1"/>
      <x:c r="O1034" s="1"/>
    </x:row>
    <x:row r="1035">
      <x:c r="A1035" s="1" t="str">
        <x:v>S1034</x:v>
      </x:c>
      <x:c r="B1035" s="1" t="n">
        <x:v>30</x:v>
      </x:c>
      <x:c r="C1035" s="1" t="str">
        <x:v>basic</x:v>
      </x:c>
      <x:c r="D1035" s="8" t="n">
        <x:v>9.99</x:v>
      </x:c>
      <x:c r="E1035" s="1" t="n">
        <x:v>3</x:v>
      </x:c>
      <x:c r="F1035" s="1" t="n">
        <x:v>1</x:v>
      </x:c>
      <x:c r="G1035" s="1" t="n">
        <x:v>21</x:v>
      </x:c>
      <x:c r="H1035" s="1" t="n">
        <x:v>0</x:v>
      </x:c>
      <x:c r="I1035" s="1" t="n">
        <x:v>0</x:v>
      </x:c>
      <x:c r="J1035" s="1" t="str">
        <x:v>no</x:v>
      </x:c>
      <x:c r="K1035" s="1" t="n">
        <x:f>2*H1035+E1035+IF(G1035&gt;30,2,0)-IF(B1035&gt;24,1,0)</x:f>
        <x:v>2</x:v>
      </x:c>
      <x:c r="L1035" s="1" t="str">
        <x:f>IF(K1035&gt;=3,"yes","no")</x:f>
        <x:v>no</x:v>
      </x:c>
      <x:c r="M1035" s="1"/>
      <x:c r="N1035" s="1"/>
      <x:c r="O1035" s="1"/>
    </x:row>
    <x:row r="1036">
      <x:c r="A1036" s="1" t="str">
        <x:v>S1035</x:v>
      </x:c>
      <x:c r="B1036" s="1" t="n">
        <x:v>14</x:v>
      </x:c>
      <x:c r="C1036" s="1" t="str">
        <x:v>basic</x:v>
      </x:c>
      <x:c r="D1036" s="8" t="n">
        <x:v>9.99</x:v>
      </x:c>
      <x:c r="E1036" s="1" t="n">
        <x:v>0</x:v>
      </x:c>
      <x:c r="F1036" s="1" t="n">
        <x:v>6</x:v>
      </x:c>
      <x:c r="G1036" s="1" t="n">
        <x:v>27</x:v>
      </x:c>
      <x:c r="H1036" s="1" t="n">
        <x:v>0</x:v>
      </x:c>
      <x:c r="I1036" s="1" t="n">
        <x:v>1</x:v>
      </x:c>
      <x:c r="J1036" s="1" t="str">
        <x:v>no</x:v>
      </x:c>
      <x:c r="K1036" s="1" t="n">
        <x:f>2*H1036+E1036+IF(G1036&gt;30,2,0)-IF(B1036&gt;24,1,0)</x:f>
        <x:v>0</x:v>
      </x:c>
      <x:c r="L1036" s="1" t="str">
        <x:f>IF(K1036&gt;=3,"yes","no")</x:f>
        <x:v>no</x:v>
      </x:c>
      <x:c r="M1036" s="1"/>
      <x:c r="N1036" s="1"/>
      <x:c r="O1036" s="1"/>
    </x:row>
    <x:row r="1037">
      <x:c r="A1037" s="1" t="str">
        <x:v>S1036</x:v>
      </x:c>
      <x:c r="B1037" s="1" t="n">
        <x:v>33</x:v>
      </x:c>
      <x:c r="C1037" s="1" t="str">
        <x:v>basic</x:v>
      </x:c>
      <x:c r="D1037" s="8" t="n">
        <x:v>9.99</x:v>
      </x:c>
      <x:c r="E1037" s="1" t="n">
        <x:v>1</x:v>
      </x:c>
      <x:c r="F1037" s="1" t="n">
        <x:v>14</x:v>
      </x:c>
      <x:c r="G1037" s="1" t="n">
        <x:v>23</x:v>
      </x:c>
      <x:c r="H1037" s="1" t="n">
        <x:v>0</x:v>
      </x:c>
      <x:c r="I1037" s="1" t="n">
        <x:v>0</x:v>
      </x:c>
      <x:c r="J1037" s="1" t="str">
        <x:v>no</x:v>
      </x:c>
      <x:c r="K1037" s="1" t="n">
        <x:f>2*H1037+E1037+IF(G1037&gt;30,2,0)-IF(B1037&gt;24,1,0)</x:f>
        <x:v>0</x:v>
      </x:c>
      <x:c r="L1037" s="1" t="str">
        <x:f>IF(K1037&gt;=3,"yes","no")</x:f>
        <x:v>no</x:v>
      </x:c>
      <x:c r="M1037" s="1"/>
      <x:c r="N1037" s="1"/>
      <x:c r="O1037" s="1"/>
    </x:row>
    <x:row r="1038">
      <x:c r="A1038" s="1" t="str">
        <x:v>S1037</x:v>
      </x:c>
      <x:c r="B1038" s="1" t="n">
        <x:v>4</x:v>
      </x:c>
      <x:c r="C1038" s="1" t="str">
        <x:v>premium</x:v>
      </x:c>
      <x:c r="D1038" s="8" t="n">
        <x:v>15.99</x:v>
      </x:c>
      <x:c r="E1038" s="1" t="n">
        <x:v>1</x:v>
      </x:c>
      <x:c r="F1038" s="1" t="n">
        <x:v>18</x:v>
      </x:c>
      <x:c r="G1038" s="1" t="n">
        <x:v>0</x:v>
      </x:c>
      <x:c r="H1038" s="1" t="n">
        <x:v>0</x:v>
      </x:c>
      <x:c r="I1038" s="1" t="n">
        <x:v>1</x:v>
      </x:c>
      <x:c r="J1038" s="1" t="str">
        <x:v>no</x:v>
      </x:c>
      <x:c r="K1038" s="1" t="n">
        <x:f>2*H1038+E1038+IF(G1038&gt;30,2,0)-IF(B1038&gt;24,1,0)</x:f>
        <x:v>1</x:v>
      </x:c>
      <x:c r="L1038" s="1" t="str">
        <x:f>IF(K1038&gt;=3,"yes","no")</x:f>
        <x:v>no</x:v>
      </x:c>
      <x:c r="M1038" s="1"/>
      <x:c r="N1038" s="1"/>
      <x:c r="O1038" s="1"/>
    </x:row>
    <x:row r="1039">
      <x:c r="A1039" s="1" t="str">
        <x:v>S1038</x:v>
      </x:c>
      <x:c r="B1039" s="1" t="n">
        <x:v>39</x:v>
      </x:c>
      <x:c r="C1039" s="1" t="str">
        <x:v>basic</x:v>
      </x:c>
      <x:c r="D1039" s="8" t="n">
        <x:v>9.99</x:v>
      </x:c>
      <x:c r="E1039" s="1" t="n">
        <x:v>1</x:v>
      </x:c>
      <x:c r="F1039" s="1" t="n">
        <x:v>18</x:v>
      </x:c>
      <x:c r="G1039" s="1" t="n">
        <x:v>5</x:v>
      </x:c>
      <x:c r="H1039" s="1" t="n">
        <x:v>0</x:v>
      </x:c>
      <x:c r="I1039" s="1" t="n">
        <x:v>0</x:v>
      </x:c>
      <x:c r="J1039" s="1" t="str">
        <x:v>no</x:v>
      </x:c>
      <x:c r="K1039" s="1" t="n">
        <x:f>2*H1039+E1039+IF(G1039&gt;30,2,0)-IF(B1039&gt;24,1,0)</x:f>
        <x:v>0</x:v>
      </x:c>
      <x:c r="L1039" s="1" t="str">
        <x:f>IF(K1039&gt;=3,"yes","no")</x:f>
        <x:v>no</x:v>
      </x:c>
      <x:c r="M1039" s="1"/>
      <x:c r="N1039" s="1"/>
      <x:c r="O1039" s="1"/>
    </x:row>
    <x:row r="1040">
      <x:c r="A1040" s="1" t="str">
        <x:v>S1039</x:v>
      </x:c>
      <x:c r="B1040" s="1" t="n">
        <x:v>47</x:v>
      </x:c>
      <x:c r="C1040" s="1" t="str">
        <x:v>premium</x:v>
      </x:c>
      <x:c r="D1040" s="8" t="n">
        <x:v>15.99</x:v>
      </x:c>
      <x:c r="E1040" s="1" t="n">
        <x:v>0</x:v>
      </x:c>
      <x:c r="F1040" s="1" t="n">
        <x:v>11</x:v>
      </x:c>
      <x:c r="G1040" s="1" t="n">
        <x:v>12</x:v>
      </x:c>
      <x:c r="H1040" s="1" t="n">
        <x:v>0</x:v>
      </x:c>
      <x:c r="I1040" s="1" t="n">
        <x:v>0</x:v>
      </x:c>
      <x:c r="J1040" s="1" t="str">
        <x:v>no</x:v>
      </x:c>
      <x:c r="K1040" s="1" t="n">
        <x:f>2*H1040+E1040+IF(G1040&gt;30,2,0)-IF(B1040&gt;24,1,0)</x:f>
        <x:v>-1</x:v>
      </x:c>
      <x:c r="L1040" s="1" t="str">
        <x:f>IF(K1040&gt;=3,"yes","no")</x:f>
        <x:v>no</x:v>
      </x:c>
      <x:c r="M1040" s="1"/>
      <x:c r="N1040" s="1"/>
      <x:c r="O1040" s="1"/>
    </x:row>
    <x:row r="1041">
      <x:c r="A1041" s="1" t="str">
        <x:v>S1040</x:v>
      </x:c>
      <x:c r="B1041" s="1" t="n">
        <x:v>38</x:v>
      </x:c>
      <x:c r="C1041" s="1" t="str">
        <x:v>premium</x:v>
      </x:c>
      <x:c r="D1041" s="8" t="n">
        <x:v>15.99</x:v>
      </x:c>
      <x:c r="E1041" s="1" t="n">
        <x:v>0</x:v>
      </x:c>
      <x:c r="F1041" s="1" t="n">
        <x:v>27</x:v>
      </x:c>
      <x:c r="G1041" s="1" t="n">
        <x:v>4</x:v>
      </x:c>
      <x:c r="H1041" s="1" t="n">
        <x:v>0</x:v>
      </x:c>
      <x:c r="I1041" s="1" t="n">
        <x:v>0</x:v>
      </x:c>
      <x:c r="J1041" s="1" t="str">
        <x:v>no</x:v>
      </x:c>
      <x:c r="K1041" s="1" t="n">
        <x:f>2*H1041+E1041+IF(G1041&gt;30,2,0)-IF(B1041&gt;24,1,0)</x:f>
        <x:v>-1</x:v>
      </x:c>
      <x:c r="L1041" s="1" t="str">
        <x:f>IF(K1041&gt;=3,"yes","no")</x:f>
        <x:v>no</x:v>
      </x:c>
      <x:c r="M1041" s="1"/>
      <x:c r="N1041" s="1"/>
      <x:c r="O1041" s="1"/>
    </x:row>
    <x:row r="1042">
      <x:c r="A1042" s="1" t="str">
        <x:v>S1041</x:v>
      </x:c>
      <x:c r="B1042" s="1" t="n">
        <x:v>24</x:v>
      </x:c>
      <x:c r="C1042" s="1" t="str">
        <x:v>premium</x:v>
      </x:c>
      <x:c r="D1042" s="8" t="n">
        <x:v>15.99</x:v>
      </x:c>
      <x:c r="E1042" s="1" t="n">
        <x:v>4</x:v>
      </x:c>
      <x:c r="F1042" s="1" t="n">
        <x:v>15</x:v>
      </x:c>
      <x:c r="G1042" s="1" t="n">
        <x:v>6</x:v>
      </x:c>
      <x:c r="H1042" s="1" t="n">
        <x:v>0</x:v>
      </x:c>
      <x:c r="I1042" s="1" t="n">
        <x:v>0</x:v>
      </x:c>
      <x:c r="J1042" s="1" t="str">
        <x:v>no</x:v>
      </x:c>
      <x:c r="K1042" s="1" t="n">
        <x:f>2*H1042+E1042+IF(G1042&gt;30,2,0)-IF(B1042&gt;24,1,0)</x:f>
        <x:v>4</x:v>
      </x:c>
      <x:c r="L1042" s="1" t="str">
        <x:f>IF(K1042&gt;=3,"yes","no")</x:f>
        <x:v>yes</x:v>
      </x:c>
      <x:c r="M1042" s="1"/>
      <x:c r="N1042" s="1"/>
      <x:c r="O1042" s="1"/>
    </x:row>
    <x:row r="1043">
      <x:c r="A1043" s="1" t="str">
        <x:v>S1042</x:v>
      </x:c>
      <x:c r="B1043" s="1" t="n">
        <x:v>42</x:v>
      </x:c>
      <x:c r="C1043" s="1" t="str">
        <x:v>basic</x:v>
      </x:c>
      <x:c r="D1043" s="8" t="n">
        <x:v>9.99</x:v>
      </x:c>
      <x:c r="E1043" s="1" t="n">
        <x:v>0</x:v>
      </x:c>
      <x:c r="F1043" s="1" t="n">
        <x:v>5</x:v>
      </x:c>
      <x:c r="G1043" s="1" t="n">
        <x:v>17</x:v>
      </x:c>
      <x:c r="H1043" s="1" t="n">
        <x:v>0</x:v>
      </x:c>
      <x:c r="I1043" s="1" t="n">
        <x:v>0</x:v>
      </x:c>
      <x:c r="J1043" s="1" t="str">
        <x:v>no</x:v>
      </x:c>
      <x:c r="K1043" s="1" t="n">
        <x:f>2*H1043+E1043+IF(G1043&gt;30,2,0)-IF(B1043&gt;24,1,0)</x:f>
        <x:v>-1</x:v>
      </x:c>
      <x:c r="L1043" s="1" t="str">
        <x:f>IF(K1043&gt;=3,"yes","no")</x:f>
        <x:v>no</x:v>
      </x:c>
      <x:c r="M1043" s="1"/>
      <x:c r="N1043" s="1"/>
      <x:c r="O1043" s="1"/>
    </x:row>
    <x:row r="1044">
      <x:c r="A1044" s="1" t="str">
        <x:v>S1043</x:v>
      </x:c>
      <x:c r="B1044" s="1" t="n">
        <x:v>44</x:v>
      </x:c>
      <x:c r="C1044" s="1" t="str">
        <x:v>basic</x:v>
      </x:c>
      <x:c r="D1044" s="8" t="n">
        <x:v>9.99</x:v>
      </x:c>
      <x:c r="E1044" s="1" t="n">
        <x:v>1</x:v>
      </x:c>
      <x:c r="F1044" s="1" t="n">
        <x:v>20</x:v>
      </x:c>
      <x:c r="G1044" s="1" t="n">
        <x:v>7</x:v>
      </x:c>
      <x:c r="H1044" s="1" t="n">
        <x:v>0</x:v>
      </x:c>
      <x:c r="I1044" s="1" t="n">
        <x:v>0</x:v>
      </x:c>
      <x:c r="J1044" s="1" t="str">
        <x:v>no</x:v>
      </x:c>
      <x:c r="K1044" s="1" t="n">
        <x:f>2*H1044+E1044+IF(G1044&gt;30,2,0)-IF(B1044&gt;24,1,0)</x:f>
        <x:v>0</x:v>
      </x:c>
      <x:c r="L1044" s="1" t="str">
        <x:f>IF(K1044&gt;=3,"yes","no")</x:f>
        <x:v>no</x:v>
      </x:c>
      <x:c r="M1044" s="1"/>
      <x:c r="N1044" s="1"/>
      <x:c r="O1044" s="1"/>
    </x:row>
    <x:row r="1045">
      <x:c r="A1045" s="1" t="str">
        <x:v>S1044</x:v>
      </x:c>
      <x:c r="B1045" s="1" t="n">
        <x:v>41</x:v>
      </x:c>
      <x:c r="C1045" s="1" t="str">
        <x:v>premium</x:v>
      </x:c>
      <x:c r="D1045" s="8" t="n">
        <x:v>15.99</x:v>
      </x:c>
      <x:c r="E1045" s="1" t="n">
        <x:v>0</x:v>
      </x:c>
      <x:c r="F1045" s="1" t="n">
        <x:v>22</x:v>
      </x:c>
      <x:c r="G1045" s="1" t="n">
        <x:v>1</x:v>
      </x:c>
      <x:c r="H1045" s="1" t="n">
        <x:v>0</x:v>
      </x:c>
      <x:c r="I1045" s="1" t="n">
        <x:v>0</x:v>
      </x:c>
      <x:c r="J1045" s="1" t="str">
        <x:v>no</x:v>
      </x:c>
      <x:c r="K1045" s="1" t="n">
        <x:f>2*H1045+E1045+IF(G1045&gt;30,2,0)-IF(B1045&gt;24,1,0)</x:f>
        <x:v>-1</x:v>
      </x:c>
      <x:c r="L1045" s="1" t="str">
        <x:f>IF(K1045&gt;=3,"yes","no")</x:f>
        <x:v>no</x:v>
      </x:c>
      <x:c r="M1045" s="1"/>
      <x:c r="N1045" s="1"/>
      <x:c r="O1045" s="1"/>
    </x:row>
    <x:row r="1046">
      <x:c r="A1046" s="1" t="str">
        <x:v>S1045</x:v>
      </x:c>
      <x:c r="B1046" s="1" t="n">
        <x:v>37</x:v>
      </x:c>
      <x:c r="C1046" s="1" t="str">
        <x:v>basic</x:v>
      </x:c>
      <x:c r="D1046" s="8" t="n">
        <x:v>9.99</x:v>
      </x:c>
      <x:c r="E1046" s="1" t="n">
        <x:v>2</x:v>
      </x:c>
      <x:c r="F1046" s="1" t="n">
        <x:v>16</x:v>
      </x:c>
      <x:c r="G1046" s="1" t="n">
        <x:v>6</x:v>
      </x:c>
      <x:c r="H1046" s="1" t="n">
        <x:v>0</x:v>
      </x:c>
      <x:c r="I1046" s="1" t="n">
        <x:v>0</x:v>
      </x:c>
      <x:c r="J1046" s="1" t="str">
        <x:v>no</x:v>
      </x:c>
      <x:c r="K1046" s="1" t="n">
        <x:f>2*H1046+E1046+IF(G1046&gt;30,2,0)-IF(B1046&gt;24,1,0)</x:f>
        <x:v>1</x:v>
      </x:c>
      <x:c r="L1046" s="1" t="str">
        <x:f>IF(K1046&gt;=3,"yes","no")</x:f>
        <x:v>no</x:v>
      </x:c>
      <x:c r="M1046" s="1"/>
      <x:c r="N1046" s="1"/>
      <x:c r="O1046" s="1"/>
    </x:row>
    <x:row r="1047">
      <x:c r="A1047" s="1" t="str">
        <x:v>S1046</x:v>
      </x:c>
      <x:c r="B1047" s="1" t="n">
        <x:v>17</x:v>
      </x:c>
      <x:c r="C1047" s="1" t="str">
        <x:v>premium</x:v>
      </x:c>
      <x:c r="D1047" s="8" t="n">
        <x:v>15.99</x:v>
      </x:c>
      <x:c r="E1047" s="1" t="n">
        <x:v>3</x:v>
      </x:c>
      <x:c r="F1047" s="1" t="n">
        <x:v>24</x:v>
      </x:c>
      <x:c r="G1047" s="1" t="n">
        <x:v>6</x:v>
      </x:c>
      <x:c r="H1047" s="1" t="n">
        <x:v>0</x:v>
      </x:c>
      <x:c r="I1047" s="1" t="n">
        <x:v>1</x:v>
      </x:c>
      <x:c r="J1047" s="1" t="str">
        <x:v>no</x:v>
      </x:c>
      <x:c r="K1047" s="1" t="n">
        <x:f>2*H1047+E1047+IF(G1047&gt;30,2,0)-IF(B1047&gt;24,1,0)</x:f>
        <x:v>3</x:v>
      </x:c>
      <x:c r="L1047" s="1" t="str">
        <x:f>IF(K1047&gt;=3,"yes","no")</x:f>
        <x:v>yes</x:v>
      </x:c>
      <x:c r="M1047" s="1"/>
      <x:c r="N1047" s="1"/>
      <x:c r="O1047" s="1"/>
    </x:row>
    <x:row r="1048">
      <x:c r="A1048" s="1" t="str">
        <x:v>S1047</x:v>
      </x:c>
      <x:c r="B1048" s="1" t="n">
        <x:v>26</x:v>
      </x:c>
      <x:c r="C1048" s="1" t="str">
        <x:v>basic</x:v>
      </x:c>
      <x:c r="D1048" s="8" t="n">
        <x:v>9.99</x:v>
      </x:c>
      <x:c r="E1048" s="1" t="n">
        <x:v>3</x:v>
      </x:c>
      <x:c r="F1048" s="1" t="n">
        <x:v>31</x:v>
      </x:c>
      <x:c r="G1048" s="1" t="n">
        <x:v>7</x:v>
      </x:c>
      <x:c r="H1048" s="1" t="n">
        <x:v>0</x:v>
      </x:c>
      <x:c r="I1048" s="1" t="n">
        <x:v>0</x:v>
      </x:c>
      <x:c r="J1048" s="1" t="str">
        <x:v>no</x:v>
      </x:c>
      <x:c r="K1048" s="1" t="n">
        <x:f>2*H1048+E1048+IF(G1048&gt;30,2,0)-IF(B1048&gt;24,1,0)</x:f>
        <x:v>2</x:v>
      </x:c>
      <x:c r="L1048" s="1" t="str">
        <x:f>IF(K1048&gt;=3,"yes","no")</x:f>
        <x:v>no</x:v>
      </x:c>
      <x:c r="M1048" s="1"/>
      <x:c r="N1048" s="1"/>
      <x:c r="O1048" s="1"/>
    </x:row>
    <x:row r="1049">
      <x:c r="A1049" s="1" t="str">
        <x:v>S1048</x:v>
      </x:c>
      <x:c r="B1049" s="1" t="n">
        <x:v>19</x:v>
      </x:c>
      <x:c r="C1049" s="1" t="str">
        <x:v>premium</x:v>
      </x:c>
      <x:c r="D1049" s="8" t="n">
        <x:v>15.99</x:v>
      </x:c>
      <x:c r="E1049" s="1" t="n">
        <x:v>0</x:v>
      </x:c>
      <x:c r="F1049" s="1" t="n">
        <x:v>13</x:v>
      </x:c>
      <x:c r="G1049" s="1" t="n">
        <x:v>26</x:v>
      </x:c>
      <x:c r="H1049" s="1" t="n">
        <x:v>0</x:v>
      </x:c>
      <x:c r="I1049" s="1" t="n">
        <x:v>1</x:v>
      </x:c>
      <x:c r="J1049" s="1" t="str">
        <x:v>no</x:v>
      </x:c>
      <x:c r="K1049" s="1" t="n">
        <x:f>2*H1049+E1049+IF(G1049&gt;30,2,0)-IF(B1049&gt;24,1,0)</x:f>
        <x:v>0</x:v>
      </x:c>
      <x:c r="L1049" s="1" t="str">
        <x:f>IF(K1049&gt;=3,"yes","no")</x:f>
        <x:v>no</x:v>
      </x:c>
      <x:c r="M1049" s="1"/>
      <x:c r="N1049" s="1"/>
      <x:c r="O1049" s="1"/>
    </x:row>
    <x:row r="1050">
      <x:c r="A1050" s="1" t="str">
        <x:v>S1049</x:v>
      </x:c>
      <x:c r="B1050" s="1" t="n">
        <x:v>21</x:v>
      </x:c>
      <x:c r="C1050" s="1" t="str">
        <x:v>premium</x:v>
      </x:c>
      <x:c r="D1050" s="8" t="n">
        <x:v>15.99</x:v>
      </x:c>
      <x:c r="E1050" s="1" t="n">
        <x:v>0</x:v>
      </x:c>
      <x:c r="F1050" s="1" t="n">
        <x:v>9</x:v>
      </x:c>
      <x:c r="G1050" s="1" t="n">
        <x:v>29</x:v>
      </x:c>
      <x:c r="H1050" s="1" t="n">
        <x:v>0</x:v>
      </x:c>
      <x:c r="I1050" s="1" t="n">
        <x:v>0</x:v>
      </x:c>
      <x:c r="J1050" s="1" t="str">
        <x:v>no</x:v>
      </x:c>
      <x:c r="K1050" s="1" t="n">
        <x:f>2*H1050+E1050+IF(G1050&gt;30,2,0)-IF(B1050&gt;24,1,0)</x:f>
        <x:v>0</x:v>
      </x:c>
      <x:c r="L1050" s="1" t="str">
        <x:f>IF(K1050&gt;=3,"yes","no")</x:f>
        <x:v>no</x:v>
      </x:c>
      <x:c r="M1050" s="1"/>
      <x:c r="N1050" s="1"/>
      <x:c r="O1050" s="1"/>
    </x:row>
    <x:row r="1051">
      <x:c r="A1051" s="1" t="str">
        <x:v>S1050</x:v>
      </x:c>
      <x:c r="B1051" s="1" t="n">
        <x:v>21</x:v>
      </x:c>
      <x:c r="C1051" s="1" t="str">
        <x:v>basic</x:v>
      </x:c>
      <x:c r="D1051" s="8" t="n">
        <x:v>9.99</x:v>
      </x:c>
      <x:c r="E1051" s="1" t="n">
        <x:v>0</x:v>
      </x:c>
      <x:c r="F1051" s="1" t="n">
        <x:v>19</x:v>
      </x:c>
      <x:c r="G1051" s="1" t="n">
        <x:v>24</x:v>
      </x:c>
      <x:c r="H1051" s="1" t="n">
        <x:v>0</x:v>
      </x:c>
      <x:c r="I1051" s="1" t="n">
        <x:v>1</x:v>
      </x:c>
      <x:c r="J1051" s="1" t="str">
        <x:v>no</x:v>
      </x:c>
      <x:c r="K1051" s="1" t="n">
        <x:f>2*H1051+E1051+IF(G1051&gt;30,2,0)-IF(B1051&gt;24,1,0)</x:f>
        <x:v>0</x:v>
      </x:c>
      <x:c r="L1051" s="1" t="str">
        <x:f>IF(K1051&gt;=3,"yes","no")</x:f>
        <x:v>no</x:v>
      </x:c>
      <x:c r="M1051" s="1"/>
      <x:c r="N1051" s="1"/>
      <x:c r="O1051" s="1"/>
    </x:row>
    <x:row r="1052">
      <x:c r="A1052" s="1" t="str">
        <x:v>S1051</x:v>
      </x:c>
      <x:c r="B1052" s="1" t="n">
        <x:v>23</x:v>
      </x:c>
      <x:c r="C1052" s="1" t="str">
        <x:v>premium</x:v>
      </x:c>
      <x:c r="D1052" s="8" t="n">
        <x:v>15.99</x:v>
      </x:c>
      <x:c r="E1052" s="1" t="n">
        <x:v>3</x:v>
      </x:c>
      <x:c r="F1052" s="1" t="n">
        <x:v>21</x:v>
      </x:c>
      <x:c r="G1052" s="1" t="n">
        <x:v>3</x:v>
      </x:c>
      <x:c r="H1052" s="1" t="n">
        <x:v>0</x:v>
      </x:c>
      <x:c r="I1052" s="1" t="n">
        <x:v>0</x:v>
      </x:c>
      <x:c r="J1052" s="1" t="str">
        <x:v>no</x:v>
      </x:c>
      <x:c r="K1052" s="1" t="n">
        <x:f>2*H1052+E1052+IF(G1052&gt;30,2,0)-IF(B1052&gt;24,1,0)</x:f>
        <x:v>3</x:v>
      </x:c>
      <x:c r="L1052" s="1" t="str">
        <x:f>IF(K1052&gt;=3,"yes","no")</x:f>
        <x:v>yes</x:v>
      </x:c>
      <x:c r="M1052" s="1"/>
      <x:c r="N1052" s="1"/>
      <x:c r="O1052" s="1"/>
    </x:row>
    <x:row r="1053">
      <x:c r="A1053" s="1" t="str">
        <x:v>S1052</x:v>
      </x:c>
      <x:c r="B1053" s="1" t="n">
        <x:v>30</x:v>
      </x:c>
      <x:c r="C1053" s="1" t="str">
        <x:v>premium</x:v>
      </x:c>
      <x:c r="D1053" s="8" t="n">
        <x:v>15.99</x:v>
      </x:c>
      <x:c r="E1053" s="1" t="n">
        <x:v>0</x:v>
      </x:c>
      <x:c r="F1053" s="1" t="n">
        <x:v>23</x:v>
      </x:c>
      <x:c r="G1053" s="1" t="n">
        <x:v>0</x:v>
      </x:c>
      <x:c r="H1053" s="1" t="n">
        <x:v>0</x:v>
      </x:c>
      <x:c r="I1053" s="1" t="n">
        <x:v>0</x:v>
      </x:c>
      <x:c r="J1053" s="1" t="str">
        <x:v>no</x:v>
      </x:c>
      <x:c r="K1053" s="1" t="n">
        <x:f>2*H1053+E1053+IF(G1053&gt;30,2,0)-IF(B1053&gt;24,1,0)</x:f>
        <x:v>-1</x:v>
      </x:c>
      <x:c r="L1053" s="1" t="str">
        <x:f>IF(K1053&gt;=3,"yes","no")</x:f>
        <x:v>no</x:v>
      </x:c>
      <x:c r="M1053" s="1"/>
      <x:c r="N1053" s="1"/>
      <x:c r="O1053" s="1"/>
    </x:row>
    <x:row r="1054">
      <x:c r="A1054" s="1" t="str">
        <x:v>S1053</x:v>
      </x:c>
      <x:c r="B1054" s="1" t="n">
        <x:v>3</x:v>
      </x:c>
      <x:c r="C1054" s="1" t="str">
        <x:v>premium</x:v>
      </x:c>
      <x:c r="D1054" s="8" t="n">
        <x:v>15.99</x:v>
      </x:c>
      <x:c r="E1054" s="1" t="n">
        <x:v>2</x:v>
      </x:c>
      <x:c r="F1054" s="1" t="n">
        <x:v>24</x:v>
      </x:c>
      <x:c r="G1054" s="1" t="n">
        <x:v>7</x:v>
      </x:c>
      <x:c r="H1054" s="1" t="n">
        <x:v>0</x:v>
      </x:c>
      <x:c r="I1054" s="1" t="n">
        <x:v>0</x:v>
      </x:c>
      <x:c r="J1054" s="1" t="str">
        <x:v>no</x:v>
      </x:c>
      <x:c r="K1054" s="1" t="n">
        <x:f>2*H1054+E1054+IF(G1054&gt;30,2,0)-IF(B1054&gt;24,1,0)</x:f>
        <x:v>2</x:v>
      </x:c>
      <x:c r="L1054" s="1" t="str">
        <x:f>IF(K1054&gt;=3,"yes","no")</x:f>
        <x:v>no</x:v>
      </x:c>
      <x:c r="M1054" s="1"/>
      <x:c r="N1054" s="1"/>
      <x:c r="O1054" s="1"/>
    </x:row>
    <x:row r="1055">
      <x:c r="A1055" s="1" t="str">
        <x:v>S1054</x:v>
      </x:c>
      <x:c r="B1055" s="1" t="n">
        <x:v>34</x:v>
      </x:c>
      <x:c r="C1055" s="1" t="str">
        <x:v>basic</x:v>
      </x:c>
      <x:c r="D1055" s="8" t="n">
        <x:v>9.99</x:v>
      </x:c>
      <x:c r="E1055" s="1" t="n">
        <x:v>0</x:v>
      </x:c>
      <x:c r="F1055" s="1" t="n">
        <x:v>17</x:v>
      </x:c>
      <x:c r="G1055" s="1" t="n">
        <x:v>15</x:v>
      </x:c>
      <x:c r="H1055" s="1" t="n">
        <x:v>0</x:v>
      </x:c>
      <x:c r="I1055" s="1" t="n">
        <x:v>1</x:v>
      </x:c>
      <x:c r="J1055" s="1" t="str">
        <x:v>no</x:v>
      </x:c>
      <x:c r="K1055" s="1" t="n">
        <x:f>2*H1055+E1055+IF(G1055&gt;30,2,0)-IF(B1055&gt;24,1,0)</x:f>
        <x:v>-1</x:v>
      </x:c>
      <x:c r="L1055" s="1" t="str">
        <x:f>IF(K1055&gt;=3,"yes","no")</x:f>
        <x:v>no</x:v>
      </x:c>
      <x:c r="M1055" s="1"/>
      <x:c r="N1055" s="1"/>
      <x:c r="O1055" s="1"/>
    </x:row>
    <x:row r="1056">
      <x:c r="A1056" s="1" t="str">
        <x:v>S1055</x:v>
      </x:c>
      <x:c r="B1056" s="1" t="n">
        <x:v>13</x:v>
      </x:c>
      <x:c r="C1056" s="1" t="str">
        <x:v>basic</x:v>
      </x:c>
      <x:c r="D1056" s="8" t="n">
        <x:v>9.99</x:v>
      </x:c>
      <x:c r="E1056" s="1" t="n">
        <x:v>0</x:v>
      </x:c>
      <x:c r="F1056" s="1" t="n">
        <x:v>11</x:v>
      </x:c>
      <x:c r="G1056" s="1" t="n">
        <x:v>1</x:v>
      </x:c>
      <x:c r="H1056" s="1" t="n">
        <x:v>0</x:v>
      </x:c>
      <x:c r="I1056" s="1" t="n">
        <x:v>0</x:v>
      </x:c>
      <x:c r="J1056" s="1" t="str">
        <x:v>no</x:v>
      </x:c>
      <x:c r="K1056" s="1" t="n">
        <x:f>2*H1056+E1056+IF(G1056&gt;30,2,0)-IF(B1056&gt;24,1,0)</x:f>
        <x:v>0</x:v>
      </x:c>
      <x:c r="L1056" s="1" t="str">
        <x:f>IF(K1056&gt;=3,"yes","no")</x:f>
        <x:v>no</x:v>
      </x:c>
      <x:c r="M1056" s="1"/>
      <x:c r="N1056" s="1"/>
      <x:c r="O1056" s="1"/>
    </x:row>
    <x:row r="1057">
      <x:c r="A1057" s="1" t="str">
        <x:v>S1056</x:v>
      </x:c>
      <x:c r="B1057" s="1" t="n">
        <x:v>33</x:v>
      </x:c>
      <x:c r="C1057" s="1" t="str">
        <x:v>premium</x:v>
      </x:c>
      <x:c r="D1057" s="8" t="n">
        <x:v>15.99</x:v>
      </x:c>
      <x:c r="E1057" s="1" t="n">
        <x:v>1</x:v>
      </x:c>
      <x:c r="F1057" s="1" t="n">
        <x:v>12</x:v>
      </x:c>
      <x:c r="G1057" s="1" t="n">
        <x:v>17</x:v>
      </x:c>
      <x:c r="H1057" s="1" t="n">
        <x:v>1</x:v>
      </x:c>
      <x:c r="I1057" s="1" t="n">
        <x:v>0</x:v>
      </x:c>
      <x:c r="J1057" s="1" t="str">
        <x:v>no</x:v>
      </x:c>
      <x:c r="K1057" s="1" t="n">
        <x:f>2*H1057+E1057+IF(G1057&gt;30,2,0)-IF(B1057&gt;24,1,0)</x:f>
        <x:v>2</x:v>
      </x:c>
      <x:c r="L1057" s="1" t="str">
        <x:f>IF(K1057&gt;=3,"yes","no")</x:f>
        <x:v>no</x:v>
      </x:c>
      <x:c r="M1057" s="1"/>
      <x:c r="N1057" s="1"/>
      <x:c r="O1057" s="1"/>
    </x:row>
    <x:row r="1058">
      <x:c r="A1058" s="1" t="str">
        <x:v>S1057</x:v>
      </x:c>
      <x:c r="B1058" s="1" t="n">
        <x:v>12</x:v>
      </x:c>
      <x:c r="C1058" s="1" t="str">
        <x:v>basic</x:v>
      </x:c>
      <x:c r="D1058" s="8" t="n">
        <x:v>9.99</x:v>
      </x:c>
      <x:c r="E1058" s="1" t="n">
        <x:v>0</x:v>
      </x:c>
      <x:c r="F1058" s="1" t="n">
        <x:v>21</x:v>
      </x:c>
      <x:c r="G1058" s="1" t="n">
        <x:v>9</x:v>
      </x:c>
      <x:c r="H1058" s="1" t="n">
        <x:v>0</x:v>
      </x:c>
      <x:c r="I1058" s="1" t="n">
        <x:v>1</x:v>
      </x:c>
      <x:c r="J1058" s="1" t="str">
        <x:v>no</x:v>
      </x:c>
      <x:c r="K1058" s="1" t="n">
        <x:f>2*H1058+E1058+IF(G1058&gt;30,2,0)-IF(B1058&gt;24,1,0)</x:f>
        <x:v>0</x:v>
      </x:c>
      <x:c r="L1058" s="1" t="str">
        <x:f>IF(K1058&gt;=3,"yes","no")</x:f>
        <x:v>no</x:v>
      </x:c>
      <x:c r="M1058" s="1"/>
      <x:c r="N1058" s="1"/>
      <x:c r="O1058" s="1"/>
    </x:row>
    <x:row r="1059">
      <x:c r="A1059" s="1" t="str">
        <x:v>S1058</x:v>
      </x:c>
      <x:c r="B1059" s="1" t="n">
        <x:v>19</x:v>
      </x:c>
      <x:c r="C1059" s="1" t="str">
        <x:v>basic</x:v>
      </x:c>
      <x:c r="D1059" s="8" t="n">
        <x:v>9.99</x:v>
      </x:c>
      <x:c r="E1059" s="1" t="n">
        <x:v>0</x:v>
      </x:c>
      <x:c r="F1059" s="1" t="n">
        <x:v>20</x:v>
      </x:c>
      <x:c r="G1059" s="1" t="n">
        <x:v>4</x:v>
      </x:c>
      <x:c r="H1059" s="1" t="n">
        <x:v>0</x:v>
      </x:c>
      <x:c r="I1059" s="1" t="n">
        <x:v>0</x:v>
      </x:c>
      <x:c r="J1059" s="1" t="str">
        <x:v>no</x:v>
      </x:c>
      <x:c r="K1059" s="1" t="n">
        <x:f>2*H1059+E1059+IF(G1059&gt;30,2,0)-IF(B1059&gt;24,1,0)</x:f>
        <x:v>0</x:v>
      </x:c>
      <x:c r="L1059" s="1" t="str">
        <x:f>IF(K1059&gt;=3,"yes","no")</x:f>
        <x:v>no</x:v>
      </x:c>
      <x:c r="M1059" s="1"/>
      <x:c r="N1059" s="1"/>
      <x:c r="O1059" s="1"/>
    </x:row>
    <x:row r="1060">
      <x:c r="A1060" s="1" t="str">
        <x:v>S1059</x:v>
      </x:c>
      <x:c r="B1060" s="1" t="n">
        <x:v>36</x:v>
      </x:c>
      <x:c r="C1060" s="1" t="str">
        <x:v>basic</x:v>
      </x:c>
      <x:c r="D1060" s="8" t="n">
        <x:v>9.99</x:v>
      </x:c>
      <x:c r="E1060" s="1" t="n">
        <x:v>1</x:v>
      </x:c>
      <x:c r="F1060" s="1" t="n">
        <x:v>26</x:v>
      </x:c>
      <x:c r="G1060" s="1" t="n">
        <x:v>4</x:v>
      </x:c>
      <x:c r="H1060" s="1" t="n">
        <x:v>1</x:v>
      </x:c>
      <x:c r="I1060" s="1" t="n">
        <x:v>0</x:v>
      </x:c>
      <x:c r="J1060" s="1" t="str">
        <x:v>no</x:v>
      </x:c>
      <x:c r="K1060" s="1" t="n">
        <x:f>2*H1060+E1060+IF(G1060&gt;30,2,0)-IF(B1060&gt;24,1,0)</x:f>
        <x:v>2</x:v>
      </x:c>
      <x:c r="L1060" s="1" t="str">
        <x:f>IF(K1060&gt;=3,"yes","no")</x:f>
        <x:v>no</x:v>
      </x:c>
      <x:c r="M1060" s="1"/>
      <x:c r="N1060" s="1"/>
      <x:c r="O1060" s="1"/>
    </x:row>
    <x:row r="1061">
      <x:c r="A1061" s="1" t="str">
        <x:v>S1060</x:v>
      </x:c>
      <x:c r="B1061" s="1" t="n">
        <x:v>8</x:v>
      </x:c>
      <x:c r="C1061" s="1" t="str">
        <x:v>basic</x:v>
      </x:c>
      <x:c r="D1061" s="8" t="n">
        <x:v>9.99</x:v>
      </x:c>
      <x:c r="E1061" s="1" t="n">
        <x:v>3</x:v>
      </x:c>
      <x:c r="F1061" s="1" t="n">
        <x:v>20</x:v>
      </x:c>
      <x:c r="G1061" s="1" t="n">
        <x:v>1</x:v>
      </x:c>
      <x:c r="H1061" s="1" t="n">
        <x:v>1</x:v>
      </x:c>
      <x:c r="I1061" s="1" t="n">
        <x:v>1</x:v>
      </x:c>
      <x:c r="J1061" s="1" t="str">
        <x:v>yes</x:v>
      </x:c>
      <x:c r="K1061" s="1" t="n">
        <x:f>2*H1061+E1061+IF(G1061&gt;30,2,0)-IF(B1061&gt;24,1,0)</x:f>
        <x:v>5</x:v>
      </x:c>
      <x:c r="L1061" s="1" t="str">
        <x:f>IF(K1061&gt;=3,"yes","no")</x:f>
        <x:v>yes</x:v>
      </x:c>
      <x:c r="M1061" s="1"/>
      <x:c r="N1061" s="1"/>
      <x:c r="O1061" s="1"/>
    </x:row>
    <x:row r="1062">
      <x:c r="A1062" s="1" t="str">
        <x:v>S1061</x:v>
      </x:c>
      <x:c r="B1062" s="1" t="n">
        <x:v>44</x:v>
      </x:c>
      <x:c r="C1062" s="1" t="str">
        <x:v>basic</x:v>
      </x:c>
      <x:c r="D1062" s="8" t="n">
        <x:v>9.99</x:v>
      </x:c>
      <x:c r="E1062" s="1" t="n">
        <x:v>4</x:v>
      </x:c>
      <x:c r="F1062" s="1" t="n">
        <x:v>15</x:v>
      </x:c>
      <x:c r="G1062" s="1" t="n">
        <x:v>3</x:v>
      </x:c>
      <x:c r="H1062" s="1" t="n">
        <x:v>2</x:v>
      </x:c>
      <x:c r="I1062" s="1" t="n">
        <x:v>0</x:v>
      </x:c>
      <x:c r="J1062" s="1" t="str">
        <x:v>no</x:v>
      </x:c>
      <x:c r="K1062" s="1" t="n">
        <x:f>2*H1062+E1062+IF(G1062&gt;30,2,0)-IF(B1062&gt;24,1,0)</x:f>
        <x:v>7</x:v>
      </x:c>
      <x:c r="L1062" s="1" t="str">
        <x:f>IF(K1062&gt;=3,"yes","no")</x:f>
        <x:v>yes</x:v>
      </x:c>
      <x:c r="M1062" s="1"/>
      <x:c r="N1062" s="1"/>
      <x:c r="O1062" s="1"/>
    </x:row>
    <x:row r="1063">
      <x:c r="A1063" s="1" t="str">
        <x:v>S1062</x:v>
      </x:c>
      <x:c r="B1063" s="1" t="n">
        <x:v>46</x:v>
      </x:c>
      <x:c r="C1063" s="1" t="str">
        <x:v>basic</x:v>
      </x:c>
      <x:c r="D1063" s="8" t="n">
        <x:v>9.99</x:v>
      </x:c>
      <x:c r="E1063" s="1" t="n">
        <x:v>2</x:v>
      </x:c>
      <x:c r="F1063" s="1" t="n">
        <x:v>14</x:v>
      </x:c>
      <x:c r="G1063" s="1" t="n">
        <x:v>15</x:v>
      </x:c>
      <x:c r="H1063" s="1" t="n">
        <x:v>0</x:v>
      </x:c>
      <x:c r="I1063" s="1" t="n">
        <x:v>0</x:v>
      </x:c>
      <x:c r="J1063" s="1" t="str">
        <x:v>no</x:v>
      </x:c>
      <x:c r="K1063" s="1" t="n">
        <x:f>2*H1063+E1063+IF(G1063&gt;30,2,0)-IF(B1063&gt;24,1,0)</x:f>
        <x:v>1</x:v>
      </x:c>
      <x:c r="L1063" s="1" t="str">
        <x:f>IF(K1063&gt;=3,"yes","no")</x:f>
        <x:v>no</x:v>
      </x:c>
      <x:c r="M1063" s="1"/>
      <x:c r="N1063" s="1"/>
      <x:c r="O1063" s="1"/>
    </x:row>
    <x:row r="1064">
      <x:c r="A1064" s="1" t="str">
        <x:v>S1063</x:v>
      </x:c>
      <x:c r="B1064" s="1" t="n">
        <x:v>37</x:v>
      </x:c>
      <x:c r="C1064" s="1" t="str">
        <x:v>premium</x:v>
      </x:c>
      <x:c r="D1064" s="8" t="n">
        <x:v>15.99</x:v>
      </x:c>
      <x:c r="E1064" s="1" t="n">
        <x:v>1</x:v>
      </x:c>
      <x:c r="F1064" s="1" t="n">
        <x:v>18</x:v>
      </x:c>
      <x:c r="G1064" s="1" t="n">
        <x:v>6</x:v>
      </x:c>
      <x:c r="H1064" s="1" t="n">
        <x:v>0</x:v>
      </x:c>
      <x:c r="I1064" s="1" t="n">
        <x:v>0</x:v>
      </x:c>
      <x:c r="J1064" s="1" t="str">
        <x:v>no</x:v>
      </x:c>
      <x:c r="K1064" s="1" t="n">
        <x:f>2*H1064+E1064+IF(G1064&gt;30,2,0)-IF(B1064&gt;24,1,0)</x:f>
        <x:v>0</x:v>
      </x:c>
      <x:c r="L1064" s="1" t="str">
        <x:f>IF(K1064&gt;=3,"yes","no")</x:f>
        <x:v>no</x:v>
      </x:c>
      <x:c r="M1064" s="1"/>
      <x:c r="N1064" s="1"/>
      <x:c r="O1064" s="1"/>
    </x:row>
    <x:row r="1065">
      <x:c r="A1065" s="1" t="str">
        <x:v>S1064</x:v>
      </x:c>
      <x:c r="B1065" s="1" t="n">
        <x:v>9</x:v>
      </x:c>
      <x:c r="C1065" s="1" t="str">
        <x:v>basic</x:v>
      </x:c>
      <x:c r="D1065" s="8" t="n">
        <x:v>9.99</x:v>
      </x:c>
      <x:c r="E1065" s="1" t="n">
        <x:v>0</x:v>
      </x:c>
      <x:c r="F1065" s="1" t="n">
        <x:v>13</x:v>
      </x:c>
      <x:c r="G1065" s="1" t="n">
        <x:v>6</x:v>
      </x:c>
      <x:c r="H1065" s="1" t="n">
        <x:v>0</x:v>
      </x:c>
      <x:c r="I1065" s="1" t="n">
        <x:v>0</x:v>
      </x:c>
      <x:c r="J1065" s="1" t="str">
        <x:v>no</x:v>
      </x:c>
      <x:c r="K1065" s="1" t="n">
        <x:f>2*H1065+E1065+IF(G1065&gt;30,2,0)-IF(B1065&gt;24,1,0)</x:f>
        <x:v>0</x:v>
      </x:c>
      <x:c r="L1065" s="1" t="str">
        <x:f>IF(K1065&gt;=3,"yes","no")</x:f>
        <x:v>no</x:v>
      </x:c>
      <x:c r="M1065" s="1"/>
      <x:c r="N1065" s="1"/>
      <x:c r="O1065" s="1"/>
    </x:row>
    <x:row r="1066">
      <x:c r="A1066" s="1" t="str">
        <x:v>S1065</x:v>
      </x:c>
      <x:c r="B1066" s="1" t="n">
        <x:v>5</x:v>
      </x:c>
      <x:c r="C1066" s="1" t="str">
        <x:v>premium</x:v>
      </x:c>
      <x:c r="D1066" s="8" t="n">
        <x:v>15.99</x:v>
      </x:c>
      <x:c r="E1066" s="1" t="n">
        <x:v>0</x:v>
      </x:c>
      <x:c r="F1066" s="1" t="n">
        <x:v>18</x:v>
      </x:c>
      <x:c r="G1066" s="1" t="n">
        <x:v>26</x:v>
      </x:c>
      <x:c r="H1066" s="1" t="n">
        <x:v>1</x:v>
      </x:c>
      <x:c r="I1066" s="1" t="n">
        <x:v>1</x:v>
      </x:c>
      <x:c r="J1066" s="1" t="str">
        <x:v>no</x:v>
      </x:c>
      <x:c r="K1066" s="1" t="n">
        <x:f>2*H1066+E1066+IF(G1066&gt;30,2,0)-IF(B1066&gt;24,1,0)</x:f>
        <x:v>2</x:v>
      </x:c>
      <x:c r="L1066" s="1" t="str">
        <x:f>IF(K1066&gt;=3,"yes","no")</x:f>
        <x:v>no</x:v>
      </x:c>
      <x:c r="M1066" s="1"/>
      <x:c r="N1066" s="1"/>
      <x:c r="O1066" s="1"/>
    </x:row>
    <x:row r="1067">
      <x:c r="A1067" s="1" t="str">
        <x:v>S1066</x:v>
      </x:c>
      <x:c r="B1067" s="1" t="n">
        <x:v>14</x:v>
      </x:c>
      <x:c r="C1067" s="1" t="str">
        <x:v>basic</x:v>
      </x:c>
      <x:c r="D1067" s="8" t="n">
        <x:v>9.99</x:v>
      </x:c>
      <x:c r="E1067" s="1" t="n">
        <x:v>4</x:v>
      </x:c>
      <x:c r="F1067" s="1" t="n">
        <x:v>23</x:v>
      </x:c>
      <x:c r="G1067" s="1" t="n">
        <x:v>0</x:v>
      </x:c>
      <x:c r="H1067" s="1" t="n">
        <x:v>0</x:v>
      </x:c>
      <x:c r="I1067" s="1" t="n">
        <x:v>1</x:v>
      </x:c>
      <x:c r="J1067" s="1" t="str">
        <x:v>no</x:v>
      </x:c>
      <x:c r="K1067" s="1" t="n">
        <x:f>2*H1067+E1067+IF(G1067&gt;30,2,0)-IF(B1067&gt;24,1,0)</x:f>
        <x:v>4</x:v>
      </x:c>
      <x:c r="L1067" s="1" t="str">
        <x:f>IF(K1067&gt;=3,"yes","no")</x:f>
        <x:v>yes</x:v>
      </x:c>
      <x:c r="M1067" s="1"/>
      <x:c r="N1067" s="1"/>
      <x:c r="O1067" s="1"/>
    </x:row>
    <x:row r="1068">
      <x:c r="A1068" s="1" t="str">
        <x:v>S1067</x:v>
      </x:c>
      <x:c r="B1068" s="1" t="n">
        <x:v>5</x:v>
      </x:c>
      <x:c r="C1068" s="1" t="str">
        <x:v>basic</x:v>
      </x:c>
      <x:c r="D1068" s="8" t="n">
        <x:v>9.99</x:v>
      </x:c>
      <x:c r="E1068" s="1" t="n">
        <x:v>0</x:v>
      </x:c>
      <x:c r="F1068" s="1" t="n">
        <x:v>0</x:v>
      </x:c>
      <x:c r="G1068" s="1" t="n">
        <x:v>45</x:v>
      </x:c>
      <x:c r="H1068" s="1" t="n">
        <x:v>0</x:v>
      </x:c>
      <x:c r="I1068" s="1" t="n">
        <x:v>0</x:v>
      </x:c>
      <x:c r="J1068" s="1" t="str">
        <x:v>yes</x:v>
      </x:c>
      <x:c r="K1068" s="1" t="n">
        <x:f>2*H1068+E1068+IF(G1068&gt;30,2,0)-IF(B1068&gt;24,1,0)</x:f>
        <x:v>2</x:v>
      </x:c>
      <x:c r="L1068" s="1" t="str">
        <x:f>IF(K1068&gt;=3,"yes","no")</x:f>
        <x:v>no</x:v>
      </x:c>
      <x:c r="M1068" s="1"/>
      <x:c r="N1068" s="1"/>
      <x:c r="O1068" s="1"/>
    </x:row>
    <x:row r="1069">
      <x:c r="A1069" s="1" t="str">
        <x:v>S1068</x:v>
      </x:c>
      <x:c r="B1069" s="1" t="n">
        <x:v>7</x:v>
      </x:c>
      <x:c r="C1069" s="1" t="str">
        <x:v>premium</x:v>
      </x:c>
      <x:c r="D1069" s="8" t="n">
        <x:v>15.99</x:v>
      </x:c>
      <x:c r="E1069" s="1" t="n">
        <x:v>0</x:v>
      </x:c>
      <x:c r="F1069" s="1" t="n">
        <x:v>8</x:v>
      </x:c>
      <x:c r="G1069" s="1" t="n">
        <x:v>30</x:v>
      </x:c>
      <x:c r="H1069" s="1" t="n">
        <x:v>0</x:v>
      </x:c>
      <x:c r="I1069" s="1" t="n">
        <x:v>0</x:v>
      </x:c>
      <x:c r="J1069" s="1" t="str">
        <x:v>yes</x:v>
      </x:c>
      <x:c r="K1069" s="1" t="n">
        <x:f>2*H1069+E1069+IF(G1069&gt;30,2,0)-IF(B1069&gt;24,1,0)</x:f>
        <x:v>0</x:v>
      </x:c>
      <x:c r="L1069" s="1" t="str">
        <x:f>IF(K1069&gt;=3,"yes","no")</x:f>
        <x:v>no</x:v>
      </x:c>
      <x:c r="M1069" s="1"/>
      <x:c r="N1069" s="1"/>
      <x:c r="O1069" s="1"/>
    </x:row>
    <x:row r="1070">
      <x:c r="A1070" s="1" t="str">
        <x:v>S1069</x:v>
      </x:c>
      <x:c r="B1070" s="1" t="n">
        <x:v>2</x:v>
      </x:c>
      <x:c r="C1070" s="1" t="str">
        <x:v>basic</x:v>
      </x:c>
      <x:c r="D1070" s="8" t="n">
        <x:v>9.99</x:v>
      </x:c>
      <x:c r="E1070" s="1" t="n">
        <x:v>4</x:v>
      </x:c>
      <x:c r="F1070" s="1" t="n">
        <x:v>19</x:v>
      </x:c>
      <x:c r="G1070" s="1" t="n">
        <x:v>20</x:v>
      </x:c>
      <x:c r="H1070" s="1" t="n">
        <x:v>0</x:v>
      </x:c>
      <x:c r="I1070" s="1" t="n">
        <x:v>0</x:v>
      </x:c>
      <x:c r="J1070" s="1" t="str">
        <x:v>yes</x:v>
      </x:c>
      <x:c r="K1070" s="1" t="n">
        <x:f>2*H1070+E1070+IF(G1070&gt;30,2,0)-IF(B1070&gt;24,1,0)</x:f>
        <x:v>4</x:v>
      </x:c>
      <x:c r="L1070" s="1" t="str">
        <x:f>IF(K1070&gt;=3,"yes","no")</x:f>
        <x:v>yes</x:v>
      </x:c>
      <x:c r="M1070" s="1"/>
      <x:c r="N1070" s="1"/>
      <x:c r="O1070" s="1"/>
    </x:row>
    <x:row r="1071">
      <x:c r="A1071" s="1" t="str">
        <x:v>S1070</x:v>
      </x:c>
      <x:c r="B1071" s="1" t="n">
        <x:v>43</x:v>
      </x:c>
      <x:c r="C1071" s="1" t="str">
        <x:v>premium</x:v>
      </x:c>
      <x:c r="D1071" s="8" t="n">
        <x:v>15.99</x:v>
      </x:c>
      <x:c r="E1071" s="1" t="n">
        <x:v>0</x:v>
      </x:c>
      <x:c r="F1071" s="1" t="n">
        <x:v>14</x:v>
      </x:c>
      <x:c r="G1071" s="1" t="n">
        <x:v>27</x:v>
      </x:c>
      <x:c r="H1071" s="1" t="n">
        <x:v>2</x:v>
      </x:c>
      <x:c r="I1071" s="1" t="n">
        <x:v>0</x:v>
      </x:c>
      <x:c r="J1071" s="1" t="str">
        <x:v>no</x:v>
      </x:c>
      <x:c r="K1071" s="1" t="n">
        <x:f>2*H1071+E1071+IF(G1071&gt;30,2,0)-IF(B1071&gt;24,1,0)</x:f>
        <x:v>3</x:v>
      </x:c>
      <x:c r="L1071" s="1" t="str">
        <x:f>IF(K1071&gt;=3,"yes","no")</x:f>
        <x:v>yes</x:v>
      </x:c>
      <x:c r="M1071" s="1"/>
      <x:c r="N1071" s="1"/>
      <x:c r="O1071" s="1"/>
    </x:row>
    <x:row r="1072">
      <x:c r="A1072" s="1" t="str">
        <x:v>S1071</x:v>
      </x:c>
      <x:c r="B1072" s="1" t="n">
        <x:v>3</x:v>
      </x:c>
      <x:c r="C1072" s="1" t="str">
        <x:v>basic</x:v>
      </x:c>
      <x:c r="D1072" s="8" t="n">
        <x:v>9.99</x:v>
      </x:c>
      <x:c r="E1072" s="1" t="n">
        <x:v>1</x:v>
      </x:c>
      <x:c r="F1072" s="1" t="n">
        <x:v>0</x:v>
      </x:c>
      <x:c r="G1072" s="1" t="n">
        <x:v>56</x:v>
      </x:c>
      <x:c r="H1072" s="1" t="n">
        <x:v>0</x:v>
      </x:c>
      <x:c r="I1072" s="1" t="n">
        <x:v>0</x:v>
      </x:c>
      <x:c r="J1072" s="1" t="str">
        <x:v>yes</x:v>
      </x:c>
      <x:c r="K1072" s="1" t="n">
        <x:f>2*H1072+E1072+IF(G1072&gt;30,2,0)-IF(B1072&gt;24,1,0)</x:f>
        <x:v>3</x:v>
      </x:c>
      <x:c r="L1072" s="1" t="str">
        <x:f>IF(K1072&gt;=3,"yes","no")</x:f>
        <x:v>yes</x:v>
      </x:c>
      <x:c r="M1072" s="1"/>
      <x:c r="N1072" s="1"/>
      <x:c r="O1072" s="1"/>
    </x:row>
    <x:row r="1073">
      <x:c r="A1073" s="1" t="str">
        <x:v>S1072</x:v>
      </x:c>
      <x:c r="B1073" s="1" t="n">
        <x:v>13</x:v>
      </x:c>
      <x:c r="C1073" s="1" t="str">
        <x:v>premium</x:v>
      </x:c>
      <x:c r="D1073" s="8" t="n">
        <x:v>15.99</x:v>
      </x:c>
      <x:c r="E1073" s="1" t="n">
        <x:v>0</x:v>
      </x:c>
      <x:c r="F1073" s="1" t="n">
        <x:v>7</x:v>
      </x:c>
      <x:c r="G1073" s="1" t="n">
        <x:v>30</x:v>
      </x:c>
      <x:c r="H1073" s="1" t="n">
        <x:v>0</x:v>
      </x:c>
      <x:c r="I1073" s="1" t="n">
        <x:v>0</x:v>
      </x:c>
      <x:c r="J1073" s="1" t="str">
        <x:v>no</x:v>
      </x:c>
      <x:c r="K1073" s="1" t="n">
        <x:f>2*H1073+E1073+IF(G1073&gt;30,2,0)-IF(B1073&gt;24,1,0)</x:f>
        <x:v>0</x:v>
      </x:c>
      <x:c r="L1073" s="1" t="str">
        <x:f>IF(K1073&gt;=3,"yes","no")</x:f>
        <x:v>no</x:v>
      </x:c>
      <x:c r="M1073" s="1"/>
      <x:c r="N1073" s="1"/>
      <x:c r="O1073" s="1"/>
    </x:row>
    <x:row r="1074">
      <x:c r="A1074" s="1" t="str">
        <x:v>S1073</x:v>
      </x:c>
      <x:c r="B1074" s="1" t="n">
        <x:v>20</x:v>
      </x:c>
      <x:c r="C1074" s="1" t="str">
        <x:v>basic</x:v>
      </x:c>
      <x:c r="D1074" s="8" t="n">
        <x:v>9.99</x:v>
      </x:c>
      <x:c r="E1074" s="1" t="n">
        <x:v>2</x:v>
      </x:c>
      <x:c r="F1074" s="1" t="n">
        <x:v>0</x:v>
      </x:c>
      <x:c r="G1074" s="1" t="n">
        <x:v>55</x:v>
      </x:c>
      <x:c r="H1074" s="1" t="n">
        <x:v>1</x:v>
      </x:c>
      <x:c r="I1074" s="1" t="n">
        <x:v>0</x:v>
      </x:c>
      <x:c r="J1074" s="1" t="str">
        <x:v>yes</x:v>
      </x:c>
      <x:c r="K1074" s="1" t="n">
        <x:f>2*H1074+E1074+IF(G1074&gt;30,2,0)-IF(B1074&gt;24,1,0)</x:f>
        <x:v>6</x:v>
      </x:c>
      <x:c r="L1074" s="1" t="str">
        <x:f>IF(K1074&gt;=3,"yes","no")</x:f>
        <x:v>yes</x:v>
      </x:c>
      <x:c r="M1074" s="1"/>
      <x:c r="N1074" s="1"/>
      <x:c r="O1074" s="1"/>
    </x:row>
    <x:row r="1075">
      <x:c r="A1075" s="1" t="str">
        <x:v>S1074</x:v>
      </x:c>
      <x:c r="B1075" s="1" t="n">
        <x:v>43</x:v>
      </x:c>
      <x:c r="C1075" s="1" t="str">
        <x:v>basic</x:v>
      </x:c>
      <x:c r="D1075" s="8" t="n">
        <x:v>9.99</x:v>
      </x:c>
      <x:c r="E1075" s="1" t="n">
        <x:v>0</x:v>
      </x:c>
      <x:c r="F1075" s="1" t="n">
        <x:v>1</x:v>
      </x:c>
      <x:c r="G1075" s="1" t="n">
        <x:v>25</x:v>
      </x:c>
      <x:c r="H1075" s="1" t="n">
        <x:v>0</x:v>
      </x:c>
      <x:c r="I1075" s="1" t="n">
        <x:v>0</x:v>
      </x:c>
      <x:c r="J1075" s="1" t="str">
        <x:v>no</x:v>
      </x:c>
      <x:c r="K1075" s="1" t="n">
        <x:f>2*H1075+E1075+IF(G1075&gt;30,2,0)-IF(B1075&gt;24,1,0)</x:f>
        <x:v>-1</x:v>
      </x:c>
      <x:c r="L1075" s="1" t="str">
        <x:f>IF(K1075&gt;=3,"yes","no")</x:f>
        <x:v>no</x:v>
      </x:c>
      <x:c r="M1075" s="1"/>
      <x:c r="N1075" s="1"/>
      <x:c r="O1075" s="1"/>
    </x:row>
    <x:row r="1076">
      <x:c r="A1076" s="1" t="str">
        <x:v>S1075</x:v>
      </x:c>
      <x:c r="B1076" s="1" t="n">
        <x:v>14</x:v>
      </x:c>
      <x:c r="C1076" s="1" t="str">
        <x:v>premium</x:v>
      </x:c>
      <x:c r="D1076" s="8" t="n">
        <x:v>15.99</x:v>
      </x:c>
      <x:c r="E1076" s="1" t="n">
        <x:v>1</x:v>
      </x:c>
      <x:c r="F1076" s="1" t="n">
        <x:v>0</x:v>
      </x:c>
      <x:c r="G1076" s="1" t="n">
        <x:v>53</x:v>
      </x:c>
      <x:c r="H1076" s="1" t="n">
        <x:v>1</x:v>
      </x:c>
      <x:c r="I1076" s="1" t="n">
        <x:v>0</x:v>
      </x:c>
      <x:c r="J1076" s="1" t="str">
        <x:v>yes</x:v>
      </x:c>
      <x:c r="K1076" s="1" t="n">
        <x:f>2*H1076+E1076+IF(G1076&gt;30,2,0)-IF(B1076&gt;24,1,0)</x:f>
        <x:v>5</x:v>
      </x:c>
      <x:c r="L1076" s="1" t="str">
        <x:f>IF(K1076&gt;=3,"yes","no")</x:f>
        <x:v>yes</x:v>
      </x:c>
      <x:c r="M1076" s="1"/>
      <x:c r="N1076" s="1"/>
      <x:c r="O1076" s="1"/>
    </x:row>
    <x:row r="1077">
      <x:c r="A1077" s="1" t="str">
        <x:v>S1076</x:v>
      </x:c>
      <x:c r="B1077" s="1" t="n">
        <x:v>38</x:v>
      </x:c>
      <x:c r="C1077" s="1" t="str">
        <x:v>basic</x:v>
      </x:c>
      <x:c r="D1077" s="8" t="n">
        <x:v>9.99</x:v>
      </x:c>
      <x:c r="E1077" s="1" t="n">
        <x:v>4</x:v>
      </x:c>
      <x:c r="F1077" s="1" t="n">
        <x:v>7</x:v>
      </x:c>
      <x:c r="G1077" s="1" t="n">
        <x:v>8</x:v>
      </x:c>
      <x:c r="H1077" s="1" t="n">
        <x:v>2</x:v>
      </x:c>
      <x:c r="I1077" s="1" t="n">
        <x:v>0</x:v>
      </x:c>
      <x:c r="J1077" s="1" t="str">
        <x:v>no</x:v>
      </x:c>
      <x:c r="K1077" s="1" t="n">
        <x:f>2*H1077+E1077+IF(G1077&gt;30,2,0)-IF(B1077&gt;24,1,0)</x:f>
        <x:v>7</x:v>
      </x:c>
      <x:c r="L1077" s="1" t="str">
        <x:f>IF(K1077&gt;=3,"yes","no")</x:f>
        <x:v>yes</x:v>
      </x:c>
      <x:c r="M1077" s="1"/>
      <x:c r="N1077" s="1"/>
      <x:c r="O1077" s="1"/>
    </x:row>
    <x:row r="1078">
      <x:c r="A1078" s="1" t="str">
        <x:v>S1077</x:v>
      </x:c>
      <x:c r="B1078" s="1" t="n">
        <x:v>23</x:v>
      </x:c>
      <x:c r="C1078" s="1" t="str">
        <x:v>basic</x:v>
      </x:c>
      <x:c r="D1078" s="8" t="n">
        <x:v>9.99</x:v>
      </x:c>
      <x:c r="E1078" s="1" t="n">
        <x:v>0</x:v>
      </x:c>
      <x:c r="F1078" s="1" t="n">
        <x:v>23</x:v>
      </x:c>
      <x:c r="G1078" s="1" t="n">
        <x:v>3</x:v>
      </x:c>
      <x:c r="H1078" s="1" t="n">
        <x:v>0</x:v>
      </x:c>
      <x:c r="I1078" s="1" t="n">
        <x:v>0</x:v>
      </x:c>
      <x:c r="J1078" s="1" t="str">
        <x:v>no</x:v>
      </x:c>
      <x:c r="K1078" s="1" t="n">
        <x:f>2*H1078+E1078+IF(G1078&gt;30,2,0)-IF(B1078&gt;24,1,0)</x:f>
        <x:v>0</x:v>
      </x:c>
      <x:c r="L1078" s="1" t="str">
        <x:f>IF(K1078&gt;=3,"yes","no")</x:f>
        <x:v>no</x:v>
      </x:c>
      <x:c r="M1078" s="1"/>
      <x:c r="N1078" s="1"/>
      <x:c r="O1078" s="1"/>
    </x:row>
    <x:row r="1079">
      <x:c r="A1079" s="1" t="str">
        <x:v>S1078</x:v>
      </x:c>
      <x:c r="B1079" s="1" t="n">
        <x:v>21</x:v>
      </x:c>
      <x:c r="C1079" s="1" t="str">
        <x:v>basic</x:v>
      </x:c>
      <x:c r="D1079" s="8" t="n">
        <x:v>9.99</x:v>
      </x:c>
      <x:c r="E1079" s="1" t="n">
        <x:v>2</x:v>
      </x:c>
      <x:c r="F1079" s="1" t="n">
        <x:v>24</x:v>
      </x:c>
      <x:c r="G1079" s="1" t="n">
        <x:v>24</x:v>
      </x:c>
      <x:c r="H1079" s="1" t="n">
        <x:v>0</x:v>
      </x:c>
      <x:c r="I1079" s="1" t="n">
        <x:v>1</x:v>
      </x:c>
      <x:c r="J1079" s="1" t="str">
        <x:v>no</x:v>
      </x:c>
      <x:c r="K1079" s="1" t="n">
        <x:f>2*H1079+E1079+IF(G1079&gt;30,2,0)-IF(B1079&gt;24,1,0)</x:f>
        <x:v>2</x:v>
      </x:c>
      <x:c r="L1079" s="1" t="str">
        <x:f>IF(K1079&gt;=3,"yes","no")</x:f>
        <x:v>no</x:v>
      </x:c>
      <x:c r="M1079" s="1"/>
      <x:c r="N1079" s="1"/>
      <x:c r="O1079" s="1"/>
    </x:row>
    <x:row r="1080">
      <x:c r="A1080" s="1" t="str">
        <x:v>S1079</x:v>
      </x:c>
      <x:c r="B1080" s="1" t="n">
        <x:v>33</x:v>
      </x:c>
      <x:c r="C1080" s="1" t="str">
        <x:v>premium</x:v>
      </x:c>
      <x:c r="D1080" s="8" t="n">
        <x:v>15.99</x:v>
      </x:c>
      <x:c r="E1080" s="1" t="n">
        <x:v>0</x:v>
      </x:c>
      <x:c r="F1080" s="1" t="n">
        <x:v>16</x:v>
      </x:c>
      <x:c r="G1080" s="1" t="n">
        <x:v>7</x:v>
      </x:c>
      <x:c r="H1080" s="1" t="n">
        <x:v>0</x:v>
      </x:c>
      <x:c r="I1080" s="1" t="n">
        <x:v>0</x:v>
      </x:c>
      <x:c r="J1080" s="1" t="str">
        <x:v>no</x:v>
      </x:c>
      <x:c r="K1080" s="1" t="n">
        <x:f>2*H1080+E1080+IF(G1080&gt;30,2,0)-IF(B1080&gt;24,1,0)</x:f>
        <x:v>-1</x:v>
      </x:c>
      <x:c r="L1080" s="1" t="str">
        <x:f>IF(K1080&gt;=3,"yes","no")</x:f>
        <x:v>no</x:v>
      </x:c>
      <x:c r="M1080" s="1"/>
      <x:c r="N1080" s="1"/>
      <x:c r="O1080" s="1"/>
    </x:row>
    <x:row r="1081">
      <x:c r="A1081" s="1" t="str">
        <x:v>S1080</x:v>
      </x:c>
      <x:c r="B1081" s="1" t="n">
        <x:v>27</x:v>
      </x:c>
      <x:c r="C1081" s="1" t="str">
        <x:v>basic</x:v>
      </x:c>
      <x:c r="D1081" s="8" t="n">
        <x:v>9.99</x:v>
      </x:c>
      <x:c r="E1081" s="1" t="n">
        <x:v>0</x:v>
      </x:c>
      <x:c r="F1081" s="1" t="n">
        <x:v>11</x:v>
      </x:c>
      <x:c r="G1081" s="1" t="n">
        <x:v>19</x:v>
      </x:c>
      <x:c r="H1081" s="1" t="n">
        <x:v>0</x:v>
      </x:c>
      <x:c r="I1081" s="1" t="n">
        <x:v>1</x:v>
      </x:c>
      <x:c r="J1081" s="1" t="str">
        <x:v>no</x:v>
      </x:c>
      <x:c r="K1081" s="1" t="n">
        <x:f>2*H1081+E1081+IF(G1081&gt;30,2,0)-IF(B1081&gt;24,1,0)</x:f>
        <x:v>-1</x:v>
      </x:c>
      <x:c r="L1081" s="1" t="str">
        <x:f>IF(K1081&gt;=3,"yes","no")</x:f>
        <x:v>no</x:v>
      </x:c>
      <x:c r="M1081" s="1"/>
      <x:c r="N1081" s="1"/>
      <x:c r="O1081" s="1"/>
    </x:row>
    <x:row r="1082">
      <x:c r="A1082" s="1" t="str">
        <x:v>S1081</x:v>
      </x:c>
      <x:c r="B1082" s="1" t="n">
        <x:v>10</x:v>
      </x:c>
      <x:c r="C1082" s="1" t="str">
        <x:v>basic</x:v>
      </x:c>
      <x:c r="D1082" s="8" t="n">
        <x:v>9.99</x:v>
      </x:c>
      <x:c r="E1082" s="1" t="n">
        <x:v>1</x:v>
      </x:c>
      <x:c r="F1082" s="1" t="n">
        <x:v>14</x:v>
      </x:c>
      <x:c r="G1082" s="1" t="n">
        <x:v>6</x:v>
      </x:c>
      <x:c r="H1082" s="1" t="n">
        <x:v>0</x:v>
      </x:c>
      <x:c r="I1082" s="1" t="n">
        <x:v>0</x:v>
      </x:c>
      <x:c r="J1082" s="1" t="str">
        <x:v>yes</x:v>
      </x:c>
      <x:c r="K1082" s="1" t="n">
        <x:f>2*H1082+E1082+IF(G1082&gt;30,2,0)-IF(B1082&gt;24,1,0)</x:f>
        <x:v>1</x:v>
      </x:c>
      <x:c r="L1082" s="1" t="str">
        <x:f>IF(K1082&gt;=3,"yes","no")</x:f>
        <x:v>no</x:v>
      </x:c>
      <x:c r="M1082" s="1"/>
      <x:c r="N1082" s="1"/>
      <x:c r="O1082" s="1"/>
    </x:row>
    <x:row r="1083">
      <x:c r="A1083" s="1" t="str">
        <x:v>S1082</x:v>
      </x:c>
      <x:c r="B1083" s="1" t="n">
        <x:v>38</x:v>
      </x:c>
      <x:c r="C1083" s="1" t="str">
        <x:v>basic</x:v>
      </x:c>
      <x:c r="D1083" s="8" t="n">
        <x:v>9.99</x:v>
      </x:c>
      <x:c r="E1083" s="1" t="n">
        <x:v>3</x:v>
      </x:c>
      <x:c r="F1083" s="1" t="n">
        <x:v>29</x:v>
      </x:c>
      <x:c r="G1083" s="1" t="n">
        <x:v>12</x:v>
      </x:c>
      <x:c r="H1083" s="1" t="n">
        <x:v>1</x:v>
      </x:c>
      <x:c r="I1083" s="1" t="n">
        <x:v>0</x:v>
      </x:c>
      <x:c r="J1083" s="1" t="str">
        <x:v>no</x:v>
      </x:c>
      <x:c r="K1083" s="1" t="n">
        <x:f>2*H1083+E1083+IF(G1083&gt;30,2,0)-IF(B1083&gt;24,1,0)</x:f>
        <x:v>4</x:v>
      </x:c>
      <x:c r="L1083" s="1" t="str">
        <x:f>IF(K1083&gt;=3,"yes","no")</x:f>
        <x:v>yes</x:v>
      </x:c>
      <x:c r="M1083" s="1"/>
      <x:c r="N1083" s="1"/>
      <x:c r="O1083" s="1"/>
    </x:row>
    <x:row r="1084">
      <x:c r="A1084" s="1" t="str">
        <x:v>S1083</x:v>
      </x:c>
      <x:c r="B1084" s="1" t="n">
        <x:v>42</x:v>
      </x:c>
      <x:c r="C1084" s="1" t="str">
        <x:v>basic</x:v>
      </x:c>
      <x:c r="D1084" s="8" t="n">
        <x:v>9.99</x:v>
      </x:c>
      <x:c r="E1084" s="1" t="n">
        <x:v>1</x:v>
      </x:c>
      <x:c r="F1084" s="1" t="n">
        <x:v>30</x:v>
      </x:c>
      <x:c r="G1084" s="1" t="n">
        <x:v>1</x:v>
      </x:c>
      <x:c r="H1084" s="1" t="n">
        <x:v>0</x:v>
      </x:c>
      <x:c r="I1084" s="1" t="n">
        <x:v>1</x:v>
      </x:c>
      <x:c r="J1084" s="1" t="str">
        <x:v>no</x:v>
      </x:c>
      <x:c r="K1084" s="1" t="n">
        <x:f>2*H1084+E1084+IF(G1084&gt;30,2,0)-IF(B1084&gt;24,1,0)</x:f>
        <x:v>0</x:v>
      </x:c>
      <x:c r="L1084" s="1" t="str">
        <x:f>IF(K1084&gt;=3,"yes","no")</x:f>
        <x:v>no</x:v>
      </x:c>
      <x:c r="M1084" s="1"/>
      <x:c r="N1084" s="1"/>
      <x:c r="O1084" s="1"/>
    </x:row>
    <x:row r="1085">
      <x:c r="A1085" s="1" t="str">
        <x:v>S1084</x:v>
      </x:c>
      <x:c r="B1085" s="1" t="n">
        <x:v>13</x:v>
      </x:c>
      <x:c r="C1085" s="1" t="str">
        <x:v>premium</x:v>
      </x:c>
      <x:c r="D1085" s="8" t="n">
        <x:v>15.99</x:v>
      </x:c>
      <x:c r="E1085" s="1" t="n">
        <x:v>1</x:v>
      </x:c>
      <x:c r="F1085" s="1" t="n">
        <x:v>4</x:v>
      </x:c>
      <x:c r="G1085" s="1" t="n">
        <x:v>26</x:v>
      </x:c>
      <x:c r="H1085" s="1" t="n">
        <x:v>1</x:v>
      </x:c>
      <x:c r="I1085" s="1" t="n">
        <x:v>0</x:v>
      </x:c>
      <x:c r="J1085" s="1" t="str">
        <x:v>yes</x:v>
      </x:c>
      <x:c r="K1085" s="1" t="n">
        <x:f>2*H1085+E1085+IF(G1085&gt;30,2,0)-IF(B1085&gt;24,1,0)</x:f>
        <x:v>3</x:v>
      </x:c>
      <x:c r="L1085" s="1" t="str">
        <x:f>IF(K1085&gt;=3,"yes","no")</x:f>
        <x:v>yes</x:v>
      </x:c>
      <x:c r="M1085" s="1"/>
      <x:c r="N1085" s="1"/>
      <x:c r="O1085" s="1"/>
    </x:row>
    <x:row r="1086">
      <x:c r="A1086" s="1" t="str">
        <x:v>S1085</x:v>
      </x:c>
      <x:c r="B1086" s="1" t="n">
        <x:v>17</x:v>
      </x:c>
      <x:c r="C1086" s="1" t="str">
        <x:v>premium</x:v>
      </x:c>
      <x:c r="D1086" s="8" t="n">
        <x:v>15.99</x:v>
      </x:c>
      <x:c r="E1086" s="1" t="n">
        <x:v>1</x:v>
      </x:c>
      <x:c r="F1086" s="1" t="n">
        <x:v>14</x:v>
      </x:c>
      <x:c r="G1086" s="1" t="n">
        <x:v>2</x:v>
      </x:c>
      <x:c r="H1086" s="1" t="n">
        <x:v>0</x:v>
      </x:c>
      <x:c r="I1086" s="1" t="n">
        <x:v>1</x:v>
      </x:c>
      <x:c r="J1086" s="1" t="str">
        <x:v>no</x:v>
      </x:c>
      <x:c r="K1086" s="1" t="n">
        <x:f>2*H1086+E1086+IF(G1086&gt;30,2,0)-IF(B1086&gt;24,1,0)</x:f>
        <x:v>1</x:v>
      </x:c>
      <x:c r="L1086" s="1" t="str">
        <x:f>IF(K1086&gt;=3,"yes","no")</x:f>
        <x:v>no</x:v>
      </x:c>
      <x:c r="M1086" s="1"/>
      <x:c r="N1086" s="1"/>
      <x:c r="O1086" s="1"/>
    </x:row>
    <x:row r="1087">
      <x:c r="A1087" s="1" t="str">
        <x:v>S1086</x:v>
      </x:c>
      <x:c r="B1087" s="1" t="n">
        <x:v>38</x:v>
      </x:c>
      <x:c r="C1087" s="1" t="str">
        <x:v>premium</x:v>
      </x:c>
      <x:c r="D1087" s="8" t="n">
        <x:v>15.99</x:v>
      </x:c>
      <x:c r="E1087" s="1" t="n">
        <x:v>1</x:v>
      </x:c>
      <x:c r="F1087" s="1" t="n">
        <x:v>12</x:v>
      </x:c>
      <x:c r="G1087" s="1" t="n">
        <x:v>2</x:v>
      </x:c>
      <x:c r="H1087" s="1" t="n">
        <x:v>0</x:v>
      </x:c>
      <x:c r="I1087" s="1" t="n">
        <x:v>1</x:v>
      </x:c>
      <x:c r="J1087" s="1" t="str">
        <x:v>no</x:v>
      </x:c>
      <x:c r="K1087" s="1" t="n">
        <x:f>2*H1087+E1087+IF(G1087&gt;30,2,0)-IF(B1087&gt;24,1,0)</x:f>
        <x:v>0</x:v>
      </x:c>
      <x:c r="L1087" s="1" t="str">
        <x:f>IF(K1087&gt;=3,"yes","no")</x:f>
        <x:v>no</x:v>
      </x:c>
      <x:c r="M1087" s="1"/>
      <x:c r="N1087" s="1"/>
      <x:c r="O1087" s="1"/>
    </x:row>
    <x:row r="1088">
      <x:c r="A1088" s="1" t="str">
        <x:v>S1087</x:v>
      </x:c>
      <x:c r="B1088" s="1" t="n">
        <x:v>42</x:v>
      </x:c>
      <x:c r="C1088" s="1" t="str">
        <x:v>premium</x:v>
      </x:c>
      <x:c r="D1088" s="8" t="n">
        <x:v>15.99</x:v>
      </x:c>
      <x:c r="E1088" s="1" t="n">
        <x:v>2</x:v>
      </x:c>
      <x:c r="F1088" s="1" t="n">
        <x:v>7</x:v>
      </x:c>
      <x:c r="G1088" s="1" t="n">
        <x:v>28</x:v>
      </x:c>
      <x:c r="H1088" s="1" t="n">
        <x:v>0</x:v>
      </x:c>
      <x:c r="I1088" s="1" t="n">
        <x:v>0</x:v>
      </x:c>
      <x:c r="J1088" s="1" t="str">
        <x:v>no</x:v>
      </x:c>
      <x:c r="K1088" s="1" t="n">
        <x:f>2*H1088+E1088+IF(G1088&gt;30,2,0)-IF(B1088&gt;24,1,0)</x:f>
        <x:v>1</x:v>
      </x:c>
      <x:c r="L1088" s="1" t="str">
        <x:f>IF(K1088&gt;=3,"yes","no")</x:f>
        <x:v>no</x:v>
      </x:c>
      <x:c r="M1088" s="1"/>
      <x:c r="N1088" s="1"/>
      <x:c r="O1088" s="1"/>
    </x:row>
    <x:row r="1089">
      <x:c r="A1089" s="1" t="str">
        <x:v>S1088</x:v>
      </x:c>
      <x:c r="B1089" s="1" t="n">
        <x:v>1</x:v>
      </x:c>
      <x:c r="C1089" s="1" t="str">
        <x:v>basic</x:v>
      </x:c>
      <x:c r="D1089" s="8" t="n">
        <x:v>9.99</x:v>
      </x:c>
      <x:c r="E1089" s="1" t="n">
        <x:v>2</x:v>
      </x:c>
      <x:c r="F1089" s="1" t="n">
        <x:v>27</x:v>
      </x:c>
      <x:c r="G1089" s="1" t="n">
        <x:v>6</x:v>
      </x:c>
      <x:c r="H1089" s="1" t="n">
        <x:v>0</x:v>
      </x:c>
      <x:c r="I1089" s="1" t="n">
        <x:v>0</x:v>
      </x:c>
      <x:c r="J1089" s="1" t="str">
        <x:v>no</x:v>
      </x:c>
      <x:c r="K1089" s="1" t="n">
        <x:f>2*H1089+E1089+IF(G1089&gt;30,2,0)-IF(B1089&gt;24,1,0)</x:f>
        <x:v>2</x:v>
      </x:c>
      <x:c r="L1089" s="1" t="str">
        <x:f>IF(K1089&gt;=3,"yes","no")</x:f>
        <x:v>no</x:v>
      </x:c>
      <x:c r="M1089" s="1"/>
      <x:c r="N1089" s="1"/>
      <x:c r="O1089" s="1"/>
    </x:row>
    <x:row r="1090">
      <x:c r="A1090" s="1" t="str">
        <x:v>S1089</x:v>
      </x:c>
      <x:c r="B1090" s="1" t="n">
        <x:v>14</x:v>
      </x:c>
      <x:c r="C1090" s="1" t="str">
        <x:v>premium</x:v>
      </x:c>
      <x:c r="D1090" s="8" t="n">
        <x:v>15.99</x:v>
      </x:c>
      <x:c r="E1090" s="1" t="n">
        <x:v>0</x:v>
      </x:c>
      <x:c r="F1090" s="1" t="n">
        <x:v>29</x:v>
      </x:c>
      <x:c r="G1090" s="1" t="n">
        <x:v>1</x:v>
      </x:c>
      <x:c r="H1090" s="1" t="n">
        <x:v>0</x:v>
      </x:c>
      <x:c r="I1090" s="1" t="n">
        <x:v>0</x:v>
      </x:c>
      <x:c r="J1090" s="1" t="str">
        <x:v>no</x:v>
      </x:c>
      <x:c r="K1090" s="1" t="n">
        <x:f>2*H1090+E1090+IF(G1090&gt;30,2,0)-IF(B1090&gt;24,1,0)</x:f>
        <x:v>0</x:v>
      </x:c>
      <x:c r="L1090" s="1" t="str">
        <x:f>IF(K1090&gt;=3,"yes","no")</x:f>
        <x:v>no</x:v>
      </x:c>
      <x:c r="M1090" s="1"/>
      <x:c r="N1090" s="1"/>
      <x:c r="O1090" s="1"/>
    </x:row>
    <x:row r="1091">
      <x:c r="A1091" s="1" t="str">
        <x:v>S1090</x:v>
      </x:c>
      <x:c r="B1091" s="1" t="n">
        <x:v>36</x:v>
      </x:c>
      <x:c r="C1091" s="1" t="str">
        <x:v>premium</x:v>
      </x:c>
      <x:c r="D1091" s="8" t="n">
        <x:v>15.99</x:v>
      </x:c>
      <x:c r="E1091" s="1" t="n">
        <x:v>0</x:v>
      </x:c>
      <x:c r="F1091" s="1" t="n">
        <x:v>12</x:v>
      </x:c>
      <x:c r="G1091" s="1" t="n">
        <x:v>25</x:v>
      </x:c>
      <x:c r="H1091" s="1" t="n">
        <x:v>0</x:v>
      </x:c>
      <x:c r="I1091" s="1" t="n">
        <x:v>0</x:v>
      </x:c>
      <x:c r="J1091" s="1" t="str">
        <x:v>no</x:v>
      </x:c>
      <x:c r="K1091" s="1" t="n">
        <x:f>2*H1091+E1091+IF(G1091&gt;30,2,0)-IF(B1091&gt;24,1,0)</x:f>
        <x:v>-1</x:v>
      </x:c>
      <x:c r="L1091" s="1" t="str">
        <x:f>IF(K1091&gt;=3,"yes","no")</x:f>
        <x:v>no</x:v>
      </x:c>
      <x:c r="M1091" s="1"/>
      <x:c r="N1091" s="1"/>
      <x:c r="O1091" s="1"/>
    </x:row>
    <x:row r="1092">
      <x:c r="A1092" s="1" t="str">
        <x:v>S1091</x:v>
      </x:c>
      <x:c r="B1092" s="1" t="n">
        <x:v>45</x:v>
      </x:c>
      <x:c r="C1092" s="1" t="str">
        <x:v>basic</x:v>
      </x:c>
      <x:c r="D1092" s="8" t="n">
        <x:v>9.99</x:v>
      </x:c>
      <x:c r="E1092" s="1" t="n">
        <x:v>0</x:v>
      </x:c>
      <x:c r="F1092" s="1" t="n">
        <x:v>6</x:v>
      </x:c>
      <x:c r="G1092" s="1" t="n">
        <x:v>21</x:v>
      </x:c>
      <x:c r="H1092" s="1" t="n">
        <x:v>0</x:v>
      </x:c>
      <x:c r="I1092" s="1" t="n">
        <x:v>0</x:v>
      </x:c>
      <x:c r="J1092" s="1" t="str">
        <x:v>no</x:v>
      </x:c>
      <x:c r="K1092" s="1" t="n">
        <x:f>2*H1092+E1092+IF(G1092&gt;30,2,0)-IF(B1092&gt;24,1,0)</x:f>
        <x:v>-1</x:v>
      </x:c>
      <x:c r="L1092" s="1" t="str">
        <x:f>IF(K1092&gt;=3,"yes","no")</x:f>
        <x:v>no</x:v>
      </x:c>
      <x:c r="M1092" s="1"/>
      <x:c r="N1092" s="1"/>
      <x:c r="O1092" s="1"/>
    </x:row>
    <x:row r="1093">
      <x:c r="A1093" s="1" t="str">
        <x:v>S1092</x:v>
      </x:c>
      <x:c r="B1093" s="1" t="n">
        <x:v>27</x:v>
      </x:c>
      <x:c r="C1093" s="1" t="str">
        <x:v>premium</x:v>
      </x:c>
      <x:c r="D1093" s="8" t="n">
        <x:v>15.99</x:v>
      </x:c>
      <x:c r="E1093" s="1" t="n">
        <x:v>1</x:v>
      </x:c>
      <x:c r="F1093" s="1" t="n">
        <x:v>21</x:v>
      </x:c>
      <x:c r="G1093" s="1" t="n">
        <x:v>7</x:v>
      </x:c>
      <x:c r="H1093" s="1" t="n">
        <x:v>0</x:v>
      </x:c>
      <x:c r="I1093" s="1" t="n">
        <x:v>0</x:v>
      </x:c>
      <x:c r="J1093" s="1" t="str">
        <x:v>no</x:v>
      </x:c>
      <x:c r="K1093" s="1" t="n">
        <x:f>2*H1093+E1093+IF(G1093&gt;30,2,0)-IF(B1093&gt;24,1,0)</x:f>
        <x:v>0</x:v>
      </x:c>
      <x:c r="L1093" s="1" t="str">
        <x:f>IF(K1093&gt;=3,"yes","no")</x:f>
        <x:v>no</x:v>
      </x:c>
      <x:c r="M1093" s="1"/>
      <x:c r="N1093" s="1"/>
      <x:c r="O1093" s="1"/>
    </x:row>
    <x:row r="1094">
      <x:c r="A1094" s="1" t="str">
        <x:v>S1093</x:v>
      </x:c>
      <x:c r="B1094" s="1" t="n">
        <x:v>29</x:v>
      </x:c>
      <x:c r="C1094" s="1" t="str">
        <x:v>basic</x:v>
      </x:c>
      <x:c r="D1094" s="8" t="n">
        <x:v>9.99</x:v>
      </x:c>
      <x:c r="E1094" s="1" t="n">
        <x:v>3</x:v>
      </x:c>
      <x:c r="F1094" s="1" t="n">
        <x:v>6</x:v>
      </x:c>
      <x:c r="G1094" s="1" t="n">
        <x:v>6</x:v>
      </x:c>
      <x:c r="H1094" s="1" t="n">
        <x:v>0</x:v>
      </x:c>
      <x:c r="I1094" s="1" t="n">
        <x:v>0</x:v>
      </x:c>
      <x:c r="J1094" s="1" t="str">
        <x:v>no</x:v>
      </x:c>
      <x:c r="K1094" s="1" t="n">
        <x:f>2*H1094+E1094+IF(G1094&gt;30,2,0)-IF(B1094&gt;24,1,0)</x:f>
        <x:v>2</x:v>
      </x:c>
      <x:c r="L1094" s="1" t="str">
        <x:f>IF(K1094&gt;=3,"yes","no")</x:f>
        <x:v>no</x:v>
      </x:c>
      <x:c r="M1094" s="1"/>
      <x:c r="N1094" s="1"/>
      <x:c r="O1094" s="1"/>
    </x:row>
    <x:row r="1095">
      <x:c r="A1095" s="1" t="str">
        <x:v>S1094</x:v>
      </x:c>
      <x:c r="B1095" s="1" t="n">
        <x:v>48</x:v>
      </x:c>
      <x:c r="C1095" s="1" t="str">
        <x:v>basic</x:v>
      </x:c>
      <x:c r="D1095" s="8" t="n">
        <x:v>9.99</x:v>
      </x:c>
      <x:c r="E1095" s="1" t="n">
        <x:v>0</x:v>
      </x:c>
      <x:c r="F1095" s="1" t="n">
        <x:v>17</x:v>
      </x:c>
      <x:c r="G1095" s="1" t="n">
        <x:v>6</x:v>
      </x:c>
      <x:c r="H1095" s="1" t="n">
        <x:v>0</x:v>
      </x:c>
      <x:c r="I1095" s="1" t="n">
        <x:v>0</x:v>
      </x:c>
      <x:c r="J1095" s="1" t="str">
        <x:v>no</x:v>
      </x:c>
      <x:c r="K1095" s="1" t="n">
        <x:f>2*H1095+E1095+IF(G1095&gt;30,2,0)-IF(B1095&gt;24,1,0)</x:f>
        <x:v>-1</x:v>
      </x:c>
      <x:c r="L1095" s="1" t="str">
        <x:f>IF(K1095&gt;=3,"yes","no")</x:f>
        <x:v>no</x:v>
      </x:c>
      <x:c r="M1095" s="1"/>
      <x:c r="N1095" s="1"/>
      <x:c r="O1095" s="1"/>
    </x:row>
    <x:row r="1096">
      <x:c r="A1096" s="1" t="str">
        <x:v>S1095</x:v>
      </x:c>
      <x:c r="B1096" s="1" t="n">
        <x:v>15</x:v>
      </x:c>
      <x:c r="C1096" s="1" t="str">
        <x:v>basic</x:v>
      </x:c>
      <x:c r="D1096" s="8" t="n">
        <x:v>9.99</x:v>
      </x:c>
      <x:c r="E1096" s="1" t="n">
        <x:v>0</x:v>
      </x:c>
      <x:c r="F1096" s="1" t="n">
        <x:v>13</x:v>
      </x:c>
      <x:c r="G1096" s="1" t="n">
        <x:v>5</x:v>
      </x:c>
      <x:c r="H1096" s="1" t="n">
        <x:v>0</x:v>
      </x:c>
      <x:c r="I1096" s="1" t="n">
        <x:v>1</x:v>
      </x:c>
      <x:c r="J1096" s="1" t="str">
        <x:v>no</x:v>
      </x:c>
      <x:c r="K1096" s="1" t="n">
        <x:f>2*H1096+E1096+IF(G1096&gt;30,2,0)-IF(B1096&gt;24,1,0)</x:f>
        <x:v>0</x:v>
      </x:c>
      <x:c r="L1096" s="1" t="str">
        <x:f>IF(K1096&gt;=3,"yes","no")</x:f>
        <x:v>no</x:v>
      </x:c>
      <x:c r="M1096" s="1"/>
      <x:c r="N1096" s="1"/>
      <x:c r="O1096" s="1"/>
    </x:row>
    <x:row r="1097">
      <x:c r="A1097" s="1" t="str">
        <x:v>S1096</x:v>
      </x:c>
      <x:c r="B1097" s="1" t="n">
        <x:v>24</x:v>
      </x:c>
      <x:c r="C1097" s="1" t="str">
        <x:v>premium</x:v>
      </x:c>
      <x:c r="D1097" s="8" t="n">
        <x:v>15.99</x:v>
      </x:c>
      <x:c r="E1097" s="1" t="n">
        <x:v>0</x:v>
      </x:c>
      <x:c r="F1097" s="1" t="n">
        <x:v>30</x:v>
      </x:c>
      <x:c r="G1097" s="1" t="n">
        <x:v>2</x:v>
      </x:c>
      <x:c r="H1097" s="1" t="n">
        <x:v>0</x:v>
      </x:c>
      <x:c r="I1097" s="1" t="n">
        <x:v>0</x:v>
      </x:c>
      <x:c r="J1097" s="1" t="str">
        <x:v>no</x:v>
      </x:c>
      <x:c r="K1097" s="1" t="n">
        <x:f>2*H1097+E1097+IF(G1097&gt;30,2,0)-IF(B1097&gt;24,1,0)</x:f>
        <x:v>0</x:v>
      </x:c>
      <x:c r="L1097" s="1" t="str">
        <x:f>IF(K1097&gt;=3,"yes","no")</x:f>
        <x:v>no</x:v>
      </x:c>
      <x:c r="M1097" s="1"/>
      <x:c r="N1097" s="1"/>
      <x:c r="O1097" s="1"/>
    </x:row>
    <x:row r="1098">
      <x:c r="A1098" s="1" t="str">
        <x:v>S1097</x:v>
      </x:c>
      <x:c r="B1098" s="1" t="n">
        <x:v>41</x:v>
      </x:c>
      <x:c r="C1098" s="1" t="str">
        <x:v>premium</x:v>
      </x:c>
      <x:c r="D1098" s="8" t="n">
        <x:v>15.99</x:v>
      </x:c>
      <x:c r="E1098" s="1" t="n">
        <x:v>3</x:v>
      </x:c>
      <x:c r="F1098" s="1" t="n">
        <x:v>0</x:v>
      </x:c>
      <x:c r="G1098" s="1" t="n">
        <x:v>51</x:v>
      </x:c>
      <x:c r="H1098" s="1" t="n">
        <x:v>0</x:v>
      </x:c>
      <x:c r="I1098" s="1" t="n">
        <x:v>0</x:v>
      </x:c>
      <x:c r="J1098" s="1" t="str">
        <x:v>yes</x:v>
      </x:c>
      <x:c r="K1098" s="1" t="n">
        <x:f>2*H1098+E1098+IF(G1098&gt;30,2,0)-IF(B1098&gt;24,1,0)</x:f>
        <x:v>4</x:v>
      </x:c>
      <x:c r="L1098" s="1" t="str">
        <x:f>IF(K1098&gt;=3,"yes","no")</x:f>
        <x:v>yes</x:v>
      </x:c>
      <x:c r="M1098" s="1"/>
      <x:c r="N1098" s="1"/>
      <x:c r="O1098" s="1"/>
    </x:row>
    <x:row r="1099">
      <x:c r="A1099" s="1" t="str">
        <x:v>S1098</x:v>
      </x:c>
      <x:c r="B1099" s="1" t="n">
        <x:v>43</x:v>
      </x:c>
      <x:c r="C1099" s="1" t="str">
        <x:v>premium</x:v>
      </x:c>
      <x:c r="D1099" s="8" t="n">
        <x:v>15.99</x:v>
      </x:c>
      <x:c r="E1099" s="1" t="n">
        <x:v>1</x:v>
      </x:c>
      <x:c r="F1099" s="1" t="n">
        <x:v>25</x:v>
      </x:c>
      <x:c r="G1099" s="1" t="n">
        <x:v>1</x:v>
      </x:c>
      <x:c r="H1099" s="1" t="n">
        <x:v>0</x:v>
      </x:c>
      <x:c r="I1099" s="1" t="n">
        <x:v>0</x:v>
      </x:c>
      <x:c r="J1099" s="1" t="str">
        <x:v>no</x:v>
      </x:c>
      <x:c r="K1099" s="1" t="n">
        <x:f>2*H1099+E1099+IF(G1099&gt;30,2,0)-IF(B1099&gt;24,1,0)</x:f>
        <x:v>0</x:v>
      </x:c>
      <x:c r="L1099" s="1" t="str">
        <x:f>IF(K1099&gt;=3,"yes","no")</x:f>
        <x:v>no</x:v>
      </x:c>
      <x:c r="M1099" s="1"/>
      <x:c r="N1099" s="1"/>
      <x:c r="O1099" s="1"/>
    </x:row>
    <x:row r="1100">
      <x:c r="A1100" s="1" t="str">
        <x:v>S1099</x:v>
      </x:c>
      <x:c r="B1100" s="1" t="n">
        <x:v>17</x:v>
      </x:c>
      <x:c r="C1100" s="1" t="str">
        <x:v>basic</x:v>
      </x:c>
      <x:c r="D1100" s="8" t="n">
        <x:v>9.99</x:v>
      </x:c>
      <x:c r="E1100" s="1" t="n">
        <x:v>1</x:v>
      </x:c>
      <x:c r="F1100" s="1" t="n">
        <x:v>17</x:v>
      </x:c>
      <x:c r="G1100" s="1" t="n">
        <x:v>16</x:v>
      </x:c>
      <x:c r="H1100" s="1" t="n">
        <x:v>0</x:v>
      </x:c>
      <x:c r="I1100" s="1" t="n">
        <x:v>0</x:v>
      </x:c>
      <x:c r="J1100" s="1" t="str">
        <x:v>no</x:v>
      </x:c>
      <x:c r="K1100" s="1" t="n">
        <x:f>2*H1100+E1100+IF(G1100&gt;30,2,0)-IF(B1100&gt;24,1,0)</x:f>
        <x:v>1</x:v>
      </x:c>
      <x:c r="L1100" s="1" t="str">
        <x:f>IF(K1100&gt;=3,"yes","no")</x:f>
        <x:v>no</x:v>
      </x:c>
      <x:c r="M1100" s="1"/>
      <x:c r="N1100" s="1"/>
      <x:c r="O1100" s="1"/>
    </x:row>
    <x:row r="1101">
      <x:c r="A1101" s="1" t="str">
        <x:v>S1100</x:v>
      </x:c>
      <x:c r="B1101" s="1" t="n">
        <x:v>1</x:v>
      </x:c>
      <x:c r="C1101" s="1" t="str">
        <x:v>premium</x:v>
      </x:c>
      <x:c r="D1101" s="8" t="n">
        <x:v>15.99</x:v>
      </x:c>
      <x:c r="E1101" s="1" t="n">
        <x:v>1</x:v>
      </x:c>
      <x:c r="F1101" s="1" t="n">
        <x:v>11</x:v>
      </x:c>
      <x:c r="G1101" s="1" t="n">
        <x:v>6</x:v>
      </x:c>
      <x:c r="H1101" s="1" t="n">
        <x:v>0</x:v>
      </x:c>
      <x:c r="I1101" s="1" t="n">
        <x:v>0</x:v>
      </x:c>
      <x:c r="J1101" s="1" t="str">
        <x:v>yes</x:v>
      </x:c>
      <x:c r="K1101" s="1" t="n">
        <x:f>2*H1101+E1101+IF(G1101&gt;30,2,0)-IF(B1101&gt;24,1,0)</x:f>
        <x:v>1</x:v>
      </x:c>
      <x:c r="L1101" s="1" t="str">
        <x:f>IF(K1101&gt;=3,"yes","no")</x:f>
        <x:v>no</x:v>
      </x:c>
      <x:c r="M1101" s="1"/>
      <x:c r="N1101" s="1"/>
      <x:c r="O1101" s="1"/>
    </x:row>
    <x:row r="1102">
      <x:c r="A1102" s="1" t="str">
        <x:v>S1101</x:v>
      </x:c>
      <x:c r="B1102" s="1" t="n">
        <x:v>1</x:v>
      </x:c>
      <x:c r="C1102" s="1" t="str">
        <x:v>basic</x:v>
      </x:c>
      <x:c r="D1102" s="8" t="n">
        <x:v>9.99</x:v>
      </x:c>
      <x:c r="E1102" s="1" t="n">
        <x:v>0</x:v>
      </x:c>
      <x:c r="F1102" s="1" t="n">
        <x:v>0</x:v>
      </x:c>
      <x:c r="G1102" s="1" t="n">
        <x:v>39</x:v>
      </x:c>
      <x:c r="H1102" s="1" t="n">
        <x:v>0</x:v>
      </x:c>
      <x:c r="I1102" s="1" t="n">
        <x:v>0</x:v>
      </x:c>
      <x:c r="J1102" s="1" t="str">
        <x:v>no</x:v>
      </x:c>
      <x:c r="K1102" s="1" t="n">
        <x:f>2*H1102+E1102+IF(G1102&gt;30,2,0)-IF(B1102&gt;24,1,0)</x:f>
        <x:v>2</x:v>
      </x:c>
      <x:c r="L1102" s="1" t="str">
        <x:f>IF(K1102&gt;=3,"yes","no")</x:f>
        <x:v>no</x:v>
      </x:c>
      <x:c r="M1102" s="1"/>
      <x:c r="N1102" s="1"/>
      <x:c r="O1102" s="1"/>
    </x:row>
    <x:row r="1103">
      <x:c r="A1103" s="1" t="str">
        <x:v>S1102</x:v>
      </x:c>
      <x:c r="B1103" s="1" t="n">
        <x:v>42</x:v>
      </x:c>
      <x:c r="C1103" s="1" t="str">
        <x:v>basic</x:v>
      </x:c>
      <x:c r="D1103" s="8" t="n">
        <x:v>9.99</x:v>
      </x:c>
      <x:c r="E1103" s="1" t="n">
        <x:v>0</x:v>
      </x:c>
      <x:c r="F1103" s="1" t="n">
        <x:v>17</x:v>
      </x:c>
      <x:c r="G1103" s="1" t="n">
        <x:v>2</x:v>
      </x:c>
      <x:c r="H1103" s="1" t="n">
        <x:v>0</x:v>
      </x:c>
      <x:c r="I1103" s="1" t="n">
        <x:v>0</x:v>
      </x:c>
      <x:c r="J1103" s="1" t="str">
        <x:v>no</x:v>
      </x:c>
      <x:c r="K1103" s="1" t="n">
        <x:f>2*H1103+E1103+IF(G1103&gt;30,2,0)-IF(B1103&gt;24,1,0)</x:f>
        <x:v>-1</x:v>
      </x:c>
      <x:c r="L1103" s="1" t="str">
        <x:f>IF(K1103&gt;=3,"yes","no")</x:f>
        <x:v>no</x:v>
      </x:c>
      <x:c r="M1103" s="1"/>
      <x:c r="N1103" s="1"/>
      <x:c r="O1103" s="1"/>
    </x:row>
    <x:row r="1104">
      <x:c r="A1104" s="1" t="str">
        <x:v>S1103</x:v>
      </x:c>
      <x:c r="B1104" s="1" t="n">
        <x:v>10</x:v>
      </x:c>
      <x:c r="C1104" s="1" t="str">
        <x:v>basic</x:v>
      </x:c>
      <x:c r="D1104" s="8" t="n">
        <x:v>9.99</x:v>
      </x:c>
      <x:c r="E1104" s="1" t="n">
        <x:v>2</x:v>
      </x:c>
      <x:c r="F1104" s="1" t="n">
        <x:v>0</x:v>
      </x:c>
      <x:c r="G1104" s="1" t="n">
        <x:v>50</x:v>
      </x:c>
      <x:c r="H1104" s="1" t="n">
        <x:v>0</x:v>
      </x:c>
      <x:c r="I1104" s="1" t="n">
        <x:v>0</x:v>
      </x:c>
      <x:c r="J1104" s="1" t="str">
        <x:v>yes</x:v>
      </x:c>
      <x:c r="K1104" s="1" t="n">
        <x:f>2*H1104+E1104+IF(G1104&gt;30,2,0)-IF(B1104&gt;24,1,0)</x:f>
        <x:v>4</x:v>
      </x:c>
      <x:c r="L1104" s="1" t="str">
        <x:f>IF(K1104&gt;=3,"yes","no")</x:f>
        <x:v>yes</x:v>
      </x:c>
      <x:c r="M1104" s="1"/>
      <x:c r="N1104" s="1"/>
      <x:c r="O1104" s="1"/>
    </x:row>
    <x:row r="1105">
      <x:c r="A1105" s="1" t="str">
        <x:v>S1104</x:v>
      </x:c>
      <x:c r="B1105" s="1" t="n">
        <x:v>25</x:v>
      </x:c>
      <x:c r="C1105" s="1" t="str">
        <x:v>basic</x:v>
      </x:c>
      <x:c r="D1105" s="8" t="n">
        <x:v>9.99</x:v>
      </x:c>
      <x:c r="E1105" s="1" t="n">
        <x:v>0</x:v>
      </x:c>
      <x:c r="F1105" s="1" t="n">
        <x:v>37</x:v>
      </x:c>
      <x:c r="G1105" s="1" t="n">
        <x:v>0</x:v>
      </x:c>
      <x:c r="H1105" s="1" t="n">
        <x:v>1</x:v>
      </x:c>
      <x:c r="I1105" s="1" t="n">
        <x:v>0</x:v>
      </x:c>
      <x:c r="J1105" s="1" t="str">
        <x:v>no</x:v>
      </x:c>
      <x:c r="K1105" s="1" t="n">
        <x:f>2*H1105+E1105+IF(G1105&gt;30,2,0)-IF(B1105&gt;24,1,0)</x:f>
        <x:v>1</x:v>
      </x:c>
      <x:c r="L1105" s="1" t="str">
        <x:f>IF(K1105&gt;=3,"yes","no")</x:f>
        <x:v>no</x:v>
      </x:c>
      <x:c r="M1105" s="1"/>
      <x:c r="N1105" s="1"/>
      <x:c r="O1105" s="1"/>
    </x:row>
    <x:row r="1106">
      <x:c r="A1106" s="1" t="str">
        <x:v>S1105</x:v>
      </x:c>
      <x:c r="B1106" s="1" t="n">
        <x:v>32</x:v>
      </x:c>
      <x:c r="C1106" s="1" t="str">
        <x:v>premium</x:v>
      </x:c>
      <x:c r="D1106" s="8" t="n">
        <x:v>15.99</x:v>
      </x:c>
      <x:c r="E1106" s="1" t="n">
        <x:v>1</x:v>
      </x:c>
      <x:c r="F1106" s="1" t="n">
        <x:v>23</x:v>
      </x:c>
      <x:c r="G1106" s="1" t="n">
        <x:v>3</x:v>
      </x:c>
      <x:c r="H1106" s="1" t="n">
        <x:v>2</x:v>
      </x:c>
      <x:c r="I1106" s="1" t="n">
        <x:v>0</x:v>
      </x:c>
      <x:c r="J1106" s="1" t="str">
        <x:v>no</x:v>
      </x:c>
      <x:c r="K1106" s="1" t="n">
        <x:f>2*H1106+E1106+IF(G1106&gt;30,2,0)-IF(B1106&gt;24,1,0)</x:f>
        <x:v>4</x:v>
      </x:c>
      <x:c r="L1106" s="1" t="str">
        <x:f>IF(K1106&gt;=3,"yes","no")</x:f>
        <x:v>yes</x:v>
      </x:c>
      <x:c r="M1106" s="1"/>
      <x:c r="N1106" s="1"/>
      <x:c r="O1106" s="1"/>
    </x:row>
    <x:row r="1107">
      <x:c r="A1107" s="1" t="str">
        <x:v>S1106</x:v>
      </x:c>
      <x:c r="B1107" s="1" t="n">
        <x:v>5</x:v>
      </x:c>
      <x:c r="C1107" s="1" t="str">
        <x:v>basic</x:v>
      </x:c>
      <x:c r="D1107" s="8" t="n">
        <x:v>9.99</x:v>
      </x:c>
      <x:c r="E1107" s="1" t="n">
        <x:v>3</x:v>
      </x:c>
      <x:c r="F1107" s="1" t="n">
        <x:v>0</x:v>
      </x:c>
      <x:c r="G1107" s="1" t="n">
        <x:v>58</x:v>
      </x:c>
      <x:c r="H1107" s="1" t="n">
        <x:v>1</x:v>
      </x:c>
      <x:c r="I1107" s="1" t="n">
        <x:v>0</x:v>
      </x:c>
      <x:c r="J1107" s="1" t="str">
        <x:v>yes</x:v>
      </x:c>
      <x:c r="K1107" s="1" t="n">
        <x:f>2*H1107+E1107+IF(G1107&gt;30,2,0)-IF(B1107&gt;24,1,0)</x:f>
        <x:v>7</x:v>
      </x:c>
      <x:c r="L1107" s="1" t="str">
        <x:f>IF(K1107&gt;=3,"yes","no")</x:f>
        <x:v>yes</x:v>
      </x:c>
      <x:c r="M1107" s="1"/>
      <x:c r="N1107" s="1"/>
      <x:c r="O1107" s="1"/>
    </x:row>
    <x:row r="1108">
      <x:c r="A1108" s="1" t="str">
        <x:v>S1107</x:v>
      </x:c>
      <x:c r="B1108" s="1" t="n">
        <x:v>3</x:v>
      </x:c>
      <x:c r="C1108" s="1" t="str">
        <x:v>premium</x:v>
      </x:c>
      <x:c r="D1108" s="8" t="n">
        <x:v>15.99</x:v>
      </x:c>
      <x:c r="E1108" s="1" t="n">
        <x:v>0</x:v>
      </x:c>
      <x:c r="F1108" s="1" t="n">
        <x:v>22</x:v>
      </x:c>
      <x:c r="G1108" s="1" t="n">
        <x:v>0</x:v>
      </x:c>
      <x:c r="H1108" s="1" t="n">
        <x:v>0</x:v>
      </x:c>
      <x:c r="I1108" s="1" t="n">
        <x:v>0</x:v>
      </x:c>
      <x:c r="J1108" s="1" t="str">
        <x:v>no</x:v>
      </x:c>
      <x:c r="K1108" s="1" t="n">
        <x:f>2*H1108+E1108+IF(G1108&gt;30,2,0)-IF(B1108&gt;24,1,0)</x:f>
        <x:v>0</x:v>
      </x:c>
      <x:c r="L1108" s="1" t="str">
        <x:f>IF(K1108&gt;=3,"yes","no")</x:f>
        <x:v>no</x:v>
      </x:c>
      <x:c r="M1108" s="1"/>
      <x:c r="N1108" s="1"/>
      <x:c r="O1108" s="1"/>
    </x:row>
    <x:row r="1109">
      <x:c r="A1109" s="1" t="str">
        <x:v>S1108</x:v>
      </x:c>
      <x:c r="B1109" s="1" t="n">
        <x:v>15</x:v>
      </x:c>
      <x:c r="C1109" s="1" t="str">
        <x:v>basic</x:v>
      </x:c>
      <x:c r="D1109" s="8" t="n">
        <x:v>9.99</x:v>
      </x:c>
      <x:c r="E1109" s="1" t="n">
        <x:v>0</x:v>
      </x:c>
      <x:c r="F1109" s="1" t="n">
        <x:v>0</x:v>
      </x:c>
      <x:c r="G1109" s="1" t="n">
        <x:v>40</x:v>
      </x:c>
      <x:c r="H1109" s="1" t="n">
        <x:v>0</x:v>
      </x:c>
      <x:c r="I1109" s="1" t="n">
        <x:v>0</x:v>
      </x:c>
      <x:c r="J1109" s="1" t="str">
        <x:v>yes</x:v>
      </x:c>
      <x:c r="K1109" s="1" t="n">
        <x:f>2*H1109+E1109+IF(G1109&gt;30,2,0)-IF(B1109&gt;24,1,0)</x:f>
        <x:v>2</x:v>
      </x:c>
      <x:c r="L1109" s="1" t="str">
        <x:f>IF(K1109&gt;=3,"yes","no")</x:f>
        <x:v>no</x:v>
      </x:c>
      <x:c r="M1109" s="1"/>
      <x:c r="N1109" s="1"/>
      <x:c r="O1109" s="1"/>
    </x:row>
    <x:row r="1110">
      <x:c r="A1110" s="1" t="str">
        <x:v>S1109</x:v>
      </x:c>
      <x:c r="B1110" s="1" t="n">
        <x:v>32</x:v>
      </x:c>
      <x:c r="C1110" s="1" t="str">
        <x:v>premium</x:v>
      </x:c>
      <x:c r="D1110" s="8" t="n">
        <x:v>15.99</x:v>
      </x:c>
      <x:c r="E1110" s="1" t="n">
        <x:v>0</x:v>
      </x:c>
      <x:c r="F1110" s="1" t="n">
        <x:v>7</x:v>
      </x:c>
      <x:c r="G1110" s="1" t="n">
        <x:v>3</x:v>
      </x:c>
      <x:c r="H1110" s="1" t="n">
        <x:v>0</x:v>
      </x:c>
      <x:c r="I1110" s="1" t="n">
        <x:v>1</x:v>
      </x:c>
      <x:c r="J1110" s="1" t="str">
        <x:v>no</x:v>
      </x:c>
      <x:c r="K1110" s="1" t="n">
        <x:f>2*H1110+E1110+IF(G1110&gt;30,2,0)-IF(B1110&gt;24,1,0)</x:f>
        <x:v>-1</x:v>
      </x:c>
      <x:c r="L1110" s="1" t="str">
        <x:f>IF(K1110&gt;=3,"yes","no")</x:f>
        <x:v>no</x:v>
      </x:c>
      <x:c r="M1110" s="1"/>
      <x:c r="N1110" s="1"/>
      <x:c r="O1110" s="1"/>
    </x:row>
    <x:row r="1111">
      <x:c r="A1111" s="1" t="str">
        <x:v>S1110</x:v>
      </x:c>
      <x:c r="B1111" s="1" t="n">
        <x:v>27</x:v>
      </x:c>
      <x:c r="C1111" s="1" t="str">
        <x:v>basic</x:v>
      </x:c>
      <x:c r="D1111" s="8" t="n">
        <x:v>9.99</x:v>
      </x:c>
      <x:c r="E1111" s="1" t="n">
        <x:v>0</x:v>
      </x:c>
      <x:c r="F1111" s="1" t="n">
        <x:v>7</x:v>
      </x:c>
      <x:c r="G1111" s="1" t="n">
        <x:v>14</x:v>
      </x:c>
      <x:c r="H1111" s="1" t="n">
        <x:v>0</x:v>
      </x:c>
      <x:c r="I1111" s="1" t="n">
        <x:v>1</x:v>
      </x:c>
      <x:c r="J1111" s="1" t="str">
        <x:v>no</x:v>
      </x:c>
      <x:c r="K1111" s="1" t="n">
        <x:f>2*H1111+E1111+IF(G1111&gt;30,2,0)-IF(B1111&gt;24,1,0)</x:f>
        <x:v>-1</x:v>
      </x:c>
      <x:c r="L1111" s="1" t="str">
        <x:f>IF(K1111&gt;=3,"yes","no")</x:f>
        <x:v>no</x:v>
      </x:c>
      <x:c r="M1111" s="1"/>
      <x:c r="N1111" s="1"/>
      <x:c r="O1111" s="1"/>
    </x:row>
    <x:row r="1112">
      <x:c r="A1112" s="1" t="str">
        <x:v>S1111</x:v>
      </x:c>
      <x:c r="B1112" s="1" t="n">
        <x:v>22</x:v>
      </x:c>
      <x:c r="C1112" s="1" t="str">
        <x:v>premium</x:v>
      </x:c>
      <x:c r="D1112" s="8" t="n">
        <x:v>15.99</x:v>
      </x:c>
      <x:c r="E1112" s="1" t="n">
        <x:v>0</x:v>
      </x:c>
      <x:c r="F1112" s="1" t="n">
        <x:v>25</x:v>
      </x:c>
      <x:c r="G1112" s="1" t="n">
        <x:v>7</x:v>
      </x:c>
      <x:c r="H1112" s="1" t="n">
        <x:v>1</x:v>
      </x:c>
      <x:c r="I1112" s="1" t="n">
        <x:v>0</x:v>
      </x:c>
      <x:c r="J1112" s="1" t="str">
        <x:v>no</x:v>
      </x:c>
      <x:c r="K1112" s="1" t="n">
        <x:f>2*H1112+E1112+IF(G1112&gt;30,2,0)-IF(B1112&gt;24,1,0)</x:f>
        <x:v>2</x:v>
      </x:c>
      <x:c r="L1112" s="1" t="str">
        <x:f>IF(K1112&gt;=3,"yes","no")</x:f>
        <x:v>no</x:v>
      </x:c>
      <x:c r="M1112" s="1"/>
      <x:c r="N1112" s="1"/>
      <x:c r="O1112" s="1"/>
    </x:row>
    <x:row r="1113">
      <x:c r="A1113" s="1" t="str">
        <x:v>S1112</x:v>
      </x:c>
      <x:c r="B1113" s="1" t="n">
        <x:v>20</x:v>
      </x:c>
      <x:c r="C1113" s="1" t="str">
        <x:v>basic</x:v>
      </x:c>
      <x:c r="D1113" s="8" t="n">
        <x:v>9.99</x:v>
      </x:c>
      <x:c r="E1113" s="1" t="n">
        <x:v>1</x:v>
      </x:c>
      <x:c r="F1113" s="1" t="n">
        <x:v>8</x:v>
      </x:c>
      <x:c r="G1113" s="1" t="n">
        <x:v>3</x:v>
      </x:c>
      <x:c r="H1113" s="1" t="n">
        <x:v>0</x:v>
      </x:c>
      <x:c r="I1113" s="1" t="n">
        <x:v>1</x:v>
      </x:c>
      <x:c r="J1113" s="1" t="str">
        <x:v>no</x:v>
      </x:c>
      <x:c r="K1113" s="1" t="n">
        <x:f>2*H1113+E1113+IF(G1113&gt;30,2,0)-IF(B1113&gt;24,1,0)</x:f>
        <x:v>1</x:v>
      </x:c>
      <x:c r="L1113" s="1" t="str">
        <x:f>IF(K1113&gt;=3,"yes","no")</x:f>
        <x:v>no</x:v>
      </x:c>
      <x:c r="M1113" s="1"/>
      <x:c r="N1113" s="1"/>
      <x:c r="O1113" s="1"/>
    </x:row>
    <x:row r="1114">
      <x:c r="A1114" s="1" t="str">
        <x:v>S1113</x:v>
      </x:c>
      <x:c r="B1114" s="1" t="n">
        <x:v>18</x:v>
      </x:c>
      <x:c r="C1114" s="1" t="str">
        <x:v>premium</x:v>
      </x:c>
      <x:c r="D1114" s="8" t="n">
        <x:v>15.99</x:v>
      </x:c>
      <x:c r="E1114" s="1" t="n">
        <x:v>0</x:v>
      </x:c>
      <x:c r="F1114" s="1" t="n">
        <x:v>38</x:v>
      </x:c>
      <x:c r="G1114" s="1" t="n">
        <x:v>4</x:v>
      </x:c>
      <x:c r="H1114" s="1" t="n">
        <x:v>0</x:v>
      </x:c>
      <x:c r="I1114" s="1" t="n">
        <x:v>0</x:v>
      </x:c>
      <x:c r="J1114" s="1" t="str">
        <x:v>no</x:v>
      </x:c>
      <x:c r="K1114" s="1" t="n">
        <x:f>2*H1114+E1114+IF(G1114&gt;30,2,0)-IF(B1114&gt;24,1,0)</x:f>
        <x:v>0</x:v>
      </x:c>
      <x:c r="L1114" s="1" t="str">
        <x:f>IF(K1114&gt;=3,"yes","no")</x:f>
        <x:v>no</x:v>
      </x:c>
      <x:c r="M1114" s="1"/>
      <x:c r="N1114" s="1"/>
      <x:c r="O1114" s="1"/>
    </x:row>
    <x:row r="1115">
      <x:c r="A1115" s="1" t="str">
        <x:v>S1114</x:v>
      </x:c>
      <x:c r="B1115" s="1" t="n">
        <x:v>12</x:v>
      </x:c>
      <x:c r="C1115" s="1" t="str">
        <x:v>basic</x:v>
      </x:c>
      <x:c r="D1115" s="8" t="n">
        <x:v>9.99</x:v>
      </x:c>
      <x:c r="E1115" s="1" t="n">
        <x:v>1</x:v>
      </x:c>
      <x:c r="F1115" s="1" t="n">
        <x:v>31</x:v>
      </x:c>
      <x:c r="G1115" s="1" t="n">
        <x:v>2</x:v>
      </x:c>
      <x:c r="H1115" s="1" t="n">
        <x:v>0</x:v>
      </x:c>
      <x:c r="I1115" s="1" t="n">
        <x:v>0</x:v>
      </x:c>
      <x:c r="J1115" s="1" t="str">
        <x:v>no</x:v>
      </x:c>
      <x:c r="K1115" s="1" t="n">
        <x:f>2*H1115+E1115+IF(G1115&gt;30,2,0)-IF(B1115&gt;24,1,0)</x:f>
        <x:v>1</x:v>
      </x:c>
      <x:c r="L1115" s="1" t="str">
        <x:f>IF(K1115&gt;=3,"yes","no")</x:f>
        <x:v>no</x:v>
      </x:c>
      <x:c r="M1115" s="1"/>
      <x:c r="N1115" s="1"/>
      <x:c r="O1115" s="1"/>
    </x:row>
    <x:row r="1116">
      <x:c r="A1116" s="1" t="str">
        <x:v>S1115</x:v>
      </x:c>
      <x:c r="B1116" s="1" t="n">
        <x:v>2</x:v>
      </x:c>
      <x:c r="C1116" s="1" t="str">
        <x:v>premium</x:v>
      </x:c>
      <x:c r="D1116" s="8" t="n">
        <x:v>15.99</x:v>
      </x:c>
      <x:c r="E1116" s="1" t="n">
        <x:v>2</x:v>
      </x:c>
      <x:c r="F1116" s="1" t="n">
        <x:v>15</x:v>
      </x:c>
      <x:c r="G1116" s="1" t="n">
        <x:v>6</x:v>
      </x:c>
      <x:c r="H1116" s="1" t="n">
        <x:v>0</x:v>
      </x:c>
      <x:c r="I1116" s="1" t="n">
        <x:v>0</x:v>
      </x:c>
      <x:c r="J1116" s="1" t="str">
        <x:v>yes</x:v>
      </x:c>
      <x:c r="K1116" s="1" t="n">
        <x:f>2*H1116+E1116+IF(G1116&gt;30,2,0)-IF(B1116&gt;24,1,0)</x:f>
        <x:v>2</x:v>
      </x:c>
      <x:c r="L1116" s="1" t="str">
        <x:f>IF(K1116&gt;=3,"yes","no")</x:f>
        <x:v>no</x:v>
      </x:c>
      <x:c r="M1116" s="1"/>
      <x:c r="N1116" s="1"/>
      <x:c r="O1116" s="1"/>
    </x:row>
    <x:row r="1117">
      <x:c r="A1117" s="1" t="str">
        <x:v>S1116</x:v>
      </x:c>
      <x:c r="B1117" s="1" t="n">
        <x:v>43</x:v>
      </x:c>
      <x:c r="C1117" s="1" t="str">
        <x:v>basic</x:v>
      </x:c>
      <x:c r="D1117" s="8" t="n">
        <x:v>9.99</x:v>
      </x:c>
      <x:c r="E1117" s="1" t="n">
        <x:v>0</x:v>
      </x:c>
      <x:c r="F1117" s="1" t="n">
        <x:v>23</x:v>
      </x:c>
      <x:c r="G1117" s="1" t="n">
        <x:v>6</x:v>
      </x:c>
      <x:c r="H1117" s="1" t="n">
        <x:v>0</x:v>
      </x:c>
      <x:c r="I1117" s="1" t="n">
        <x:v>0</x:v>
      </x:c>
      <x:c r="J1117" s="1" t="str">
        <x:v>no</x:v>
      </x:c>
      <x:c r="K1117" s="1" t="n">
        <x:f>2*H1117+E1117+IF(G1117&gt;30,2,0)-IF(B1117&gt;24,1,0)</x:f>
        <x:v>-1</x:v>
      </x:c>
      <x:c r="L1117" s="1" t="str">
        <x:f>IF(K1117&gt;=3,"yes","no")</x:f>
        <x:v>no</x:v>
      </x:c>
      <x:c r="M1117" s="1"/>
      <x:c r="N1117" s="1"/>
      <x:c r="O1117" s="1"/>
    </x:row>
    <x:row r="1118">
      <x:c r="A1118" s="1" t="str">
        <x:v>S1117</x:v>
      </x:c>
      <x:c r="B1118" s="1" t="n">
        <x:v>33</x:v>
      </x:c>
      <x:c r="C1118" s="1" t="str">
        <x:v>basic</x:v>
      </x:c>
      <x:c r="D1118" s="8" t="n">
        <x:v>9.99</x:v>
      </x:c>
      <x:c r="E1118" s="1" t="n">
        <x:v>0</x:v>
      </x:c>
      <x:c r="F1118" s="1" t="n">
        <x:v>29</x:v>
      </x:c>
      <x:c r="G1118" s="1" t="n">
        <x:v>6</x:v>
      </x:c>
      <x:c r="H1118" s="1" t="n">
        <x:v>0</x:v>
      </x:c>
      <x:c r="I1118" s="1" t="n">
        <x:v>0</x:v>
      </x:c>
      <x:c r="J1118" s="1" t="str">
        <x:v>no</x:v>
      </x:c>
      <x:c r="K1118" s="1" t="n">
        <x:f>2*H1118+E1118+IF(G1118&gt;30,2,0)-IF(B1118&gt;24,1,0)</x:f>
        <x:v>-1</x:v>
      </x:c>
      <x:c r="L1118" s="1" t="str">
        <x:f>IF(K1118&gt;=3,"yes","no")</x:f>
        <x:v>no</x:v>
      </x:c>
      <x:c r="M1118" s="1"/>
      <x:c r="N1118" s="1"/>
      <x:c r="O1118" s="1"/>
    </x:row>
    <x:row r="1119">
      <x:c r="A1119" s="1" t="str">
        <x:v>S1118</x:v>
      </x:c>
      <x:c r="B1119" s="1" t="n">
        <x:v>27</x:v>
      </x:c>
      <x:c r="C1119" s="1" t="str">
        <x:v>premium</x:v>
      </x:c>
      <x:c r="D1119" s="8" t="n">
        <x:v>15.99</x:v>
      </x:c>
      <x:c r="E1119" s="1" t="n">
        <x:v>0</x:v>
      </x:c>
      <x:c r="F1119" s="1" t="n">
        <x:v>16</x:v>
      </x:c>
      <x:c r="G1119" s="1" t="n">
        <x:v>3</x:v>
      </x:c>
      <x:c r="H1119" s="1" t="n">
        <x:v>0</x:v>
      </x:c>
      <x:c r="I1119" s="1" t="n">
        <x:v>1</x:v>
      </x:c>
      <x:c r="J1119" s="1" t="str">
        <x:v>no</x:v>
      </x:c>
      <x:c r="K1119" s="1" t="n">
        <x:f>2*H1119+E1119+IF(G1119&gt;30,2,0)-IF(B1119&gt;24,1,0)</x:f>
        <x:v>-1</x:v>
      </x:c>
      <x:c r="L1119" s="1" t="str">
        <x:f>IF(K1119&gt;=3,"yes","no")</x:f>
        <x:v>no</x:v>
      </x:c>
      <x:c r="M1119" s="1"/>
      <x:c r="N1119" s="1"/>
      <x:c r="O1119" s="1"/>
    </x:row>
    <x:row r="1120">
      <x:c r="A1120" s="1" t="str">
        <x:v>S1119</x:v>
      </x:c>
      <x:c r="B1120" s="1" t="n">
        <x:v>4</x:v>
      </x:c>
      <x:c r="C1120" s="1" t="str">
        <x:v>premium</x:v>
      </x:c>
      <x:c r="D1120" s="8" t="n">
        <x:v>15.99</x:v>
      </x:c>
      <x:c r="E1120" s="1" t="n">
        <x:v>0</x:v>
      </x:c>
      <x:c r="F1120" s="1" t="n">
        <x:v>15</x:v>
      </x:c>
      <x:c r="G1120" s="1" t="n">
        <x:v>3</x:v>
      </x:c>
      <x:c r="H1120" s="1" t="n">
        <x:v>1</x:v>
      </x:c>
      <x:c r="I1120" s="1" t="n">
        <x:v>0</x:v>
      </x:c>
      <x:c r="J1120" s="1" t="str">
        <x:v>no</x:v>
      </x:c>
      <x:c r="K1120" s="1" t="n">
        <x:f>2*H1120+E1120+IF(G1120&gt;30,2,0)-IF(B1120&gt;24,1,0)</x:f>
        <x:v>2</x:v>
      </x:c>
      <x:c r="L1120" s="1" t="str">
        <x:f>IF(K1120&gt;=3,"yes","no")</x:f>
        <x:v>no</x:v>
      </x:c>
      <x:c r="M1120" s="1"/>
      <x:c r="N1120" s="1"/>
      <x:c r="O1120" s="1"/>
    </x:row>
    <x:row r="1121">
      <x:c r="A1121" s="1" t="str">
        <x:v>S1120</x:v>
      </x:c>
      <x:c r="B1121" s="1" t="n">
        <x:v>12</x:v>
      </x:c>
      <x:c r="C1121" s="1" t="str">
        <x:v>basic</x:v>
      </x:c>
      <x:c r="D1121" s="8" t="n">
        <x:v>9.99</x:v>
      </x:c>
      <x:c r="E1121" s="1" t="n">
        <x:v>2</x:v>
      </x:c>
      <x:c r="F1121" s="1" t="n">
        <x:v>10</x:v>
      </x:c>
      <x:c r="G1121" s="1" t="n">
        <x:v>14</x:v>
      </x:c>
      <x:c r="H1121" s="1" t="n">
        <x:v>0</x:v>
      </x:c>
      <x:c r="I1121" s="1" t="n">
        <x:v>1</x:v>
      </x:c>
      <x:c r="J1121" s="1" t="str">
        <x:v>yes</x:v>
      </x:c>
      <x:c r="K1121" s="1" t="n">
        <x:f>2*H1121+E1121+IF(G1121&gt;30,2,0)-IF(B1121&gt;24,1,0)</x:f>
        <x:v>2</x:v>
      </x:c>
      <x:c r="L1121" s="1" t="str">
        <x:f>IF(K1121&gt;=3,"yes","no")</x:f>
        <x:v>no</x:v>
      </x:c>
      <x:c r="M1121" s="1"/>
      <x:c r="N1121" s="1"/>
      <x:c r="O1121" s="1"/>
    </x:row>
    <x:row r="1122">
      <x:c r="A1122" s="1" t="str">
        <x:v>S1121</x:v>
      </x:c>
      <x:c r="B1122" s="1" t="n">
        <x:v>5</x:v>
      </x:c>
      <x:c r="C1122" s="1" t="str">
        <x:v>basic</x:v>
      </x:c>
      <x:c r="D1122" s="8" t="n">
        <x:v>9.99</x:v>
      </x:c>
      <x:c r="E1122" s="1" t="n">
        <x:v>0</x:v>
      </x:c>
      <x:c r="F1122" s="1" t="n">
        <x:v>34</x:v>
      </x:c>
      <x:c r="G1122" s="1" t="n">
        <x:v>7</x:v>
      </x:c>
      <x:c r="H1122" s="1" t="n">
        <x:v>0</x:v>
      </x:c>
      <x:c r="I1122" s="1" t="n">
        <x:v>0</x:v>
      </x:c>
      <x:c r="J1122" s="1" t="str">
        <x:v>no</x:v>
      </x:c>
      <x:c r="K1122" s="1" t="n">
        <x:f>2*H1122+E1122+IF(G1122&gt;30,2,0)-IF(B1122&gt;24,1,0)</x:f>
        <x:v>0</x:v>
      </x:c>
      <x:c r="L1122" s="1" t="str">
        <x:f>IF(K1122&gt;=3,"yes","no")</x:f>
        <x:v>no</x:v>
      </x:c>
      <x:c r="M1122" s="1"/>
      <x:c r="N1122" s="1"/>
      <x:c r="O1122" s="1"/>
    </x:row>
    <x:row r="1123">
      <x:c r="A1123" s="1" t="str">
        <x:v>S1122</x:v>
      </x:c>
      <x:c r="B1123" s="1" t="n">
        <x:v>40</x:v>
      </x:c>
      <x:c r="C1123" s="1" t="str">
        <x:v>basic</x:v>
      </x:c>
      <x:c r="D1123" s="8" t="n">
        <x:v>9.99</x:v>
      </x:c>
      <x:c r="E1123" s="1" t="n">
        <x:v>2</x:v>
      </x:c>
      <x:c r="F1123" s="1" t="n">
        <x:v>21</x:v>
      </x:c>
      <x:c r="G1123" s="1" t="n">
        <x:v>5</x:v>
      </x:c>
      <x:c r="H1123" s="1" t="n">
        <x:v>0</x:v>
      </x:c>
      <x:c r="I1123" s="1" t="n">
        <x:v>1</x:v>
      </x:c>
      <x:c r="J1123" s="1" t="str">
        <x:v>no</x:v>
      </x:c>
      <x:c r="K1123" s="1" t="n">
        <x:f>2*H1123+E1123+IF(G1123&gt;30,2,0)-IF(B1123&gt;24,1,0)</x:f>
        <x:v>1</x:v>
      </x:c>
      <x:c r="L1123" s="1" t="str">
        <x:f>IF(K1123&gt;=3,"yes","no")</x:f>
        <x:v>no</x:v>
      </x:c>
      <x:c r="M1123" s="1"/>
      <x:c r="N1123" s="1"/>
      <x:c r="O1123" s="1"/>
    </x:row>
    <x:row r="1124">
      <x:c r="A1124" s="1" t="str">
        <x:v>S1123</x:v>
      </x:c>
      <x:c r="B1124" s="1" t="n">
        <x:v>4</x:v>
      </x:c>
      <x:c r="C1124" s="1" t="str">
        <x:v>basic</x:v>
      </x:c>
      <x:c r="D1124" s="8" t="n">
        <x:v>9.99</x:v>
      </x:c>
      <x:c r="E1124" s="1" t="n">
        <x:v>0</x:v>
      </x:c>
      <x:c r="F1124" s="1" t="n">
        <x:v>0</x:v>
      </x:c>
      <x:c r="G1124" s="1" t="n">
        <x:v>47</x:v>
      </x:c>
      <x:c r="H1124" s="1" t="n">
        <x:v>0</x:v>
      </x:c>
      <x:c r="I1124" s="1" t="n">
        <x:v>0</x:v>
      </x:c>
      <x:c r="J1124" s="1" t="str">
        <x:v>yes</x:v>
      </x:c>
      <x:c r="K1124" s="1" t="n">
        <x:f>2*H1124+E1124+IF(G1124&gt;30,2,0)-IF(B1124&gt;24,1,0)</x:f>
        <x:v>2</x:v>
      </x:c>
      <x:c r="L1124" s="1" t="str">
        <x:f>IF(K1124&gt;=3,"yes","no")</x:f>
        <x:v>no</x:v>
      </x:c>
      <x:c r="M1124" s="1"/>
      <x:c r="N1124" s="1"/>
      <x:c r="O1124" s="1"/>
    </x:row>
    <x:row r="1125">
      <x:c r="A1125" s="1" t="str">
        <x:v>S1124</x:v>
      </x:c>
      <x:c r="B1125" s="1" t="n">
        <x:v>33</x:v>
      </x:c>
      <x:c r="C1125" s="1" t="str">
        <x:v>basic</x:v>
      </x:c>
      <x:c r="D1125" s="8" t="n">
        <x:v>9.99</x:v>
      </x:c>
      <x:c r="E1125" s="1" t="n">
        <x:v>0</x:v>
      </x:c>
      <x:c r="F1125" s="1" t="n">
        <x:v>1</x:v>
      </x:c>
      <x:c r="G1125" s="1" t="n">
        <x:v>30</x:v>
      </x:c>
      <x:c r="H1125" s="1" t="n">
        <x:v>0</x:v>
      </x:c>
      <x:c r="I1125" s="1" t="n">
        <x:v>0</x:v>
      </x:c>
      <x:c r="J1125" s="1" t="str">
        <x:v>no</x:v>
      </x:c>
      <x:c r="K1125" s="1" t="n">
        <x:f>2*H1125+E1125+IF(G1125&gt;30,2,0)-IF(B1125&gt;24,1,0)</x:f>
        <x:v>-1</x:v>
      </x:c>
      <x:c r="L1125" s="1" t="str">
        <x:f>IF(K1125&gt;=3,"yes","no")</x:f>
        <x:v>no</x:v>
      </x:c>
      <x:c r="M1125" s="1"/>
      <x:c r="N1125" s="1"/>
      <x:c r="O1125" s="1"/>
    </x:row>
    <x:row r="1126">
      <x:c r="A1126" s="1" t="str">
        <x:v>S1125</x:v>
      </x:c>
      <x:c r="B1126" s="1" t="n">
        <x:v>46</x:v>
      </x:c>
      <x:c r="C1126" s="1" t="str">
        <x:v>basic</x:v>
      </x:c>
      <x:c r="D1126" s="8" t="n">
        <x:v>9.99</x:v>
      </x:c>
      <x:c r="E1126" s="1" t="n">
        <x:v>0</x:v>
      </x:c>
      <x:c r="F1126" s="1" t="n">
        <x:v>18</x:v>
      </x:c>
      <x:c r="G1126" s="1" t="n">
        <x:v>6</x:v>
      </x:c>
      <x:c r="H1126" s="1" t="n">
        <x:v>0</x:v>
      </x:c>
      <x:c r="I1126" s="1" t="n">
        <x:v>0</x:v>
      </x:c>
      <x:c r="J1126" s="1" t="str">
        <x:v>no</x:v>
      </x:c>
      <x:c r="K1126" s="1" t="n">
        <x:f>2*H1126+E1126+IF(G1126&gt;30,2,0)-IF(B1126&gt;24,1,0)</x:f>
        <x:v>-1</x:v>
      </x:c>
      <x:c r="L1126" s="1" t="str">
        <x:f>IF(K1126&gt;=3,"yes","no")</x:f>
        <x:v>no</x:v>
      </x:c>
      <x:c r="M1126" s="1"/>
      <x:c r="N1126" s="1"/>
      <x:c r="O1126" s="1"/>
    </x:row>
    <x:row r="1127">
      <x:c r="A1127" s="1" t="str">
        <x:v>S1126</x:v>
      </x:c>
      <x:c r="B1127" s="1" t="n">
        <x:v>4</x:v>
      </x:c>
      <x:c r="C1127" s="1" t="str">
        <x:v>basic</x:v>
      </x:c>
      <x:c r="D1127" s="8" t="n">
        <x:v>9.99</x:v>
      </x:c>
      <x:c r="E1127" s="1" t="n">
        <x:v>0</x:v>
      </x:c>
      <x:c r="F1127" s="1" t="n">
        <x:v>12</x:v>
      </x:c>
      <x:c r="G1127" s="1" t="n">
        <x:v>26</x:v>
      </x:c>
      <x:c r="H1127" s="1" t="n">
        <x:v>0</x:v>
      </x:c>
      <x:c r="I1127" s="1" t="n">
        <x:v>1</x:v>
      </x:c>
      <x:c r="J1127" s="1" t="str">
        <x:v>no</x:v>
      </x:c>
      <x:c r="K1127" s="1" t="n">
        <x:f>2*H1127+E1127+IF(G1127&gt;30,2,0)-IF(B1127&gt;24,1,0)</x:f>
        <x:v>0</x:v>
      </x:c>
      <x:c r="L1127" s="1" t="str">
        <x:f>IF(K1127&gt;=3,"yes","no")</x:f>
        <x:v>no</x:v>
      </x:c>
      <x:c r="M1127" s="1"/>
      <x:c r="N1127" s="1"/>
      <x:c r="O1127" s="1"/>
    </x:row>
    <x:row r="1128">
      <x:c r="A1128" s="1" t="str">
        <x:v>S1127</x:v>
      </x:c>
      <x:c r="B1128" s="1" t="n">
        <x:v>24</x:v>
      </x:c>
      <x:c r="C1128" s="1" t="str">
        <x:v>basic</x:v>
      </x:c>
      <x:c r="D1128" s="8" t="n">
        <x:v>9.99</x:v>
      </x:c>
      <x:c r="E1128" s="1" t="n">
        <x:v>0</x:v>
      </x:c>
      <x:c r="F1128" s="1" t="n">
        <x:v>0</x:v>
      </x:c>
      <x:c r="G1128" s="1" t="n">
        <x:v>32</x:v>
      </x:c>
      <x:c r="H1128" s="1" t="n">
        <x:v>0</x:v>
      </x:c>
      <x:c r="I1128" s="1" t="n">
        <x:v>0</x:v>
      </x:c>
      <x:c r="J1128" s="1" t="str">
        <x:v>no</x:v>
      </x:c>
      <x:c r="K1128" s="1" t="n">
        <x:f>2*H1128+E1128+IF(G1128&gt;30,2,0)-IF(B1128&gt;24,1,0)</x:f>
        <x:v>2</x:v>
      </x:c>
      <x:c r="L1128" s="1" t="str">
        <x:f>IF(K1128&gt;=3,"yes","no")</x:f>
        <x:v>no</x:v>
      </x:c>
      <x:c r="M1128" s="1"/>
      <x:c r="N1128" s="1"/>
      <x:c r="O1128" s="1"/>
    </x:row>
    <x:row r="1129">
      <x:c r="A1129" s="1" t="str">
        <x:v>S1128</x:v>
      </x:c>
      <x:c r="B1129" s="1" t="n">
        <x:v>46</x:v>
      </x:c>
      <x:c r="C1129" s="1" t="str">
        <x:v>basic</x:v>
      </x:c>
      <x:c r="D1129" s="8" t="n">
        <x:v>9.99</x:v>
      </x:c>
      <x:c r="E1129" s="1" t="n">
        <x:v>0</x:v>
      </x:c>
      <x:c r="F1129" s="1" t="n">
        <x:v>22</x:v>
      </x:c>
      <x:c r="G1129" s="1" t="n">
        <x:v>0</x:v>
      </x:c>
      <x:c r="H1129" s="1" t="n">
        <x:v>0</x:v>
      </x:c>
      <x:c r="I1129" s="1" t="n">
        <x:v>0</x:v>
      </x:c>
      <x:c r="J1129" s="1" t="str">
        <x:v>no</x:v>
      </x:c>
      <x:c r="K1129" s="1" t="n">
        <x:f>2*H1129+E1129+IF(G1129&gt;30,2,0)-IF(B1129&gt;24,1,0)</x:f>
        <x:v>-1</x:v>
      </x:c>
      <x:c r="L1129" s="1" t="str">
        <x:f>IF(K1129&gt;=3,"yes","no")</x:f>
        <x:v>no</x:v>
      </x:c>
      <x:c r="M1129" s="1"/>
      <x:c r="N1129" s="1"/>
      <x:c r="O1129" s="1"/>
    </x:row>
    <x:row r="1130">
      <x:c r="A1130" s="1" t="str">
        <x:v>S1129</x:v>
      </x:c>
      <x:c r="B1130" s="1" t="n">
        <x:v>40</x:v>
      </x:c>
      <x:c r="C1130" s="1" t="str">
        <x:v>basic</x:v>
      </x:c>
      <x:c r="D1130" s="8" t="n">
        <x:v>9.99</x:v>
      </x:c>
      <x:c r="E1130" s="1" t="n">
        <x:v>0</x:v>
      </x:c>
      <x:c r="F1130" s="1" t="n">
        <x:v>19</x:v>
      </x:c>
      <x:c r="G1130" s="1" t="n">
        <x:v>6</x:v>
      </x:c>
      <x:c r="H1130" s="1" t="n">
        <x:v>0</x:v>
      </x:c>
      <x:c r="I1130" s="1" t="n">
        <x:v>0</x:v>
      </x:c>
      <x:c r="J1130" s="1" t="str">
        <x:v>no</x:v>
      </x:c>
      <x:c r="K1130" s="1" t="n">
        <x:f>2*H1130+E1130+IF(G1130&gt;30,2,0)-IF(B1130&gt;24,1,0)</x:f>
        <x:v>-1</x:v>
      </x:c>
      <x:c r="L1130" s="1" t="str">
        <x:f>IF(K1130&gt;=3,"yes","no")</x:f>
        <x:v>no</x:v>
      </x:c>
      <x:c r="M1130" s="1"/>
      <x:c r="N1130" s="1"/>
      <x:c r="O1130" s="1"/>
    </x:row>
    <x:row r="1131">
      <x:c r="A1131" s="1" t="str">
        <x:v>S1130</x:v>
      </x:c>
      <x:c r="B1131" s="1" t="n">
        <x:v>3</x:v>
      </x:c>
      <x:c r="C1131" s="1" t="str">
        <x:v>basic</x:v>
      </x:c>
      <x:c r="D1131" s="8" t="n">
        <x:v>9.99</x:v>
      </x:c>
      <x:c r="E1131" s="1" t="n">
        <x:v>2</x:v>
      </x:c>
      <x:c r="F1131" s="1" t="n">
        <x:v>13</x:v>
      </x:c>
      <x:c r="G1131" s="1" t="n">
        <x:v>2</x:v>
      </x:c>
      <x:c r="H1131" s="1" t="n">
        <x:v>0</x:v>
      </x:c>
      <x:c r="I1131" s="1" t="n">
        <x:v>0</x:v>
      </x:c>
      <x:c r="J1131" s="1" t="str">
        <x:v>yes</x:v>
      </x:c>
      <x:c r="K1131" s="1" t="n">
        <x:f>2*H1131+E1131+IF(G1131&gt;30,2,0)-IF(B1131&gt;24,1,0)</x:f>
        <x:v>2</x:v>
      </x:c>
      <x:c r="L1131" s="1" t="str">
        <x:f>IF(K1131&gt;=3,"yes","no")</x:f>
        <x:v>no</x:v>
      </x:c>
      <x:c r="M1131" s="1"/>
      <x:c r="N1131" s="1"/>
      <x:c r="O1131" s="1"/>
    </x:row>
    <x:row r="1132">
      <x:c r="A1132" s="1" t="str">
        <x:v>S1131</x:v>
      </x:c>
      <x:c r="B1132" s="1" t="n">
        <x:v>3</x:v>
      </x:c>
      <x:c r="C1132" s="1" t="str">
        <x:v>premium</x:v>
      </x:c>
      <x:c r="D1132" s="8" t="n">
        <x:v>15.99</x:v>
      </x:c>
      <x:c r="E1132" s="1" t="n">
        <x:v>0</x:v>
      </x:c>
      <x:c r="F1132" s="1" t="n">
        <x:v>8</x:v>
      </x:c>
      <x:c r="G1132" s="1" t="n">
        <x:v>13</x:v>
      </x:c>
      <x:c r="H1132" s="1" t="n">
        <x:v>1</x:v>
      </x:c>
      <x:c r="I1132" s="1" t="n">
        <x:v>0</x:v>
      </x:c>
      <x:c r="J1132" s="1" t="str">
        <x:v>yes</x:v>
      </x:c>
      <x:c r="K1132" s="1" t="n">
        <x:f>2*H1132+E1132+IF(G1132&gt;30,2,0)-IF(B1132&gt;24,1,0)</x:f>
        <x:v>2</x:v>
      </x:c>
      <x:c r="L1132" s="1" t="str">
        <x:f>IF(K1132&gt;=3,"yes","no")</x:f>
        <x:v>no</x:v>
      </x:c>
      <x:c r="M1132" s="1"/>
      <x:c r="N1132" s="1"/>
      <x:c r="O1132" s="1"/>
    </x:row>
    <x:row r="1133">
      <x:c r="A1133" s="1" t="str">
        <x:v>S1132</x:v>
      </x:c>
      <x:c r="B1133" s="1" t="n">
        <x:v>33</x:v>
      </x:c>
      <x:c r="C1133" s="1" t="str">
        <x:v>basic</x:v>
      </x:c>
      <x:c r="D1133" s="8" t="n">
        <x:v>9.99</x:v>
      </x:c>
      <x:c r="E1133" s="1" t="n">
        <x:v>0</x:v>
      </x:c>
      <x:c r="F1133" s="1" t="n">
        <x:v>0</x:v>
      </x:c>
      <x:c r="G1133" s="1" t="n">
        <x:v>58</x:v>
      </x:c>
      <x:c r="H1133" s="1" t="n">
        <x:v>0</x:v>
      </x:c>
      <x:c r="I1133" s="1" t="n">
        <x:v>0</x:v>
      </x:c>
      <x:c r="J1133" s="1" t="str">
        <x:v>no</x:v>
      </x:c>
      <x:c r="K1133" s="1" t="n">
        <x:f>2*H1133+E1133+IF(G1133&gt;30,2,0)-IF(B1133&gt;24,1,0)</x:f>
        <x:v>1</x:v>
      </x:c>
      <x:c r="L1133" s="1" t="str">
        <x:f>IF(K1133&gt;=3,"yes","no")</x:f>
        <x:v>no</x:v>
      </x:c>
      <x:c r="M1133" s="1"/>
      <x:c r="N1133" s="1"/>
      <x:c r="O1133" s="1"/>
    </x:row>
    <x:row r="1134">
      <x:c r="A1134" s="1" t="str">
        <x:v>S1133</x:v>
      </x:c>
      <x:c r="B1134" s="1" t="n">
        <x:v>1</x:v>
      </x:c>
      <x:c r="C1134" s="1" t="str">
        <x:v>premium</x:v>
      </x:c>
      <x:c r="D1134" s="8" t="n">
        <x:v>15.99</x:v>
      </x:c>
      <x:c r="E1134" s="1" t="n">
        <x:v>2</x:v>
      </x:c>
      <x:c r="F1134" s="1" t="n">
        <x:v>21</x:v>
      </x:c>
      <x:c r="G1134" s="1" t="n">
        <x:v>5</x:v>
      </x:c>
      <x:c r="H1134" s="1" t="n">
        <x:v>0</x:v>
      </x:c>
      <x:c r="I1134" s="1" t="n">
        <x:v>0</x:v>
      </x:c>
      <x:c r="J1134" s="1" t="str">
        <x:v>no</x:v>
      </x:c>
      <x:c r="K1134" s="1" t="n">
        <x:f>2*H1134+E1134+IF(G1134&gt;30,2,0)-IF(B1134&gt;24,1,0)</x:f>
        <x:v>2</x:v>
      </x:c>
      <x:c r="L1134" s="1" t="str">
        <x:f>IF(K1134&gt;=3,"yes","no")</x:f>
        <x:v>no</x:v>
      </x:c>
      <x:c r="M1134" s="1"/>
      <x:c r="N1134" s="1"/>
      <x:c r="O1134" s="1"/>
    </x:row>
    <x:row r="1135">
      <x:c r="A1135" s="1" t="str">
        <x:v>S1134</x:v>
      </x:c>
      <x:c r="B1135" s="1" t="n">
        <x:v>25</x:v>
      </x:c>
      <x:c r="C1135" s="1" t="str">
        <x:v>premium</x:v>
      </x:c>
      <x:c r="D1135" s="8" t="n">
        <x:v>15.99</x:v>
      </x:c>
      <x:c r="E1135" s="1" t="n">
        <x:v>2</x:v>
      </x:c>
      <x:c r="F1135" s="1" t="n">
        <x:v>31</x:v>
      </x:c>
      <x:c r="G1135" s="1" t="n">
        <x:v>6</x:v>
      </x:c>
      <x:c r="H1135" s="1" t="n">
        <x:v>0</x:v>
      </x:c>
      <x:c r="I1135" s="1" t="n">
        <x:v>1</x:v>
      </x:c>
      <x:c r="J1135" s="1" t="str">
        <x:v>no</x:v>
      </x:c>
      <x:c r="K1135" s="1" t="n">
        <x:f>2*H1135+E1135+IF(G1135&gt;30,2,0)-IF(B1135&gt;24,1,0)</x:f>
        <x:v>1</x:v>
      </x:c>
      <x:c r="L1135" s="1" t="str">
        <x:f>IF(K1135&gt;=3,"yes","no")</x:f>
        <x:v>no</x:v>
      </x:c>
      <x:c r="M1135" s="1"/>
      <x:c r="N1135" s="1"/>
      <x:c r="O1135" s="1"/>
    </x:row>
    <x:row r="1136">
      <x:c r="A1136" s="1" t="str">
        <x:v>S1135</x:v>
      </x:c>
      <x:c r="B1136" s="1" t="n">
        <x:v>18</x:v>
      </x:c>
      <x:c r="C1136" s="1" t="str">
        <x:v>premium</x:v>
      </x:c>
      <x:c r="D1136" s="8" t="n">
        <x:v>15.99</x:v>
      </x:c>
      <x:c r="E1136" s="1" t="n">
        <x:v>0</x:v>
      </x:c>
      <x:c r="F1136" s="1" t="n">
        <x:v>29</x:v>
      </x:c>
      <x:c r="G1136" s="1" t="n">
        <x:v>2</x:v>
      </x:c>
      <x:c r="H1136" s="1" t="n">
        <x:v>1</x:v>
      </x:c>
      <x:c r="I1136" s="1" t="n">
        <x:v>1</x:v>
      </x:c>
      <x:c r="J1136" s="1" t="str">
        <x:v>no</x:v>
      </x:c>
      <x:c r="K1136" s="1" t="n">
        <x:f>2*H1136+E1136+IF(G1136&gt;30,2,0)-IF(B1136&gt;24,1,0)</x:f>
        <x:v>2</x:v>
      </x:c>
      <x:c r="L1136" s="1" t="str">
        <x:f>IF(K1136&gt;=3,"yes","no")</x:f>
        <x:v>no</x:v>
      </x:c>
      <x:c r="M1136" s="1"/>
      <x:c r="N1136" s="1"/>
      <x:c r="O1136" s="1"/>
    </x:row>
    <x:row r="1137">
      <x:c r="A1137" s="1" t="str">
        <x:v>S1136</x:v>
      </x:c>
      <x:c r="B1137" s="1" t="n">
        <x:v>43</x:v>
      </x:c>
      <x:c r="C1137" s="1" t="str">
        <x:v>premium</x:v>
      </x:c>
      <x:c r="D1137" s="8" t="n">
        <x:v>15.99</x:v>
      </x:c>
      <x:c r="E1137" s="1" t="n">
        <x:v>1</x:v>
      </x:c>
      <x:c r="F1137" s="1" t="n">
        <x:v>18</x:v>
      </x:c>
      <x:c r="G1137" s="1" t="n">
        <x:v>2</x:v>
      </x:c>
      <x:c r="H1137" s="1" t="n">
        <x:v>1</x:v>
      </x:c>
      <x:c r="I1137" s="1" t="n">
        <x:v>0</x:v>
      </x:c>
      <x:c r="J1137" s="1" t="str">
        <x:v>no</x:v>
      </x:c>
      <x:c r="K1137" s="1" t="n">
        <x:f>2*H1137+E1137+IF(G1137&gt;30,2,0)-IF(B1137&gt;24,1,0)</x:f>
        <x:v>2</x:v>
      </x:c>
      <x:c r="L1137" s="1" t="str">
        <x:f>IF(K1137&gt;=3,"yes","no")</x:f>
        <x:v>no</x:v>
      </x:c>
      <x:c r="M1137" s="1"/>
      <x:c r="N1137" s="1"/>
      <x:c r="O1137" s="1"/>
    </x:row>
    <x:row r="1138">
      <x:c r="A1138" s="1" t="str">
        <x:v>S1137</x:v>
      </x:c>
      <x:c r="B1138" s="1" t="n">
        <x:v>13</x:v>
      </x:c>
      <x:c r="C1138" s="1" t="str">
        <x:v>premium</x:v>
      </x:c>
      <x:c r="D1138" s="8" t="n">
        <x:v>15.99</x:v>
      </x:c>
      <x:c r="E1138" s="1" t="n">
        <x:v>0</x:v>
      </x:c>
      <x:c r="F1138" s="1" t="n">
        <x:v>15</x:v>
      </x:c>
      <x:c r="G1138" s="1" t="n">
        <x:v>2</x:v>
      </x:c>
      <x:c r="H1138" s="1" t="n">
        <x:v>0</x:v>
      </x:c>
      <x:c r="I1138" s="1" t="n">
        <x:v>0</x:v>
      </x:c>
      <x:c r="J1138" s="1" t="str">
        <x:v>no</x:v>
      </x:c>
      <x:c r="K1138" s="1" t="n">
        <x:f>2*H1138+E1138+IF(G1138&gt;30,2,0)-IF(B1138&gt;24,1,0)</x:f>
        <x:v>0</x:v>
      </x:c>
      <x:c r="L1138" s="1" t="str">
        <x:f>IF(K1138&gt;=3,"yes","no")</x:f>
        <x:v>no</x:v>
      </x:c>
      <x:c r="M1138" s="1"/>
      <x:c r="N1138" s="1"/>
      <x:c r="O1138" s="1"/>
    </x:row>
    <x:row r="1139">
      <x:c r="A1139" s="1" t="str">
        <x:v>S1138</x:v>
      </x:c>
      <x:c r="B1139" s="1" t="n">
        <x:v>21</x:v>
      </x:c>
      <x:c r="C1139" s="1" t="str">
        <x:v>premium</x:v>
      </x:c>
      <x:c r="D1139" s="8" t="n">
        <x:v>15.99</x:v>
      </x:c>
      <x:c r="E1139" s="1" t="n">
        <x:v>0</x:v>
      </x:c>
      <x:c r="F1139" s="1" t="n">
        <x:v>3</x:v>
      </x:c>
      <x:c r="G1139" s="1" t="n">
        <x:v>18</x:v>
      </x:c>
      <x:c r="H1139" s="1" t="n">
        <x:v>1</x:v>
      </x:c>
      <x:c r="I1139" s="1" t="n">
        <x:v>0</x:v>
      </x:c>
      <x:c r="J1139" s="1" t="str">
        <x:v>no</x:v>
      </x:c>
      <x:c r="K1139" s="1" t="n">
        <x:f>2*H1139+E1139+IF(G1139&gt;30,2,0)-IF(B1139&gt;24,1,0)</x:f>
        <x:v>2</x:v>
      </x:c>
      <x:c r="L1139" s="1" t="str">
        <x:f>IF(K1139&gt;=3,"yes","no")</x:f>
        <x:v>no</x:v>
      </x:c>
      <x:c r="M1139" s="1"/>
      <x:c r="N1139" s="1"/>
      <x:c r="O1139" s="1"/>
    </x:row>
    <x:row r="1140">
      <x:c r="A1140" s="1" t="str">
        <x:v>S1139</x:v>
      </x:c>
      <x:c r="B1140" s="1" t="n">
        <x:v>46</x:v>
      </x:c>
      <x:c r="C1140" s="1" t="str">
        <x:v>basic</x:v>
      </x:c>
      <x:c r="D1140" s="8" t="n">
        <x:v>9.99</x:v>
      </x:c>
      <x:c r="E1140" s="1" t="n">
        <x:v>3</x:v>
      </x:c>
      <x:c r="F1140" s="1" t="n">
        <x:v>21</x:v>
      </x:c>
      <x:c r="G1140" s="1" t="n">
        <x:v>3</x:v>
      </x:c>
      <x:c r="H1140" s="1" t="n">
        <x:v>0</x:v>
      </x:c>
      <x:c r="I1140" s="1" t="n">
        <x:v>0</x:v>
      </x:c>
      <x:c r="J1140" s="1" t="str">
        <x:v>no</x:v>
      </x:c>
      <x:c r="K1140" s="1" t="n">
        <x:f>2*H1140+E1140+IF(G1140&gt;30,2,0)-IF(B1140&gt;24,1,0)</x:f>
        <x:v>2</x:v>
      </x:c>
      <x:c r="L1140" s="1" t="str">
        <x:f>IF(K1140&gt;=3,"yes","no")</x:f>
        <x:v>no</x:v>
      </x:c>
      <x:c r="M1140" s="1"/>
      <x:c r="N1140" s="1"/>
      <x:c r="O1140" s="1"/>
    </x:row>
    <x:row r="1141">
      <x:c r="A1141" s="1" t="str">
        <x:v>S1140</x:v>
      </x:c>
      <x:c r="B1141" s="1" t="n">
        <x:v>15</x:v>
      </x:c>
      <x:c r="C1141" s="1" t="str">
        <x:v>basic</x:v>
      </x:c>
      <x:c r="D1141" s="8" t="n">
        <x:v>9.99</x:v>
      </x:c>
      <x:c r="E1141" s="1" t="n">
        <x:v>0</x:v>
      </x:c>
      <x:c r="F1141" s="1" t="n">
        <x:v>16</x:v>
      </x:c>
      <x:c r="G1141" s="1" t="n">
        <x:v>1</x:v>
      </x:c>
      <x:c r="H1141" s="1" t="n">
        <x:v>0</x:v>
      </x:c>
      <x:c r="I1141" s="1" t="n">
        <x:v>1</x:v>
      </x:c>
      <x:c r="J1141" s="1" t="str">
        <x:v>no</x:v>
      </x:c>
      <x:c r="K1141" s="1" t="n">
        <x:f>2*H1141+E1141+IF(G1141&gt;30,2,0)-IF(B1141&gt;24,1,0)</x:f>
        <x:v>0</x:v>
      </x:c>
      <x:c r="L1141" s="1" t="str">
        <x:f>IF(K1141&gt;=3,"yes","no")</x:f>
        <x:v>no</x:v>
      </x:c>
      <x:c r="M1141" s="1"/>
      <x:c r="N1141" s="1"/>
      <x:c r="O1141" s="1"/>
    </x:row>
    <x:row r="1142">
      <x:c r="A1142" s="1" t="str">
        <x:v>S1141</x:v>
      </x:c>
      <x:c r="B1142" s="1" t="n">
        <x:v>3</x:v>
      </x:c>
      <x:c r="C1142" s="1" t="str">
        <x:v>premium</x:v>
      </x:c>
      <x:c r="D1142" s="8" t="n">
        <x:v>15.99</x:v>
      </x:c>
      <x:c r="E1142" s="1" t="n">
        <x:v>1</x:v>
      </x:c>
      <x:c r="F1142" s="1" t="n">
        <x:v>16</x:v>
      </x:c>
      <x:c r="G1142" s="1" t="n">
        <x:v>5</x:v>
      </x:c>
      <x:c r="H1142" s="1" t="n">
        <x:v>0</x:v>
      </x:c>
      <x:c r="I1142" s="1" t="n">
        <x:v>0</x:v>
      </x:c>
      <x:c r="J1142" s="1" t="str">
        <x:v>no</x:v>
      </x:c>
      <x:c r="K1142" s="1" t="n">
        <x:f>2*H1142+E1142+IF(G1142&gt;30,2,0)-IF(B1142&gt;24,1,0)</x:f>
        <x:v>1</x:v>
      </x:c>
      <x:c r="L1142" s="1" t="str">
        <x:f>IF(K1142&gt;=3,"yes","no")</x:f>
        <x:v>no</x:v>
      </x:c>
      <x:c r="M1142" s="1"/>
      <x:c r="N1142" s="1"/>
      <x:c r="O1142" s="1"/>
    </x:row>
    <x:row r="1143">
      <x:c r="A1143" s="1" t="str">
        <x:v>S1142</x:v>
      </x:c>
      <x:c r="B1143" s="1" t="n">
        <x:v>2</x:v>
      </x:c>
      <x:c r="C1143" s="1" t="str">
        <x:v>basic</x:v>
      </x:c>
      <x:c r="D1143" s="8" t="n">
        <x:v>9.99</x:v>
      </x:c>
      <x:c r="E1143" s="1" t="n">
        <x:v>3</x:v>
      </x:c>
      <x:c r="F1143" s="1" t="n">
        <x:v>20</x:v>
      </x:c>
      <x:c r="G1143" s="1" t="n">
        <x:v>1</x:v>
      </x:c>
      <x:c r="H1143" s="1" t="n">
        <x:v>1</x:v>
      </x:c>
      <x:c r="I1143" s="1" t="n">
        <x:v>0</x:v>
      </x:c>
      <x:c r="J1143" s="1" t="str">
        <x:v>no</x:v>
      </x:c>
      <x:c r="K1143" s="1" t="n">
        <x:f>2*H1143+E1143+IF(G1143&gt;30,2,0)-IF(B1143&gt;24,1,0)</x:f>
        <x:v>5</x:v>
      </x:c>
      <x:c r="L1143" s="1" t="str">
        <x:f>IF(K1143&gt;=3,"yes","no")</x:f>
        <x:v>yes</x:v>
      </x:c>
      <x:c r="M1143" s="1"/>
      <x:c r="N1143" s="1"/>
      <x:c r="O1143" s="1"/>
    </x:row>
    <x:row r="1144">
      <x:c r="A1144" s="1" t="str">
        <x:v>S1143</x:v>
      </x:c>
      <x:c r="B1144" s="1" t="n">
        <x:v>22</x:v>
      </x:c>
      <x:c r="C1144" s="1" t="str">
        <x:v>basic</x:v>
      </x:c>
      <x:c r="D1144" s="8" t="n">
        <x:v>9.99</x:v>
      </x:c>
      <x:c r="E1144" s="1" t="n">
        <x:v>0</x:v>
      </x:c>
      <x:c r="F1144" s="1" t="n">
        <x:v>17</x:v>
      </x:c>
      <x:c r="G1144" s="1" t="n">
        <x:v>18</x:v>
      </x:c>
      <x:c r="H1144" s="1" t="n">
        <x:v>0</x:v>
      </x:c>
      <x:c r="I1144" s="1" t="n">
        <x:v>0</x:v>
      </x:c>
      <x:c r="J1144" s="1" t="str">
        <x:v>no</x:v>
      </x:c>
      <x:c r="K1144" s="1" t="n">
        <x:f>2*H1144+E1144+IF(G1144&gt;30,2,0)-IF(B1144&gt;24,1,0)</x:f>
        <x:v>0</x:v>
      </x:c>
      <x:c r="L1144" s="1" t="str">
        <x:f>IF(K1144&gt;=3,"yes","no")</x:f>
        <x:v>no</x:v>
      </x:c>
      <x:c r="M1144" s="1"/>
      <x:c r="N1144" s="1"/>
      <x:c r="O1144" s="1"/>
    </x:row>
    <x:row r="1145">
      <x:c r="A1145" s="1" t="str">
        <x:v>S1144</x:v>
      </x:c>
      <x:c r="B1145" s="1" t="n">
        <x:v>28</x:v>
      </x:c>
      <x:c r="C1145" s="1" t="str">
        <x:v>basic</x:v>
      </x:c>
      <x:c r="D1145" s="8" t="n">
        <x:v>9.99</x:v>
      </x:c>
      <x:c r="E1145" s="1" t="n">
        <x:v>0</x:v>
      </x:c>
      <x:c r="F1145" s="1" t="n">
        <x:v>7</x:v>
      </x:c>
      <x:c r="G1145" s="1" t="n">
        <x:v>24</x:v>
      </x:c>
      <x:c r="H1145" s="1" t="n">
        <x:v>0</x:v>
      </x:c>
      <x:c r="I1145" s="1" t="n">
        <x:v>0</x:v>
      </x:c>
      <x:c r="J1145" s="1" t="str">
        <x:v>yes</x:v>
      </x:c>
      <x:c r="K1145" s="1" t="n">
        <x:f>2*H1145+E1145+IF(G1145&gt;30,2,0)-IF(B1145&gt;24,1,0)</x:f>
        <x:v>-1</x:v>
      </x:c>
      <x:c r="L1145" s="1" t="str">
        <x:f>IF(K1145&gt;=3,"yes","no")</x:f>
        <x:v>no</x:v>
      </x:c>
      <x:c r="M1145" s="1"/>
      <x:c r="N1145" s="1"/>
      <x:c r="O1145" s="1"/>
    </x:row>
    <x:row r="1146">
      <x:c r="A1146" s="1" t="str">
        <x:v>S1145</x:v>
      </x:c>
      <x:c r="B1146" s="1" t="n">
        <x:v>22</x:v>
      </x:c>
      <x:c r="C1146" s="1" t="str">
        <x:v>basic</x:v>
      </x:c>
      <x:c r="D1146" s="8" t="n">
        <x:v>9.99</x:v>
      </x:c>
      <x:c r="E1146" s="1" t="n">
        <x:v>0</x:v>
      </x:c>
      <x:c r="F1146" s="1" t="n">
        <x:v>23</x:v>
      </x:c>
      <x:c r="G1146" s="1" t="n">
        <x:v>3</x:v>
      </x:c>
      <x:c r="H1146" s="1" t="n">
        <x:v>1</x:v>
      </x:c>
      <x:c r="I1146" s="1" t="n">
        <x:v>0</x:v>
      </x:c>
      <x:c r="J1146" s="1" t="str">
        <x:v>no</x:v>
      </x:c>
      <x:c r="K1146" s="1" t="n">
        <x:f>2*H1146+E1146+IF(G1146&gt;30,2,0)-IF(B1146&gt;24,1,0)</x:f>
        <x:v>2</x:v>
      </x:c>
      <x:c r="L1146" s="1" t="str">
        <x:f>IF(K1146&gt;=3,"yes","no")</x:f>
        <x:v>no</x:v>
      </x:c>
      <x:c r="M1146" s="1"/>
      <x:c r="N1146" s="1"/>
      <x:c r="O1146" s="1"/>
    </x:row>
    <x:row r="1147">
      <x:c r="A1147" s="1" t="str">
        <x:v>S1146</x:v>
      </x:c>
      <x:c r="B1147" s="1" t="n">
        <x:v>44</x:v>
      </x:c>
      <x:c r="C1147" s="1" t="str">
        <x:v>basic</x:v>
      </x:c>
      <x:c r="D1147" s="8" t="n">
        <x:v>9.99</x:v>
      </x:c>
      <x:c r="E1147" s="1" t="n">
        <x:v>2</x:v>
      </x:c>
      <x:c r="F1147" s="1" t="n">
        <x:v>8</x:v>
      </x:c>
      <x:c r="G1147" s="1" t="n">
        <x:v>7</x:v>
      </x:c>
      <x:c r="H1147" s="1" t="n">
        <x:v>0</x:v>
      </x:c>
      <x:c r="I1147" s="1" t="n">
        <x:v>0</x:v>
      </x:c>
      <x:c r="J1147" s="1" t="str">
        <x:v>no</x:v>
      </x:c>
      <x:c r="K1147" s="1" t="n">
        <x:f>2*H1147+E1147+IF(G1147&gt;30,2,0)-IF(B1147&gt;24,1,0)</x:f>
        <x:v>1</x:v>
      </x:c>
      <x:c r="L1147" s="1" t="str">
        <x:f>IF(K1147&gt;=3,"yes","no")</x:f>
        <x:v>no</x:v>
      </x:c>
      <x:c r="M1147" s="1"/>
      <x:c r="N1147" s="1"/>
      <x:c r="O1147" s="1"/>
    </x:row>
    <x:row r="1148">
      <x:c r="A1148" s="1" t="str">
        <x:v>S1147</x:v>
      </x:c>
      <x:c r="B1148" s="1" t="n">
        <x:v>41</x:v>
      </x:c>
      <x:c r="C1148" s="1" t="str">
        <x:v>premium</x:v>
      </x:c>
      <x:c r="D1148" s="8" t="n">
        <x:v>15.99</x:v>
      </x:c>
      <x:c r="E1148" s="1" t="n">
        <x:v>0</x:v>
      </x:c>
      <x:c r="F1148" s="1" t="n">
        <x:v>4</x:v>
      </x:c>
      <x:c r="G1148" s="1" t="n">
        <x:v>29</x:v>
      </x:c>
      <x:c r="H1148" s="1" t="n">
        <x:v>0</x:v>
      </x:c>
      <x:c r="I1148" s="1" t="n">
        <x:v>0</x:v>
      </x:c>
      <x:c r="J1148" s="1" t="str">
        <x:v>no</x:v>
      </x:c>
      <x:c r="K1148" s="1" t="n">
        <x:f>2*H1148+E1148+IF(G1148&gt;30,2,0)-IF(B1148&gt;24,1,0)</x:f>
        <x:v>-1</x:v>
      </x:c>
      <x:c r="L1148" s="1" t="str">
        <x:f>IF(K1148&gt;=3,"yes","no")</x:f>
        <x:v>no</x:v>
      </x:c>
      <x:c r="M1148" s="1"/>
      <x:c r="N1148" s="1"/>
      <x:c r="O1148" s="1"/>
    </x:row>
    <x:row r="1149">
      <x:c r="A1149" s="1" t="str">
        <x:v>S1148</x:v>
      </x:c>
      <x:c r="B1149" s="1" t="n">
        <x:v>20</x:v>
      </x:c>
      <x:c r="C1149" s="1" t="str">
        <x:v>premium</x:v>
      </x:c>
      <x:c r="D1149" s="8" t="n">
        <x:v>15.99</x:v>
      </x:c>
      <x:c r="E1149" s="1" t="n">
        <x:v>1</x:v>
      </x:c>
      <x:c r="F1149" s="1" t="n">
        <x:v>21</x:v>
      </x:c>
      <x:c r="G1149" s="1" t="n">
        <x:v>5</x:v>
      </x:c>
      <x:c r="H1149" s="1" t="n">
        <x:v>0</x:v>
      </x:c>
      <x:c r="I1149" s="1" t="n">
        <x:v>0</x:v>
      </x:c>
      <x:c r="J1149" s="1" t="str">
        <x:v>no</x:v>
      </x:c>
      <x:c r="K1149" s="1" t="n">
        <x:f>2*H1149+E1149+IF(G1149&gt;30,2,0)-IF(B1149&gt;24,1,0)</x:f>
        <x:v>1</x:v>
      </x:c>
      <x:c r="L1149" s="1" t="str">
        <x:f>IF(K1149&gt;=3,"yes","no")</x:f>
        <x:v>no</x:v>
      </x:c>
      <x:c r="M1149" s="1"/>
      <x:c r="N1149" s="1"/>
      <x:c r="O1149" s="1"/>
    </x:row>
    <x:row r="1150">
      <x:c r="A1150" s="1" t="str">
        <x:v>S1149</x:v>
      </x:c>
      <x:c r="B1150" s="1" t="n">
        <x:v>4</x:v>
      </x:c>
      <x:c r="C1150" s="1" t="str">
        <x:v>basic</x:v>
      </x:c>
      <x:c r="D1150" s="8" t="n">
        <x:v>9.99</x:v>
      </x:c>
      <x:c r="E1150" s="1" t="n">
        <x:v>1</x:v>
      </x:c>
      <x:c r="F1150" s="1" t="n">
        <x:v>20</x:v>
      </x:c>
      <x:c r="G1150" s="1" t="n">
        <x:v>7</x:v>
      </x:c>
      <x:c r="H1150" s="1" t="n">
        <x:v>0</x:v>
      </x:c>
      <x:c r="I1150" s="1" t="n">
        <x:v>0</x:v>
      </x:c>
      <x:c r="J1150" s="1" t="str">
        <x:v>no</x:v>
      </x:c>
      <x:c r="K1150" s="1" t="n">
        <x:f>2*H1150+E1150+IF(G1150&gt;30,2,0)-IF(B1150&gt;24,1,0)</x:f>
        <x:v>1</x:v>
      </x:c>
      <x:c r="L1150" s="1" t="str">
        <x:f>IF(K1150&gt;=3,"yes","no")</x:f>
        <x:v>no</x:v>
      </x:c>
      <x:c r="M1150" s="1"/>
      <x:c r="N1150" s="1"/>
      <x:c r="O1150" s="1"/>
    </x:row>
    <x:row r="1151">
      <x:c r="A1151" s="1" t="str">
        <x:v>S1150</x:v>
      </x:c>
      <x:c r="B1151" s="1" t="n">
        <x:v>20</x:v>
      </x:c>
      <x:c r="C1151" s="1" t="str">
        <x:v>basic</x:v>
      </x:c>
      <x:c r="D1151" s="8" t="n">
        <x:v>9.99</x:v>
      </x:c>
      <x:c r="E1151" s="1" t="n">
        <x:v>0</x:v>
      </x:c>
      <x:c r="F1151" s="1" t="n">
        <x:v>20</x:v>
      </x:c>
      <x:c r="G1151" s="1" t="n">
        <x:v>13</x:v>
      </x:c>
      <x:c r="H1151" s="1" t="n">
        <x:v>1</x:v>
      </x:c>
      <x:c r="I1151" s="1" t="n">
        <x:v>0</x:v>
      </x:c>
      <x:c r="J1151" s="1" t="str">
        <x:v>no</x:v>
      </x:c>
      <x:c r="K1151" s="1" t="n">
        <x:f>2*H1151+E1151+IF(G1151&gt;30,2,0)-IF(B1151&gt;24,1,0)</x:f>
        <x:v>2</x:v>
      </x:c>
      <x:c r="L1151" s="1" t="str">
        <x:f>IF(K1151&gt;=3,"yes","no")</x:f>
        <x:v>no</x:v>
      </x:c>
      <x:c r="M1151" s="1"/>
      <x:c r="N1151" s="1"/>
      <x:c r="O1151" s="1"/>
    </x:row>
    <x:row r="1152">
      <x:c r="A1152" s="1" t="str">
        <x:v>S1151</x:v>
      </x:c>
      <x:c r="B1152" s="1" t="n">
        <x:v>6</x:v>
      </x:c>
      <x:c r="C1152" s="1" t="str">
        <x:v>premium</x:v>
      </x:c>
      <x:c r="D1152" s="8" t="n">
        <x:v>15.99</x:v>
      </x:c>
      <x:c r="E1152" s="1" t="n">
        <x:v>0</x:v>
      </x:c>
      <x:c r="F1152" s="1" t="n">
        <x:v>22</x:v>
      </x:c>
      <x:c r="G1152" s="1" t="n">
        <x:v>5</x:v>
      </x:c>
      <x:c r="H1152" s="1" t="n">
        <x:v>1</x:v>
      </x:c>
      <x:c r="I1152" s="1" t="n">
        <x:v>0</x:v>
      </x:c>
      <x:c r="J1152" s="1" t="str">
        <x:v>no</x:v>
      </x:c>
      <x:c r="K1152" s="1" t="n">
        <x:f>2*H1152+E1152+IF(G1152&gt;30,2,0)-IF(B1152&gt;24,1,0)</x:f>
        <x:v>2</x:v>
      </x:c>
      <x:c r="L1152" s="1" t="str">
        <x:f>IF(K1152&gt;=3,"yes","no")</x:f>
        <x:v>no</x:v>
      </x:c>
      <x:c r="M1152" s="1"/>
      <x:c r="N1152" s="1"/>
      <x:c r="O1152" s="1"/>
    </x:row>
    <x:row r="1153">
      <x:c r="A1153" s="1" t="str">
        <x:v>S1152</x:v>
      </x:c>
      <x:c r="B1153" s="1" t="n">
        <x:v>31</x:v>
      </x:c>
      <x:c r="C1153" s="1" t="str">
        <x:v>premium</x:v>
      </x:c>
      <x:c r="D1153" s="8" t="n">
        <x:v>15.99</x:v>
      </x:c>
      <x:c r="E1153" s="1" t="n">
        <x:v>1</x:v>
      </x:c>
      <x:c r="F1153" s="1" t="n">
        <x:v>22</x:v>
      </x:c>
      <x:c r="G1153" s="1" t="n">
        <x:v>2</x:v>
      </x:c>
      <x:c r="H1153" s="1" t="n">
        <x:v>0</x:v>
      </x:c>
      <x:c r="I1153" s="1" t="n">
        <x:v>0</x:v>
      </x:c>
      <x:c r="J1153" s="1" t="str">
        <x:v>no</x:v>
      </x:c>
      <x:c r="K1153" s="1" t="n">
        <x:f>2*H1153+E1153+IF(G1153&gt;30,2,0)-IF(B1153&gt;24,1,0)</x:f>
        <x:v>0</x:v>
      </x:c>
      <x:c r="L1153" s="1" t="str">
        <x:f>IF(K1153&gt;=3,"yes","no")</x:f>
        <x:v>no</x:v>
      </x:c>
      <x:c r="M1153" s="1"/>
      <x:c r="N1153" s="1"/>
      <x:c r="O1153" s="1"/>
    </x:row>
    <x:row r="1154">
      <x:c r="A1154" s="1" t="str">
        <x:v>S1153</x:v>
      </x:c>
      <x:c r="B1154" s="1" t="n">
        <x:v>10</x:v>
      </x:c>
      <x:c r="C1154" s="1" t="str">
        <x:v>basic</x:v>
      </x:c>
      <x:c r="D1154" s="8" t="n">
        <x:v>9.99</x:v>
      </x:c>
      <x:c r="E1154" s="1" t="n">
        <x:v>3</x:v>
      </x:c>
      <x:c r="F1154" s="1" t="n">
        <x:v>0</x:v>
      </x:c>
      <x:c r="G1154" s="1" t="n">
        <x:v>44</x:v>
      </x:c>
      <x:c r="H1154" s="1" t="n">
        <x:v>0</x:v>
      </x:c>
      <x:c r="I1154" s="1" t="n">
        <x:v>1</x:v>
      </x:c>
      <x:c r="J1154" s="1" t="str">
        <x:v>yes</x:v>
      </x:c>
      <x:c r="K1154" s="1" t="n">
        <x:f>2*H1154+E1154+IF(G1154&gt;30,2,0)-IF(B1154&gt;24,1,0)</x:f>
        <x:v>5</x:v>
      </x:c>
      <x:c r="L1154" s="1" t="str">
        <x:f>IF(K1154&gt;=3,"yes","no")</x:f>
        <x:v>yes</x:v>
      </x:c>
      <x:c r="M1154" s="1"/>
      <x:c r="N1154" s="1"/>
      <x:c r="O1154" s="1"/>
    </x:row>
    <x:row r="1155">
      <x:c r="A1155" s="1" t="str">
        <x:v>S1154</x:v>
      </x:c>
      <x:c r="B1155" s="1" t="n">
        <x:v>1</x:v>
      </x:c>
      <x:c r="C1155" s="1" t="str">
        <x:v>basic</x:v>
      </x:c>
      <x:c r="D1155" s="8" t="n">
        <x:v>9.99</x:v>
      </x:c>
      <x:c r="E1155" s="1" t="n">
        <x:v>1</x:v>
      </x:c>
      <x:c r="F1155" s="1" t="n">
        <x:v>30</x:v>
      </x:c>
      <x:c r="G1155" s="1" t="n">
        <x:v>1</x:v>
      </x:c>
      <x:c r="H1155" s="1" t="n">
        <x:v>0</x:v>
      </x:c>
      <x:c r="I1155" s="1" t="n">
        <x:v>0</x:v>
      </x:c>
      <x:c r="J1155" s="1" t="str">
        <x:v>no</x:v>
      </x:c>
      <x:c r="K1155" s="1" t="n">
        <x:f>2*H1155+E1155+IF(G1155&gt;30,2,0)-IF(B1155&gt;24,1,0)</x:f>
        <x:v>1</x:v>
      </x:c>
      <x:c r="L1155" s="1" t="str">
        <x:f>IF(K1155&gt;=3,"yes","no")</x:f>
        <x:v>no</x:v>
      </x:c>
      <x:c r="M1155" s="1"/>
      <x:c r="N1155" s="1"/>
      <x:c r="O1155" s="1"/>
    </x:row>
    <x:row r="1156">
      <x:c r="A1156" s="1" t="str">
        <x:v>S1155</x:v>
      </x:c>
      <x:c r="B1156" s="1" t="n">
        <x:v>2</x:v>
      </x:c>
      <x:c r="C1156" s="1" t="str">
        <x:v>premium</x:v>
      </x:c>
      <x:c r="D1156" s="8" t="n">
        <x:v>15.99</x:v>
      </x:c>
      <x:c r="E1156" s="1" t="n">
        <x:v>0</x:v>
      </x:c>
      <x:c r="F1156" s="1" t="n">
        <x:v>33</x:v>
      </x:c>
      <x:c r="G1156" s="1" t="n">
        <x:v>1</x:v>
      </x:c>
      <x:c r="H1156" s="1" t="n">
        <x:v>0</x:v>
      </x:c>
      <x:c r="I1156" s="1" t="n">
        <x:v>0</x:v>
      </x:c>
      <x:c r="J1156" s="1" t="str">
        <x:v>no</x:v>
      </x:c>
      <x:c r="K1156" s="1" t="n">
        <x:f>2*H1156+E1156+IF(G1156&gt;30,2,0)-IF(B1156&gt;24,1,0)</x:f>
        <x:v>0</x:v>
      </x:c>
      <x:c r="L1156" s="1" t="str">
        <x:f>IF(K1156&gt;=3,"yes","no")</x:f>
        <x:v>no</x:v>
      </x:c>
      <x:c r="M1156" s="1"/>
      <x:c r="N1156" s="1"/>
      <x:c r="O1156" s="1"/>
    </x:row>
    <x:row r="1157">
      <x:c r="A1157" s="1" t="str">
        <x:v>S1156</x:v>
      </x:c>
      <x:c r="B1157" s="1" t="n">
        <x:v>19</x:v>
      </x:c>
      <x:c r="C1157" s="1" t="str">
        <x:v>premium</x:v>
      </x:c>
      <x:c r="D1157" s="8" t="n">
        <x:v>15.99</x:v>
      </x:c>
      <x:c r="E1157" s="1" t="n">
        <x:v>0</x:v>
      </x:c>
      <x:c r="F1157" s="1" t="n">
        <x:v>28</x:v>
      </x:c>
      <x:c r="G1157" s="1" t="n">
        <x:v>5</x:v>
      </x:c>
      <x:c r="H1157" s="1" t="n">
        <x:v>0</x:v>
      </x:c>
      <x:c r="I1157" s="1" t="n">
        <x:v>1</x:v>
      </x:c>
      <x:c r="J1157" s="1" t="str">
        <x:v>no</x:v>
      </x:c>
      <x:c r="K1157" s="1" t="n">
        <x:f>2*H1157+E1157+IF(G1157&gt;30,2,0)-IF(B1157&gt;24,1,0)</x:f>
        <x:v>0</x:v>
      </x:c>
      <x:c r="L1157" s="1" t="str">
        <x:f>IF(K1157&gt;=3,"yes","no")</x:f>
        <x:v>no</x:v>
      </x:c>
      <x:c r="M1157" s="1"/>
      <x:c r="N1157" s="1"/>
      <x:c r="O1157" s="1"/>
    </x:row>
    <x:row r="1158">
      <x:c r="A1158" s="1" t="str">
        <x:v>S1157</x:v>
      </x:c>
      <x:c r="B1158" s="1" t="n">
        <x:v>43</x:v>
      </x:c>
      <x:c r="C1158" s="1" t="str">
        <x:v>premium</x:v>
      </x:c>
      <x:c r="D1158" s="8" t="n">
        <x:v>15.99</x:v>
      </x:c>
      <x:c r="E1158" s="1" t="n">
        <x:v>0</x:v>
      </x:c>
      <x:c r="F1158" s="1" t="n">
        <x:v>9</x:v>
      </x:c>
      <x:c r="G1158" s="1" t="n">
        <x:v>22</x:v>
      </x:c>
      <x:c r="H1158" s="1" t="n">
        <x:v>0</x:v>
      </x:c>
      <x:c r="I1158" s="1" t="n">
        <x:v>0</x:v>
      </x:c>
      <x:c r="J1158" s="1" t="str">
        <x:v>no</x:v>
      </x:c>
      <x:c r="K1158" s="1" t="n">
        <x:f>2*H1158+E1158+IF(G1158&gt;30,2,0)-IF(B1158&gt;24,1,0)</x:f>
        <x:v>-1</x:v>
      </x:c>
      <x:c r="L1158" s="1" t="str">
        <x:f>IF(K1158&gt;=3,"yes","no")</x:f>
        <x:v>no</x:v>
      </x:c>
      <x:c r="M1158" s="1"/>
      <x:c r="N1158" s="1"/>
      <x:c r="O1158" s="1"/>
    </x:row>
    <x:row r="1159">
      <x:c r="A1159" s="1" t="str">
        <x:v>S1158</x:v>
      </x:c>
      <x:c r="B1159" s="1" t="n">
        <x:v>30</x:v>
      </x:c>
      <x:c r="C1159" s="1" t="str">
        <x:v>premium</x:v>
      </x:c>
      <x:c r="D1159" s="8" t="n">
        <x:v>15.99</x:v>
      </x:c>
      <x:c r="E1159" s="1" t="n">
        <x:v>0</x:v>
      </x:c>
      <x:c r="F1159" s="1" t="n">
        <x:v>28</x:v>
      </x:c>
      <x:c r="G1159" s="1" t="n">
        <x:v>4</x:v>
      </x:c>
      <x:c r="H1159" s="1" t="n">
        <x:v>1</x:v>
      </x:c>
      <x:c r="I1159" s="1" t="n">
        <x:v>0</x:v>
      </x:c>
      <x:c r="J1159" s="1" t="str">
        <x:v>no</x:v>
      </x:c>
      <x:c r="K1159" s="1" t="n">
        <x:f>2*H1159+E1159+IF(G1159&gt;30,2,0)-IF(B1159&gt;24,1,0)</x:f>
        <x:v>1</x:v>
      </x:c>
      <x:c r="L1159" s="1" t="str">
        <x:f>IF(K1159&gt;=3,"yes","no")</x:f>
        <x:v>no</x:v>
      </x:c>
      <x:c r="M1159" s="1"/>
      <x:c r="N1159" s="1"/>
      <x:c r="O1159" s="1"/>
    </x:row>
    <x:row r="1160">
      <x:c r="A1160" s="1" t="str">
        <x:v>S1159</x:v>
      </x:c>
      <x:c r="B1160" s="1" t="n">
        <x:v>9</x:v>
      </x:c>
      <x:c r="C1160" s="1" t="str">
        <x:v>basic</x:v>
      </x:c>
      <x:c r="D1160" s="8" t="n">
        <x:v>9.99</x:v>
      </x:c>
      <x:c r="E1160" s="1" t="n">
        <x:v>2</x:v>
      </x:c>
      <x:c r="F1160" s="1" t="n">
        <x:v>0</x:v>
      </x:c>
      <x:c r="G1160" s="1" t="n">
        <x:v>49</x:v>
      </x:c>
      <x:c r="H1160" s="1" t="n">
        <x:v>0</x:v>
      </x:c>
      <x:c r="I1160" s="1" t="n">
        <x:v>0</x:v>
      </x:c>
      <x:c r="J1160" s="1" t="str">
        <x:v>yes</x:v>
      </x:c>
      <x:c r="K1160" s="1" t="n">
        <x:f>2*H1160+E1160+IF(G1160&gt;30,2,0)-IF(B1160&gt;24,1,0)</x:f>
        <x:v>4</x:v>
      </x:c>
      <x:c r="L1160" s="1" t="str">
        <x:f>IF(K1160&gt;=3,"yes","no")</x:f>
        <x:v>yes</x:v>
      </x:c>
      <x:c r="M1160" s="1"/>
      <x:c r="N1160" s="1"/>
      <x:c r="O1160" s="1"/>
    </x:row>
    <x:row r="1161">
      <x:c r="A1161" s="1" t="str">
        <x:v>S1160</x:v>
      </x:c>
      <x:c r="B1161" s="1" t="n">
        <x:v>30</x:v>
      </x:c>
      <x:c r="C1161" s="1" t="str">
        <x:v>basic</x:v>
      </x:c>
      <x:c r="D1161" s="8" t="n">
        <x:v>9.99</x:v>
      </x:c>
      <x:c r="E1161" s="1" t="n">
        <x:v>2</x:v>
      </x:c>
      <x:c r="F1161" s="1" t="n">
        <x:v>0</x:v>
      </x:c>
      <x:c r="G1161" s="1" t="n">
        <x:v>58</x:v>
      </x:c>
      <x:c r="H1161" s="1" t="n">
        <x:v>2</x:v>
      </x:c>
      <x:c r="I1161" s="1" t="n">
        <x:v>0</x:v>
      </x:c>
      <x:c r="J1161" s="1" t="str">
        <x:v>yes</x:v>
      </x:c>
      <x:c r="K1161" s="1" t="n">
        <x:f>2*H1161+E1161+IF(G1161&gt;30,2,0)-IF(B1161&gt;24,1,0)</x:f>
        <x:v>7</x:v>
      </x:c>
      <x:c r="L1161" s="1" t="str">
        <x:f>IF(K1161&gt;=3,"yes","no")</x:f>
        <x:v>yes</x:v>
      </x:c>
      <x:c r="M1161" s="1"/>
      <x:c r="N1161" s="1"/>
      <x:c r="O1161" s="1"/>
    </x:row>
    <x:row r="1162">
      <x:c r="A1162" s="1" t="str">
        <x:v>S1161</x:v>
      </x:c>
      <x:c r="B1162" s="1" t="n">
        <x:v>25</x:v>
      </x:c>
      <x:c r="C1162" s="1" t="str">
        <x:v>premium</x:v>
      </x:c>
      <x:c r="D1162" s="8" t="n">
        <x:v>15.99</x:v>
      </x:c>
      <x:c r="E1162" s="1" t="n">
        <x:v>1</x:v>
      </x:c>
      <x:c r="F1162" s="1" t="n">
        <x:v>19</x:v>
      </x:c>
      <x:c r="G1162" s="1" t="n">
        <x:v>11</x:v>
      </x:c>
      <x:c r="H1162" s="1" t="n">
        <x:v>1</x:v>
      </x:c>
      <x:c r="I1162" s="1" t="n">
        <x:v>1</x:v>
      </x:c>
      <x:c r="J1162" s="1" t="str">
        <x:v>yes</x:v>
      </x:c>
      <x:c r="K1162" s="1" t="n">
        <x:f>2*H1162+E1162+IF(G1162&gt;30,2,0)-IF(B1162&gt;24,1,0)</x:f>
        <x:v>2</x:v>
      </x:c>
      <x:c r="L1162" s="1" t="str">
        <x:f>IF(K1162&gt;=3,"yes","no")</x:f>
        <x:v>no</x:v>
      </x:c>
      <x:c r="M1162" s="1"/>
      <x:c r="N1162" s="1"/>
      <x:c r="O1162" s="1"/>
    </x:row>
    <x:row r="1163">
      <x:c r="A1163" s="1" t="str">
        <x:v>S1162</x:v>
      </x:c>
      <x:c r="B1163" s="1" t="n">
        <x:v>19</x:v>
      </x:c>
      <x:c r="C1163" s="1" t="str">
        <x:v>basic</x:v>
      </x:c>
      <x:c r="D1163" s="8" t="n">
        <x:v>9.99</x:v>
      </x:c>
      <x:c r="E1163" s="1" t="n">
        <x:v>1</x:v>
      </x:c>
      <x:c r="F1163" s="1" t="n">
        <x:v>0</x:v>
      </x:c>
      <x:c r="G1163" s="1" t="n">
        <x:v>56</x:v>
      </x:c>
      <x:c r="H1163" s="1" t="n">
        <x:v>0</x:v>
      </x:c>
      <x:c r="I1163" s="1" t="n">
        <x:v>0</x:v>
      </x:c>
      <x:c r="J1163" s="1" t="str">
        <x:v>yes</x:v>
      </x:c>
      <x:c r="K1163" s="1" t="n">
        <x:f>2*H1163+E1163+IF(G1163&gt;30,2,0)-IF(B1163&gt;24,1,0)</x:f>
        <x:v>3</x:v>
      </x:c>
      <x:c r="L1163" s="1" t="str">
        <x:f>IF(K1163&gt;=3,"yes","no")</x:f>
        <x:v>yes</x:v>
      </x:c>
      <x:c r="M1163" s="1"/>
      <x:c r="N1163" s="1"/>
      <x:c r="O1163" s="1"/>
    </x:row>
    <x:row r="1164">
      <x:c r="A1164" s="1" t="str">
        <x:v>S1163</x:v>
      </x:c>
      <x:c r="B1164" s="1" t="n">
        <x:v>30</x:v>
      </x:c>
      <x:c r="C1164" s="1" t="str">
        <x:v>basic</x:v>
      </x:c>
      <x:c r="D1164" s="8" t="n">
        <x:v>9.99</x:v>
      </x:c>
      <x:c r="E1164" s="1" t="n">
        <x:v>4</x:v>
      </x:c>
      <x:c r="F1164" s="1" t="n">
        <x:v>0</x:v>
      </x:c>
      <x:c r="G1164" s="1" t="n">
        <x:v>38</x:v>
      </x:c>
      <x:c r="H1164" s="1" t="n">
        <x:v>0</x:v>
      </x:c>
      <x:c r="I1164" s="1" t="n">
        <x:v>0</x:v>
      </x:c>
      <x:c r="J1164" s="1" t="str">
        <x:v>yes</x:v>
      </x:c>
      <x:c r="K1164" s="1" t="n">
        <x:f>2*H1164+E1164+IF(G1164&gt;30,2,0)-IF(B1164&gt;24,1,0)</x:f>
        <x:v>5</x:v>
      </x:c>
      <x:c r="L1164" s="1" t="str">
        <x:f>IF(K1164&gt;=3,"yes","no")</x:f>
        <x:v>yes</x:v>
      </x:c>
      <x:c r="M1164" s="1"/>
      <x:c r="N1164" s="1"/>
      <x:c r="O1164" s="1"/>
    </x:row>
    <x:row r="1165">
      <x:c r="A1165" s="1" t="str">
        <x:v>S1164</x:v>
      </x:c>
      <x:c r="B1165" s="1" t="n">
        <x:v>35</x:v>
      </x:c>
      <x:c r="C1165" s="1" t="str">
        <x:v>premium</x:v>
      </x:c>
      <x:c r="D1165" s="8" t="n">
        <x:v>15.99</x:v>
      </x:c>
      <x:c r="E1165" s="1" t="n">
        <x:v>1</x:v>
      </x:c>
      <x:c r="F1165" s="1" t="n">
        <x:v>16</x:v>
      </x:c>
      <x:c r="G1165" s="1" t="n">
        <x:v>28</x:v>
      </x:c>
      <x:c r="H1165" s="1" t="n">
        <x:v>0</x:v>
      </x:c>
      <x:c r="I1165" s="1" t="n">
        <x:v>0</x:v>
      </x:c>
      <x:c r="J1165" s="1" t="str">
        <x:v>no</x:v>
      </x:c>
      <x:c r="K1165" s="1" t="n">
        <x:f>2*H1165+E1165+IF(G1165&gt;30,2,0)-IF(B1165&gt;24,1,0)</x:f>
        <x:v>0</x:v>
      </x:c>
      <x:c r="L1165" s="1" t="str">
        <x:f>IF(K1165&gt;=3,"yes","no")</x:f>
        <x:v>no</x:v>
      </x:c>
      <x:c r="M1165" s="1"/>
      <x:c r="N1165" s="1"/>
      <x:c r="O1165" s="1"/>
    </x:row>
    <x:row r="1166">
      <x:c r="A1166" s="1" t="str">
        <x:v>S1165</x:v>
      </x:c>
      <x:c r="B1166" s="1" t="n">
        <x:v>45</x:v>
      </x:c>
      <x:c r="C1166" s="1" t="str">
        <x:v>basic</x:v>
      </x:c>
      <x:c r="D1166" s="8" t="n">
        <x:v>9.99</x:v>
      </x:c>
      <x:c r="E1166" s="1" t="n">
        <x:v>0</x:v>
      </x:c>
      <x:c r="F1166" s="1" t="n">
        <x:v>19</x:v>
      </x:c>
      <x:c r="G1166" s="1" t="n">
        <x:v>7</x:v>
      </x:c>
      <x:c r="H1166" s="1" t="n">
        <x:v>0</x:v>
      </x:c>
      <x:c r="I1166" s="1" t="n">
        <x:v>0</x:v>
      </x:c>
      <x:c r="J1166" s="1" t="str">
        <x:v>no</x:v>
      </x:c>
      <x:c r="K1166" s="1" t="n">
        <x:f>2*H1166+E1166+IF(G1166&gt;30,2,0)-IF(B1166&gt;24,1,0)</x:f>
        <x:v>-1</x:v>
      </x:c>
      <x:c r="L1166" s="1" t="str">
        <x:f>IF(K1166&gt;=3,"yes","no")</x:f>
        <x:v>no</x:v>
      </x:c>
      <x:c r="M1166" s="1"/>
      <x:c r="N1166" s="1"/>
      <x:c r="O1166" s="1"/>
    </x:row>
    <x:row r="1167">
      <x:c r="A1167" s="1" t="str">
        <x:v>S1166</x:v>
      </x:c>
      <x:c r="B1167" s="1" t="n">
        <x:v>41</x:v>
      </x:c>
      <x:c r="C1167" s="1" t="str">
        <x:v>basic</x:v>
      </x:c>
      <x:c r="D1167" s="8" t="n">
        <x:v>9.99</x:v>
      </x:c>
      <x:c r="E1167" s="1" t="n">
        <x:v>1</x:v>
      </x:c>
      <x:c r="F1167" s="1" t="n">
        <x:v>24</x:v>
      </x:c>
      <x:c r="G1167" s="1" t="n">
        <x:v>6</x:v>
      </x:c>
      <x:c r="H1167" s="1" t="n">
        <x:v>0</x:v>
      </x:c>
      <x:c r="I1167" s="1" t="n">
        <x:v>0</x:v>
      </x:c>
      <x:c r="J1167" s="1" t="str">
        <x:v>no</x:v>
      </x:c>
      <x:c r="K1167" s="1" t="n">
        <x:f>2*H1167+E1167+IF(G1167&gt;30,2,0)-IF(B1167&gt;24,1,0)</x:f>
        <x:v>0</x:v>
      </x:c>
      <x:c r="L1167" s="1" t="str">
        <x:f>IF(K1167&gt;=3,"yes","no")</x:f>
        <x:v>no</x:v>
      </x:c>
      <x:c r="M1167" s="1"/>
      <x:c r="N1167" s="1"/>
      <x:c r="O1167" s="1"/>
    </x:row>
    <x:row r="1168">
      <x:c r="A1168" s="1" t="str">
        <x:v>S1167</x:v>
      </x:c>
      <x:c r="B1168" s="1" t="n">
        <x:v>47</x:v>
      </x:c>
      <x:c r="C1168" s="1" t="str">
        <x:v>premium</x:v>
      </x:c>
      <x:c r="D1168" s="8" t="n">
        <x:v>15.99</x:v>
      </x:c>
      <x:c r="E1168" s="1" t="n">
        <x:v>0</x:v>
      </x:c>
      <x:c r="F1168" s="1" t="n">
        <x:v>8</x:v>
      </x:c>
      <x:c r="G1168" s="1" t="n">
        <x:v>7</x:v>
      </x:c>
      <x:c r="H1168" s="1" t="n">
        <x:v>0</x:v>
      </x:c>
      <x:c r="I1168" s="1" t="n">
        <x:v>0</x:v>
      </x:c>
      <x:c r="J1168" s="1" t="str">
        <x:v>no</x:v>
      </x:c>
      <x:c r="K1168" s="1" t="n">
        <x:f>2*H1168+E1168+IF(G1168&gt;30,2,0)-IF(B1168&gt;24,1,0)</x:f>
        <x:v>-1</x:v>
      </x:c>
      <x:c r="L1168" s="1" t="str">
        <x:f>IF(K1168&gt;=3,"yes","no")</x:f>
        <x:v>no</x:v>
      </x:c>
      <x:c r="M1168" s="1"/>
      <x:c r="N1168" s="1"/>
      <x:c r="O1168" s="1"/>
    </x:row>
    <x:row r="1169">
      <x:c r="A1169" s="1" t="str">
        <x:v>S1168</x:v>
      </x:c>
      <x:c r="B1169" s="1" t="n">
        <x:v>41</x:v>
      </x:c>
      <x:c r="C1169" s="1" t="str">
        <x:v>basic</x:v>
      </x:c>
      <x:c r="D1169" s="8" t="n">
        <x:v>9.99</x:v>
      </x:c>
      <x:c r="E1169" s="1" t="n">
        <x:v>0</x:v>
      </x:c>
      <x:c r="F1169" s="1" t="n">
        <x:v>5</x:v>
      </x:c>
      <x:c r="G1169" s="1" t="n">
        <x:v>27</x:v>
      </x:c>
      <x:c r="H1169" s="1" t="n">
        <x:v>0</x:v>
      </x:c>
      <x:c r="I1169" s="1" t="n">
        <x:v>0</x:v>
      </x:c>
      <x:c r="J1169" s="1" t="str">
        <x:v>no</x:v>
      </x:c>
      <x:c r="K1169" s="1" t="n">
        <x:f>2*H1169+E1169+IF(G1169&gt;30,2,0)-IF(B1169&gt;24,1,0)</x:f>
        <x:v>-1</x:v>
      </x:c>
      <x:c r="L1169" s="1" t="str">
        <x:f>IF(K1169&gt;=3,"yes","no")</x:f>
        <x:v>no</x:v>
      </x:c>
      <x:c r="M1169" s="1"/>
      <x:c r="N1169" s="1"/>
      <x:c r="O1169" s="1"/>
    </x:row>
    <x:row r="1170">
      <x:c r="A1170" s="1" t="str">
        <x:v>S1169</x:v>
      </x:c>
      <x:c r="B1170" s="1" t="n">
        <x:v>1</x:v>
      </x:c>
      <x:c r="C1170" s="1" t="str">
        <x:v>premium</x:v>
      </x:c>
      <x:c r="D1170" s="8" t="n">
        <x:v>15.99</x:v>
      </x:c>
      <x:c r="E1170" s="1" t="n">
        <x:v>1</x:v>
      </x:c>
      <x:c r="F1170" s="1" t="n">
        <x:v>28</x:v>
      </x:c>
      <x:c r="G1170" s="1" t="n">
        <x:v>1</x:v>
      </x:c>
      <x:c r="H1170" s="1" t="n">
        <x:v>0</x:v>
      </x:c>
      <x:c r="I1170" s="1" t="n">
        <x:v>0</x:v>
      </x:c>
      <x:c r="J1170" s="1" t="str">
        <x:v>no</x:v>
      </x:c>
      <x:c r="K1170" s="1" t="n">
        <x:f>2*H1170+E1170+IF(G1170&gt;30,2,0)-IF(B1170&gt;24,1,0)</x:f>
        <x:v>1</x:v>
      </x:c>
      <x:c r="L1170" s="1" t="str">
        <x:f>IF(K1170&gt;=3,"yes","no")</x:f>
        <x:v>no</x:v>
      </x:c>
      <x:c r="M1170" s="1"/>
      <x:c r="N1170" s="1"/>
      <x:c r="O1170" s="1"/>
    </x:row>
    <x:row r="1171">
      <x:c r="A1171" s="1" t="str">
        <x:v>S1170</x:v>
      </x:c>
      <x:c r="B1171" s="1" t="n">
        <x:v>15</x:v>
      </x:c>
      <x:c r="C1171" s="1" t="str">
        <x:v>premium</x:v>
      </x:c>
      <x:c r="D1171" s="8" t="n">
        <x:v>15.99</x:v>
      </x:c>
      <x:c r="E1171" s="1" t="n">
        <x:v>1</x:v>
      </x:c>
      <x:c r="F1171" s="1" t="n">
        <x:v>22</x:v>
      </x:c>
      <x:c r="G1171" s="1" t="n">
        <x:v>12</x:v>
      </x:c>
      <x:c r="H1171" s="1" t="n">
        <x:v>1</x:v>
      </x:c>
      <x:c r="I1171" s="1" t="n">
        <x:v>1</x:v>
      </x:c>
      <x:c r="J1171" s="1" t="str">
        <x:v>no</x:v>
      </x:c>
      <x:c r="K1171" s="1" t="n">
        <x:f>2*H1171+E1171+IF(G1171&gt;30,2,0)-IF(B1171&gt;24,1,0)</x:f>
        <x:v>3</x:v>
      </x:c>
      <x:c r="L1171" s="1" t="str">
        <x:f>IF(K1171&gt;=3,"yes","no")</x:f>
        <x:v>yes</x:v>
      </x:c>
      <x:c r="M1171" s="1"/>
      <x:c r="N1171" s="1"/>
      <x:c r="O1171" s="1"/>
    </x:row>
    <x:row r="1172">
      <x:c r="A1172" s="1" t="str">
        <x:v>S1171</x:v>
      </x:c>
      <x:c r="B1172" s="1" t="n">
        <x:v>48</x:v>
      </x:c>
      <x:c r="C1172" s="1" t="str">
        <x:v>basic</x:v>
      </x:c>
      <x:c r="D1172" s="8" t="n">
        <x:v>9.99</x:v>
      </x:c>
      <x:c r="E1172" s="1" t="n">
        <x:v>3</x:v>
      </x:c>
      <x:c r="F1172" s="1" t="n">
        <x:v>0</x:v>
      </x:c>
      <x:c r="G1172" s="1" t="n">
        <x:v>47</x:v>
      </x:c>
      <x:c r="H1172" s="1" t="n">
        <x:v>0</x:v>
      </x:c>
      <x:c r="I1172" s="1" t="n">
        <x:v>0</x:v>
      </x:c>
      <x:c r="J1172" s="1" t="str">
        <x:v>yes</x:v>
      </x:c>
      <x:c r="K1172" s="1" t="n">
        <x:f>2*H1172+E1172+IF(G1172&gt;30,2,0)-IF(B1172&gt;24,1,0)</x:f>
        <x:v>4</x:v>
      </x:c>
      <x:c r="L1172" s="1" t="str">
        <x:f>IF(K1172&gt;=3,"yes","no")</x:f>
        <x:v>yes</x:v>
      </x:c>
      <x:c r="M1172" s="1"/>
      <x:c r="N1172" s="1"/>
      <x:c r="O1172" s="1"/>
    </x:row>
    <x:row r="1173">
      <x:c r="A1173" s="1" t="str">
        <x:v>S1172</x:v>
      </x:c>
      <x:c r="B1173" s="1" t="n">
        <x:v>5</x:v>
      </x:c>
      <x:c r="C1173" s="1" t="str">
        <x:v>basic</x:v>
      </x:c>
      <x:c r="D1173" s="8" t="n">
        <x:v>9.99</x:v>
      </x:c>
      <x:c r="E1173" s="1" t="n">
        <x:v>1</x:v>
      </x:c>
      <x:c r="F1173" s="1" t="n">
        <x:v>25</x:v>
      </x:c>
      <x:c r="G1173" s="1" t="n">
        <x:v>0</x:v>
      </x:c>
      <x:c r="H1173" s="1" t="n">
        <x:v>0</x:v>
      </x:c>
      <x:c r="I1173" s="1" t="n">
        <x:v>1</x:v>
      </x:c>
      <x:c r="J1173" s="1" t="str">
        <x:v>no</x:v>
      </x:c>
      <x:c r="K1173" s="1" t="n">
        <x:f>2*H1173+E1173+IF(G1173&gt;30,2,0)-IF(B1173&gt;24,1,0)</x:f>
        <x:v>1</x:v>
      </x:c>
      <x:c r="L1173" s="1" t="str">
        <x:f>IF(K1173&gt;=3,"yes","no")</x:f>
        <x:v>no</x:v>
      </x:c>
      <x:c r="M1173" s="1"/>
      <x:c r="N1173" s="1"/>
      <x:c r="O1173" s="1"/>
    </x:row>
    <x:row r="1174">
      <x:c r="A1174" s="1" t="str">
        <x:v>S1173</x:v>
      </x:c>
      <x:c r="B1174" s="1" t="n">
        <x:v>2</x:v>
      </x:c>
      <x:c r="C1174" s="1" t="str">
        <x:v>basic</x:v>
      </x:c>
      <x:c r="D1174" s="8" t="n">
        <x:v>9.99</x:v>
      </x:c>
      <x:c r="E1174" s="1" t="n">
        <x:v>1</x:v>
      </x:c>
      <x:c r="F1174" s="1" t="n">
        <x:v>11</x:v>
      </x:c>
      <x:c r="G1174" s="1" t="n">
        <x:v>27</x:v>
      </x:c>
      <x:c r="H1174" s="1" t="n">
        <x:v>0</x:v>
      </x:c>
      <x:c r="I1174" s="1" t="n">
        <x:v>0</x:v>
      </x:c>
      <x:c r="J1174" s="1" t="str">
        <x:v>yes</x:v>
      </x:c>
      <x:c r="K1174" s="1" t="n">
        <x:f>2*H1174+E1174+IF(G1174&gt;30,2,0)-IF(B1174&gt;24,1,0)</x:f>
        <x:v>1</x:v>
      </x:c>
      <x:c r="L1174" s="1" t="str">
        <x:f>IF(K1174&gt;=3,"yes","no")</x:f>
        <x:v>no</x:v>
      </x:c>
      <x:c r="M1174" s="1"/>
      <x:c r="N1174" s="1"/>
      <x:c r="O1174" s="1"/>
    </x:row>
    <x:row r="1175">
      <x:c r="A1175" s="1" t="str">
        <x:v>S1174</x:v>
      </x:c>
      <x:c r="B1175" s="1" t="n">
        <x:v>1</x:v>
      </x:c>
      <x:c r="C1175" s="1" t="str">
        <x:v>basic</x:v>
      </x:c>
      <x:c r="D1175" s="8" t="n">
        <x:v>9.99</x:v>
      </x:c>
      <x:c r="E1175" s="1" t="n">
        <x:v>0</x:v>
      </x:c>
      <x:c r="F1175" s="1" t="n">
        <x:v>21</x:v>
      </x:c>
      <x:c r="G1175" s="1" t="n">
        <x:v>8</x:v>
      </x:c>
      <x:c r="H1175" s="1" t="n">
        <x:v>0</x:v>
      </x:c>
      <x:c r="I1175" s="1" t="n">
        <x:v>0</x:v>
      </x:c>
      <x:c r="J1175" s="1" t="str">
        <x:v>no</x:v>
      </x:c>
      <x:c r="K1175" s="1" t="n">
        <x:f>2*H1175+E1175+IF(G1175&gt;30,2,0)-IF(B1175&gt;24,1,0)</x:f>
        <x:v>0</x:v>
      </x:c>
      <x:c r="L1175" s="1" t="str">
        <x:f>IF(K1175&gt;=3,"yes","no")</x:f>
        <x:v>no</x:v>
      </x:c>
      <x:c r="M1175" s="1"/>
      <x:c r="N1175" s="1"/>
      <x:c r="O1175" s="1"/>
    </x:row>
    <x:row r="1176">
      <x:c r="A1176" s="1" t="str">
        <x:v>S1175</x:v>
      </x:c>
      <x:c r="B1176" s="1" t="n">
        <x:v>29</x:v>
      </x:c>
      <x:c r="C1176" s="1" t="str">
        <x:v>basic</x:v>
      </x:c>
      <x:c r="D1176" s="8" t="n">
        <x:v>9.99</x:v>
      </x:c>
      <x:c r="E1176" s="1" t="n">
        <x:v>1</x:v>
      </x:c>
      <x:c r="F1176" s="1" t="n">
        <x:v>23</x:v>
      </x:c>
      <x:c r="G1176" s="1" t="n">
        <x:v>1</x:v>
      </x:c>
      <x:c r="H1176" s="1" t="n">
        <x:v>0</x:v>
      </x:c>
      <x:c r="I1176" s="1" t="n">
        <x:v>0</x:v>
      </x:c>
      <x:c r="J1176" s="1" t="str">
        <x:v>no</x:v>
      </x:c>
      <x:c r="K1176" s="1" t="n">
        <x:f>2*H1176+E1176+IF(G1176&gt;30,2,0)-IF(B1176&gt;24,1,0)</x:f>
        <x:v>0</x:v>
      </x:c>
      <x:c r="L1176" s="1" t="str">
        <x:f>IF(K1176&gt;=3,"yes","no")</x:f>
        <x:v>no</x:v>
      </x:c>
      <x:c r="M1176" s="1"/>
      <x:c r="N1176" s="1"/>
      <x:c r="O1176" s="1"/>
    </x:row>
    <x:row r="1177">
      <x:c r="A1177" s="1" t="str">
        <x:v>S1176</x:v>
      </x:c>
      <x:c r="B1177" s="1" t="n">
        <x:v>43</x:v>
      </x:c>
      <x:c r="C1177" s="1" t="str">
        <x:v>basic</x:v>
      </x:c>
      <x:c r="D1177" s="8" t="n">
        <x:v>9.99</x:v>
      </x:c>
      <x:c r="E1177" s="1" t="n">
        <x:v>0</x:v>
      </x:c>
      <x:c r="F1177" s="1" t="n">
        <x:v>0</x:v>
      </x:c>
      <x:c r="G1177" s="1" t="n">
        <x:v>48</x:v>
      </x:c>
      <x:c r="H1177" s="1" t="n">
        <x:v>0</x:v>
      </x:c>
      <x:c r="I1177" s="1" t="n">
        <x:v>0</x:v>
      </x:c>
      <x:c r="J1177" s="1" t="str">
        <x:v>no</x:v>
      </x:c>
      <x:c r="K1177" s="1" t="n">
        <x:f>2*H1177+E1177+IF(G1177&gt;30,2,0)-IF(B1177&gt;24,1,0)</x:f>
        <x:v>1</x:v>
      </x:c>
      <x:c r="L1177" s="1" t="str">
        <x:f>IF(K1177&gt;=3,"yes","no")</x:f>
        <x:v>no</x:v>
      </x:c>
      <x:c r="M1177" s="1"/>
      <x:c r="N1177" s="1"/>
      <x:c r="O1177" s="1"/>
    </x:row>
    <x:row r="1178">
      <x:c r="A1178" s="1" t="str">
        <x:v>S1177</x:v>
      </x:c>
      <x:c r="B1178" s="1" t="n">
        <x:v>18</x:v>
      </x:c>
      <x:c r="C1178" s="1" t="str">
        <x:v>basic</x:v>
      </x:c>
      <x:c r="D1178" s="8" t="n">
        <x:v>9.99</x:v>
      </x:c>
      <x:c r="E1178" s="1" t="n">
        <x:v>0</x:v>
      </x:c>
      <x:c r="F1178" s="1" t="n">
        <x:v>7</x:v>
      </x:c>
      <x:c r="G1178" s="1" t="n">
        <x:v>15</x:v>
      </x:c>
      <x:c r="H1178" s="1" t="n">
        <x:v>0</x:v>
      </x:c>
      <x:c r="I1178" s="1" t="n">
        <x:v>0</x:v>
      </x:c>
      <x:c r="J1178" s="1" t="str">
        <x:v>no</x:v>
      </x:c>
      <x:c r="K1178" s="1" t="n">
        <x:f>2*H1178+E1178+IF(G1178&gt;30,2,0)-IF(B1178&gt;24,1,0)</x:f>
        <x:v>0</x:v>
      </x:c>
      <x:c r="L1178" s="1" t="str">
        <x:f>IF(K1178&gt;=3,"yes","no")</x:f>
        <x:v>no</x:v>
      </x:c>
      <x:c r="M1178" s="1"/>
      <x:c r="N1178" s="1"/>
      <x:c r="O1178" s="1"/>
    </x:row>
    <x:row r="1179">
      <x:c r="A1179" s="1" t="str">
        <x:v>S1178</x:v>
      </x:c>
      <x:c r="B1179" s="1" t="n">
        <x:v>8</x:v>
      </x:c>
      <x:c r="C1179" s="1" t="str">
        <x:v>premium</x:v>
      </x:c>
      <x:c r="D1179" s="8" t="n">
        <x:v>15.99</x:v>
      </x:c>
      <x:c r="E1179" s="1" t="n">
        <x:v>0</x:v>
      </x:c>
      <x:c r="F1179" s="1" t="n">
        <x:v>21</x:v>
      </x:c>
      <x:c r="G1179" s="1" t="n">
        <x:v>13</x:v>
      </x:c>
      <x:c r="H1179" s="1" t="n">
        <x:v>0</x:v>
      </x:c>
      <x:c r="I1179" s="1" t="n">
        <x:v>0</x:v>
      </x:c>
      <x:c r="J1179" s="1" t="str">
        <x:v>no</x:v>
      </x:c>
      <x:c r="K1179" s="1" t="n">
        <x:f>2*H1179+E1179+IF(G1179&gt;30,2,0)-IF(B1179&gt;24,1,0)</x:f>
        <x:v>0</x:v>
      </x:c>
      <x:c r="L1179" s="1" t="str">
        <x:f>IF(K1179&gt;=3,"yes","no")</x:f>
        <x:v>no</x:v>
      </x:c>
      <x:c r="M1179" s="1"/>
      <x:c r="N1179" s="1"/>
      <x:c r="O1179" s="1"/>
    </x:row>
    <x:row r="1180">
      <x:c r="A1180" s="1" t="str">
        <x:v>S1179</x:v>
      </x:c>
      <x:c r="B1180" s="1" t="n">
        <x:v>15</x:v>
      </x:c>
      <x:c r="C1180" s="1" t="str">
        <x:v>basic</x:v>
      </x:c>
      <x:c r="D1180" s="8" t="n">
        <x:v>9.99</x:v>
      </x:c>
      <x:c r="E1180" s="1" t="n">
        <x:v>3</x:v>
      </x:c>
      <x:c r="F1180" s="1" t="n">
        <x:v>9</x:v>
      </x:c>
      <x:c r="G1180" s="1" t="n">
        <x:v>23</x:v>
      </x:c>
      <x:c r="H1180" s="1" t="n">
        <x:v>0</x:v>
      </x:c>
      <x:c r="I1180" s="1" t="n">
        <x:v>1</x:v>
      </x:c>
      <x:c r="J1180" s="1" t="str">
        <x:v>yes</x:v>
      </x:c>
      <x:c r="K1180" s="1" t="n">
        <x:f>2*H1180+E1180+IF(G1180&gt;30,2,0)-IF(B1180&gt;24,1,0)</x:f>
        <x:v>3</x:v>
      </x:c>
      <x:c r="L1180" s="1" t="str">
        <x:f>IF(K1180&gt;=3,"yes","no")</x:f>
        <x:v>yes</x:v>
      </x:c>
      <x:c r="M1180" s="1"/>
      <x:c r="N1180" s="1"/>
      <x:c r="O1180" s="1"/>
    </x:row>
    <x:row r="1181">
      <x:c r="A1181" s="1" t="str">
        <x:v>S1180</x:v>
      </x:c>
      <x:c r="B1181" s="1" t="n">
        <x:v>25</x:v>
      </x:c>
      <x:c r="C1181" s="1" t="str">
        <x:v>basic</x:v>
      </x:c>
      <x:c r="D1181" s="8" t="n">
        <x:v>9.99</x:v>
      </x:c>
      <x:c r="E1181" s="1" t="n">
        <x:v>3</x:v>
      </x:c>
      <x:c r="F1181" s="1" t="n">
        <x:v>16</x:v>
      </x:c>
      <x:c r="G1181" s="1" t="n">
        <x:v>7</x:v>
      </x:c>
      <x:c r="H1181" s="1" t="n">
        <x:v>1</x:v>
      </x:c>
      <x:c r="I1181" s="1" t="n">
        <x:v>0</x:v>
      </x:c>
      <x:c r="J1181" s="1" t="str">
        <x:v>no</x:v>
      </x:c>
      <x:c r="K1181" s="1" t="n">
        <x:f>2*H1181+E1181+IF(G1181&gt;30,2,0)-IF(B1181&gt;24,1,0)</x:f>
        <x:v>4</x:v>
      </x:c>
      <x:c r="L1181" s="1" t="str">
        <x:f>IF(K1181&gt;=3,"yes","no")</x:f>
        <x:v>yes</x:v>
      </x:c>
      <x:c r="M1181" s="1"/>
      <x:c r="N1181" s="1"/>
      <x:c r="O1181" s="1"/>
    </x:row>
    <x:row r="1182">
      <x:c r="A1182" s="1" t="str">
        <x:v>S1181</x:v>
      </x:c>
      <x:c r="B1182" s="1" t="n">
        <x:v>31</x:v>
      </x:c>
      <x:c r="C1182" s="1" t="str">
        <x:v>basic</x:v>
      </x:c>
      <x:c r="D1182" s="8" t="n">
        <x:v>9.99</x:v>
      </x:c>
      <x:c r="E1182" s="1" t="n">
        <x:v>3</x:v>
      </x:c>
      <x:c r="F1182" s="1" t="n">
        <x:v>12</x:v>
      </x:c>
      <x:c r="G1182" s="1" t="n">
        <x:v>13</x:v>
      </x:c>
      <x:c r="H1182" s="1" t="n">
        <x:v>1</x:v>
      </x:c>
      <x:c r="I1182" s="1" t="n">
        <x:v>0</x:v>
      </x:c>
      <x:c r="J1182" s="1" t="str">
        <x:v>no</x:v>
      </x:c>
      <x:c r="K1182" s="1" t="n">
        <x:f>2*H1182+E1182+IF(G1182&gt;30,2,0)-IF(B1182&gt;24,1,0)</x:f>
        <x:v>4</x:v>
      </x:c>
      <x:c r="L1182" s="1" t="str">
        <x:f>IF(K1182&gt;=3,"yes","no")</x:f>
        <x:v>yes</x:v>
      </x:c>
      <x:c r="M1182" s="1"/>
      <x:c r="N1182" s="1"/>
      <x:c r="O1182" s="1"/>
    </x:row>
    <x:row r="1183">
      <x:c r="A1183" s="1" t="str">
        <x:v>S1182</x:v>
      </x:c>
      <x:c r="B1183" s="1" t="n">
        <x:v>45</x:v>
      </x:c>
      <x:c r="C1183" s="1" t="str">
        <x:v>premium</x:v>
      </x:c>
      <x:c r="D1183" s="8" t="n">
        <x:v>15.99</x:v>
      </x:c>
      <x:c r="E1183" s="1" t="n">
        <x:v>0</x:v>
      </x:c>
      <x:c r="F1183" s="1" t="n">
        <x:v>11</x:v>
      </x:c>
      <x:c r="G1183" s="1" t="n">
        <x:v>2</x:v>
      </x:c>
      <x:c r="H1183" s="1" t="n">
        <x:v>0</x:v>
      </x:c>
      <x:c r="I1183" s="1" t="n">
        <x:v>0</x:v>
      </x:c>
      <x:c r="J1183" s="1" t="str">
        <x:v>no</x:v>
      </x:c>
      <x:c r="K1183" s="1" t="n">
        <x:f>2*H1183+E1183+IF(G1183&gt;30,2,0)-IF(B1183&gt;24,1,0)</x:f>
        <x:v>-1</x:v>
      </x:c>
      <x:c r="L1183" s="1" t="str">
        <x:f>IF(K1183&gt;=3,"yes","no")</x:f>
        <x:v>no</x:v>
      </x:c>
      <x:c r="M1183" s="1"/>
      <x:c r="N1183" s="1"/>
      <x:c r="O1183" s="1"/>
    </x:row>
    <x:row r="1184">
      <x:c r="A1184" s="1" t="str">
        <x:v>S1183</x:v>
      </x:c>
      <x:c r="B1184" s="1" t="n">
        <x:v>33</x:v>
      </x:c>
      <x:c r="C1184" s="1" t="str">
        <x:v>basic</x:v>
      </x:c>
      <x:c r="D1184" s="8" t="n">
        <x:v>9.99</x:v>
      </x:c>
      <x:c r="E1184" s="1" t="n">
        <x:v>0</x:v>
      </x:c>
      <x:c r="F1184" s="1" t="n">
        <x:v>25</x:v>
      </x:c>
      <x:c r="G1184" s="1" t="n">
        <x:v>0</x:v>
      </x:c>
      <x:c r="H1184" s="1" t="n">
        <x:v>0</x:v>
      </x:c>
      <x:c r="I1184" s="1" t="n">
        <x:v>0</x:v>
      </x:c>
      <x:c r="J1184" s="1" t="str">
        <x:v>no</x:v>
      </x:c>
      <x:c r="K1184" s="1" t="n">
        <x:f>2*H1184+E1184+IF(G1184&gt;30,2,0)-IF(B1184&gt;24,1,0)</x:f>
        <x:v>-1</x:v>
      </x:c>
      <x:c r="L1184" s="1" t="str">
        <x:f>IF(K1184&gt;=3,"yes","no")</x:f>
        <x:v>no</x:v>
      </x:c>
      <x:c r="M1184" s="1"/>
      <x:c r="N1184" s="1"/>
      <x:c r="O1184" s="1"/>
    </x:row>
    <x:row r="1185">
      <x:c r="A1185" s="1" t="str">
        <x:v>S1184</x:v>
      </x:c>
      <x:c r="B1185" s="1" t="n">
        <x:v>30</x:v>
      </x:c>
      <x:c r="C1185" s="1" t="str">
        <x:v>basic</x:v>
      </x:c>
      <x:c r="D1185" s="8" t="n">
        <x:v>9.99</x:v>
      </x:c>
      <x:c r="E1185" s="1" t="n">
        <x:v>1</x:v>
      </x:c>
      <x:c r="F1185" s="1" t="n">
        <x:v>20</x:v>
      </x:c>
      <x:c r="G1185" s="1" t="n">
        <x:v>4</x:v>
      </x:c>
      <x:c r="H1185" s="1" t="n">
        <x:v>0</x:v>
      </x:c>
      <x:c r="I1185" s="1" t="n">
        <x:v>0</x:v>
      </x:c>
      <x:c r="J1185" s="1" t="str">
        <x:v>no</x:v>
      </x:c>
      <x:c r="K1185" s="1" t="n">
        <x:f>2*H1185+E1185+IF(G1185&gt;30,2,0)-IF(B1185&gt;24,1,0)</x:f>
        <x:v>0</x:v>
      </x:c>
      <x:c r="L1185" s="1" t="str">
        <x:f>IF(K1185&gt;=3,"yes","no")</x:f>
        <x:v>no</x:v>
      </x:c>
      <x:c r="M1185" s="1"/>
      <x:c r="N1185" s="1"/>
      <x:c r="O1185" s="1"/>
    </x:row>
    <x:row r="1186">
      <x:c r="A1186" s="1" t="str">
        <x:v>S1185</x:v>
      </x:c>
      <x:c r="B1186" s="1" t="n">
        <x:v>23</x:v>
      </x:c>
      <x:c r="C1186" s="1" t="str">
        <x:v>basic</x:v>
      </x:c>
      <x:c r="D1186" s="8" t="n">
        <x:v>9.99</x:v>
      </x:c>
      <x:c r="E1186" s="1" t="n">
        <x:v>0</x:v>
      </x:c>
      <x:c r="F1186" s="1" t="n">
        <x:v>6</x:v>
      </x:c>
      <x:c r="G1186" s="1" t="n">
        <x:v>4</x:v>
      </x:c>
      <x:c r="H1186" s="1" t="n">
        <x:v>0</x:v>
      </x:c>
      <x:c r="I1186" s="1" t="n">
        <x:v>1</x:v>
      </x:c>
      <x:c r="J1186" s="1" t="str">
        <x:v>no</x:v>
      </x:c>
      <x:c r="K1186" s="1" t="n">
        <x:f>2*H1186+E1186+IF(G1186&gt;30,2,0)-IF(B1186&gt;24,1,0)</x:f>
        <x:v>0</x:v>
      </x:c>
      <x:c r="L1186" s="1" t="str">
        <x:f>IF(K1186&gt;=3,"yes","no")</x:f>
        <x:v>no</x:v>
      </x:c>
      <x:c r="M1186" s="1"/>
      <x:c r="N1186" s="1"/>
      <x:c r="O1186" s="1"/>
    </x:row>
    <x:row r="1187">
      <x:c r="A1187" s="1" t="str">
        <x:v>S1186</x:v>
      </x:c>
      <x:c r="B1187" s="1" t="n">
        <x:v>2</x:v>
      </x:c>
      <x:c r="C1187" s="1" t="str">
        <x:v>premium</x:v>
      </x:c>
      <x:c r="D1187" s="8" t="n">
        <x:v>15.99</x:v>
      </x:c>
      <x:c r="E1187" s="1" t="n">
        <x:v>1</x:v>
      </x:c>
      <x:c r="F1187" s="1" t="n">
        <x:v>22</x:v>
      </x:c>
      <x:c r="G1187" s="1" t="n">
        <x:v>2</x:v>
      </x:c>
      <x:c r="H1187" s="1" t="n">
        <x:v>0</x:v>
      </x:c>
      <x:c r="I1187" s="1" t="n">
        <x:v>0</x:v>
      </x:c>
      <x:c r="J1187" s="1" t="str">
        <x:v>no</x:v>
      </x:c>
      <x:c r="K1187" s="1" t="n">
        <x:f>2*H1187+E1187+IF(G1187&gt;30,2,0)-IF(B1187&gt;24,1,0)</x:f>
        <x:v>1</x:v>
      </x:c>
      <x:c r="L1187" s="1" t="str">
        <x:f>IF(K1187&gt;=3,"yes","no")</x:f>
        <x:v>no</x:v>
      </x:c>
      <x:c r="M1187" s="1"/>
      <x:c r="N1187" s="1"/>
      <x:c r="O1187" s="1"/>
    </x:row>
    <x:row r="1188">
      <x:c r="A1188" s="1" t="str">
        <x:v>S1187</x:v>
      </x:c>
      <x:c r="B1188" s="1" t="n">
        <x:v>48</x:v>
      </x:c>
      <x:c r="C1188" s="1" t="str">
        <x:v>premium</x:v>
      </x:c>
      <x:c r="D1188" s="8" t="n">
        <x:v>15.99</x:v>
      </x:c>
      <x:c r="E1188" s="1" t="n">
        <x:v>3</x:v>
      </x:c>
      <x:c r="F1188" s="1" t="n">
        <x:v>11</x:v>
      </x:c>
      <x:c r="G1188" s="1" t="n">
        <x:v>21</x:v>
      </x:c>
      <x:c r="H1188" s="1" t="n">
        <x:v>0</x:v>
      </x:c>
      <x:c r="I1188" s="1" t="n">
        <x:v>0</x:v>
      </x:c>
      <x:c r="J1188" s="1" t="str">
        <x:v>no</x:v>
      </x:c>
      <x:c r="K1188" s="1" t="n">
        <x:f>2*H1188+E1188+IF(G1188&gt;30,2,0)-IF(B1188&gt;24,1,0)</x:f>
        <x:v>2</x:v>
      </x:c>
      <x:c r="L1188" s="1" t="str">
        <x:f>IF(K1188&gt;=3,"yes","no")</x:f>
        <x:v>no</x:v>
      </x:c>
      <x:c r="M1188" s="1"/>
      <x:c r="N1188" s="1"/>
      <x:c r="O1188" s="1"/>
    </x:row>
    <x:row r="1189">
      <x:c r="A1189" s="1" t="str">
        <x:v>S1188</x:v>
      </x:c>
      <x:c r="B1189" s="1" t="n">
        <x:v>34</x:v>
      </x:c>
      <x:c r="C1189" s="1" t="str">
        <x:v>basic</x:v>
      </x:c>
      <x:c r="D1189" s="8" t="n">
        <x:v>9.99</x:v>
      </x:c>
      <x:c r="E1189" s="1" t="n">
        <x:v>2</x:v>
      </x:c>
      <x:c r="F1189" s="1" t="n">
        <x:v>0</x:v>
      </x:c>
      <x:c r="G1189" s="1" t="n">
        <x:v>43</x:v>
      </x:c>
      <x:c r="H1189" s="1" t="n">
        <x:v>0</x:v>
      </x:c>
      <x:c r="I1189" s="1" t="n">
        <x:v>1</x:v>
      </x:c>
      <x:c r="J1189" s="1" t="str">
        <x:v>yes</x:v>
      </x:c>
      <x:c r="K1189" s="1" t="n">
        <x:f>2*H1189+E1189+IF(G1189&gt;30,2,0)-IF(B1189&gt;24,1,0)</x:f>
        <x:v>3</x:v>
      </x:c>
      <x:c r="L1189" s="1" t="str">
        <x:f>IF(K1189&gt;=3,"yes","no")</x:f>
        <x:v>yes</x:v>
      </x:c>
      <x:c r="M1189" s="1"/>
      <x:c r="N1189" s="1"/>
      <x:c r="O1189" s="1"/>
    </x:row>
    <x:row r="1190">
      <x:c r="A1190" s="1" t="str">
        <x:v>S1189</x:v>
      </x:c>
      <x:c r="B1190" s="1" t="n">
        <x:v>44</x:v>
      </x:c>
      <x:c r="C1190" s="1" t="str">
        <x:v>basic</x:v>
      </x:c>
      <x:c r="D1190" s="8" t="n">
        <x:v>9.99</x:v>
      </x:c>
      <x:c r="E1190" s="1" t="n">
        <x:v>0</x:v>
      </x:c>
      <x:c r="F1190" s="1" t="n">
        <x:v>13</x:v>
      </x:c>
      <x:c r="G1190" s="1" t="n">
        <x:v>22</x:v>
      </x:c>
      <x:c r="H1190" s="1" t="n">
        <x:v>0</x:v>
      </x:c>
      <x:c r="I1190" s="1" t="n">
        <x:v>0</x:v>
      </x:c>
      <x:c r="J1190" s="1" t="str">
        <x:v>no</x:v>
      </x:c>
      <x:c r="K1190" s="1" t="n">
        <x:f>2*H1190+E1190+IF(G1190&gt;30,2,0)-IF(B1190&gt;24,1,0)</x:f>
        <x:v>-1</x:v>
      </x:c>
      <x:c r="L1190" s="1" t="str">
        <x:f>IF(K1190&gt;=3,"yes","no")</x:f>
        <x:v>no</x:v>
      </x:c>
      <x:c r="M1190" s="1"/>
      <x:c r="N1190" s="1"/>
      <x:c r="O1190" s="1"/>
    </x:row>
    <x:row r="1191">
      <x:c r="A1191" s="1" t="str">
        <x:v>S1190</x:v>
      </x:c>
      <x:c r="B1191" s="1" t="n">
        <x:v>20</x:v>
      </x:c>
      <x:c r="C1191" s="1" t="str">
        <x:v>premium</x:v>
      </x:c>
      <x:c r="D1191" s="8" t="n">
        <x:v>15.99</x:v>
      </x:c>
      <x:c r="E1191" s="1" t="n">
        <x:v>0</x:v>
      </x:c>
      <x:c r="F1191" s="1" t="n">
        <x:v>26</x:v>
      </x:c>
      <x:c r="G1191" s="1" t="n">
        <x:v>6</x:v>
      </x:c>
      <x:c r="H1191" s="1" t="n">
        <x:v>0</x:v>
      </x:c>
      <x:c r="I1191" s="1" t="n">
        <x:v>0</x:v>
      </x:c>
      <x:c r="J1191" s="1" t="str">
        <x:v>no</x:v>
      </x:c>
      <x:c r="K1191" s="1" t="n">
        <x:f>2*H1191+E1191+IF(G1191&gt;30,2,0)-IF(B1191&gt;24,1,0)</x:f>
        <x:v>0</x:v>
      </x:c>
      <x:c r="L1191" s="1" t="str">
        <x:f>IF(K1191&gt;=3,"yes","no")</x:f>
        <x:v>no</x:v>
      </x:c>
      <x:c r="M1191" s="1"/>
      <x:c r="N1191" s="1"/>
      <x:c r="O1191" s="1"/>
    </x:row>
    <x:row r="1192">
      <x:c r="A1192" s="1" t="str">
        <x:v>S1191</x:v>
      </x:c>
      <x:c r="B1192" s="1" t="n">
        <x:v>28</x:v>
      </x:c>
      <x:c r="C1192" s="1" t="str">
        <x:v>basic</x:v>
      </x:c>
      <x:c r="D1192" s="8" t="n">
        <x:v>9.99</x:v>
      </x:c>
      <x:c r="E1192" s="1" t="n">
        <x:v>3</x:v>
      </x:c>
      <x:c r="F1192" s="1" t="n">
        <x:v>33</x:v>
      </x:c>
      <x:c r="G1192" s="1" t="n">
        <x:v>3</x:v>
      </x:c>
      <x:c r="H1192" s="1" t="n">
        <x:v>0</x:v>
      </x:c>
      <x:c r="I1192" s="1" t="n">
        <x:v>0</x:v>
      </x:c>
      <x:c r="J1192" s="1" t="str">
        <x:v>no</x:v>
      </x:c>
      <x:c r="K1192" s="1" t="n">
        <x:f>2*H1192+E1192+IF(G1192&gt;30,2,0)-IF(B1192&gt;24,1,0)</x:f>
        <x:v>2</x:v>
      </x:c>
      <x:c r="L1192" s="1" t="str">
        <x:f>IF(K1192&gt;=3,"yes","no")</x:f>
        <x:v>no</x:v>
      </x:c>
      <x:c r="M1192" s="1"/>
      <x:c r="N1192" s="1"/>
      <x:c r="O1192" s="1"/>
    </x:row>
    <x:row r="1193">
      <x:c r="A1193" s="1" t="str">
        <x:v>S1192</x:v>
      </x:c>
      <x:c r="B1193" s="1" t="n">
        <x:v>44</x:v>
      </x:c>
      <x:c r="C1193" s="1" t="str">
        <x:v>basic</x:v>
      </x:c>
      <x:c r="D1193" s="8" t="n">
        <x:v>9.99</x:v>
      </x:c>
      <x:c r="E1193" s="1" t="n">
        <x:v>0</x:v>
      </x:c>
      <x:c r="F1193" s="1" t="n">
        <x:v>19</x:v>
      </x:c>
      <x:c r="G1193" s="1" t="n">
        <x:v>10</x:v>
      </x:c>
      <x:c r="H1193" s="1" t="n">
        <x:v>0</x:v>
      </x:c>
      <x:c r="I1193" s="1" t="n">
        <x:v>0</x:v>
      </x:c>
      <x:c r="J1193" s="1" t="str">
        <x:v>no</x:v>
      </x:c>
      <x:c r="K1193" s="1" t="n">
        <x:f>2*H1193+E1193+IF(G1193&gt;30,2,0)-IF(B1193&gt;24,1,0)</x:f>
        <x:v>-1</x:v>
      </x:c>
      <x:c r="L1193" s="1" t="str">
        <x:f>IF(K1193&gt;=3,"yes","no")</x:f>
        <x:v>no</x:v>
      </x:c>
      <x:c r="M1193" s="1"/>
      <x:c r="N1193" s="1"/>
      <x:c r="O1193" s="1"/>
    </x:row>
    <x:row r="1194">
      <x:c r="A1194" s="1" t="str">
        <x:v>S1193</x:v>
      </x:c>
      <x:c r="B1194" s="1" t="n">
        <x:v>18</x:v>
      </x:c>
      <x:c r="C1194" s="1" t="str">
        <x:v>premium</x:v>
      </x:c>
      <x:c r="D1194" s="8" t="n">
        <x:v>15.99</x:v>
      </x:c>
      <x:c r="E1194" s="1" t="n">
        <x:v>2</x:v>
      </x:c>
      <x:c r="F1194" s="1" t="n">
        <x:v>25</x:v>
      </x:c>
      <x:c r="G1194" s="1" t="n">
        <x:v>2</x:v>
      </x:c>
      <x:c r="H1194" s="1" t="n">
        <x:v>0</x:v>
      </x:c>
      <x:c r="I1194" s="1" t="n">
        <x:v>0</x:v>
      </x:c>
      <x:c r="J1194" s="1" t="str">
        <x:v>no</x:v>
      </x:c>
      <x:c r="K1194" s="1" t="n">
        <x:f>2*H1194+E1194+IF(G1194&gt;30,2,0)-IF(B1194&gt;24,1,0)</x:f>
        <x:v>2</x:v>
      </x:c>
      <x:c r="L1194" s="1" t="str">
        <x:f>IF(K1194&gt;=3,"yes","no")</x:f>
        <x:v>no</x:v>
      </x:c>
      <x:c r="M1194" s="1"/>
      <x:c r="N1194" s="1"/>
      <x:c r="O1194" s="1"/>
    </x:row>
    <x:row r="1195">
      <x:c r="A1195" s="1" t="str">
        <x:v>S1194</x:v>
      </x:c>
      <x:c r="B1195" s="1" t="n">
        <x:v>8</x:v>
      </x:c>
      <x:c r="C1195" s="1" t="str">
        <x:v>premium</x:v>
      </x:c>
      <x:c r="D1195" s="8" t="n">
        <x:v>15.99</x:v>
      </x:c>
      <x:c r="E1195" s="1" t="n">
        <x:v>3</x:v>
      </x:c>
      <x:c r="F1195" s="1" t="n">
        <x:v>0</x:v>
      </x:c>
      <x:c r="G1195" s="1" t="n">
        <x:v>38</x:v>
      </x:c>
      <x:c r="H1195" s="1" t="n">
        <x:v>0</x:v>
      </x:c>
      <x:c r="I1195" s="1" t="n">
        <x:v>1</x:v>
      </x:c>
      <x:c r="J1195" s="1" t="str">
        <x:v>yes</x:v>
      </x:c>
      <x:c r="K1195" s="1" t="n">
        <x:f>2*H1195+E1195+IF(G1195&gt;30,2,0)-IF(B1195&gt;24,1,0)</x:f>
        <x:v>5</x:v>
      </x:c>
      <x:c r="L1195" s="1" t="str">
        <x:f>IF(K1195&gt;=3,"yes","no")</x:f>
        <x:v>yes</x:v>
      </x:c>
      <x:c r="M1195" s="1"/>
      <x:c r="N1195" s="1"/>
      <x:c r="O1195" s="1"/>
    </x:row>
    <x:row r="1196">
      <x:c r="A1196" s="1" t="str">
        <x:v>S1195</x:v>
      </x:c>
      <x:c r="B1196" s="1" t="n">
        <x:v>30</x:v>
      </x:c>
      <x:c r="C1196" s="1" t="str">
        <x:v>basic</x:v>
      </x:c>
      <x:c r="D1196" s="8" t="n">
        <x:v>9.99</x:v>
      </x:c>
      <x:c r="E1196" s="1" t="n">
        <x:v>0</x:v>
      </x:c>
      <x:c r="F1196" s="1" t="n">
        <x:v>21</x:v>
      </x:c>
      <x:c r="G1196" s="1" t="n">
        <x:v>9</x:v>
      </x:c>
      <x:c r="H1196" s="1" t="n">
        <x:v>1</x:v>
      </x:c>
      <x:c r="I1196" s="1" t="n">
        <x:v>0</x:v>
      </x:c>
      <x:c r="J1196" s="1" t="str">
        <x:v>no</x:v>
      </x:c>
      <x:c r="K1196" s="1" t="n">
        <x:f>2*H1196+E1196+IF(G1196&gt;30,2,0)-IF(B1196&gt;24,1,0)</x:f>
        <x:v>1</x:v>
      </x:c>
      <x:c r="L1196" s="1" t="str">
        <x:f>IF(K1196&gt;=3,"yes","no")</x:f>
        <x:v>no</x:v>
      </x:c>
      <x:c r="M1196" s="1"/>
      <x:c r="N1196" s="1"/>
      <x:c r="O1196" s="1"/>
    </x:row>
    <x:row r="1197">
      <x:c r="A1197" s="1" t="str">
        <x:v>S1196</x:v>
      </x:c>
      <x:c r="B1197" s="1" t="n">
        <x:v>20</x:v>
      </x:c>
      <x:c r="C1197" s="1" t="str">
        <x:v>premium</x:v>
      </x:c>
      <x:c r="D1197" s="8" t="n">
        <x:v>15.99</x:v>
      </x:c>
      <x:c r="E1197" s="1" t="n">
        <x:v>0</x:v>
      </x:c>
      <x:c r="F1197" s="1" t="n">
        <x:v>11</x:v>
      </x:c>
      <x:c r="G1197" s="1" t="n">
        <x:v>16</x:v>
      </x:c>
      <x:c r="H1197" s="1" t="n">
        <x:v>2</x:v>
      </x:c>
      <x:c r="I1197" s="1" t="n">
        <x:v>1</x:v>
      </x:c>
      <x:c r="J1197" s="1" t="str">
        <x:v>no</x:v>
      </x:c>
      <x:c r="K1197" s="1" t="n">
        <x:f>2*H1197+E1197+IF(G1197&gt;30,2,0)-IF(B1197&gt;24,1,0)</x:f>
        <x:v>4</x:v>
      </x:c>
      <x:c r="L1197" s="1" t="str">
        <x:f>IF(K1197&gt;=3,"yes","no")</x:f>
        <x:v>yes</x:v>
      </x:c>
      <x:c r="M1197" s="1"/>
      <x:c r="N1197" s="1"/>
      <x:c r="O1197" s="1"/>
    </x:row>
    <x:row r="1198">
      <x:c r="A1198" s="1" t="str">
        <x:v>S1197</x:v>
      </x:c>
      <x:c r="B1198" s="1" t="n">
        <x:v>11</x:v>
      </x:c>
      <x:c r="C1198" s="1" t="str">
        <x:v>basic</x:v>
      </x:c>
      <x:c r="D1198" s="8" t="n">
        <x:v>9.99</x:v>
      </x:c>
      <x:c r="E1198" s="1" t="n">
        <x:v>2</x:v>
      </x:c>
      <x:c r="F1198" s="1" t="n">
        <x:v>16</x:v>
      </x:c>
      <x:c r="G1198" s="1" t="n">
        <x:v>4</x:v>
      </x:c>
      <x:c r="H1198" s="1" t="n">
        <x:v>0</x:v>
      </x:c>
      <x:c r="I1198" s="1" t="n">
        <x:v>0</x:v>
      </x:c>
      <x:c r="J1198" s="1" t="str">
        <x:v>no</x:v>
      </x:c>
      <x:c r="K1198" s="1" t="n">
        <x:f>2*H1198+E1198+IF(G1198&gt;30,2,0)-IF(B1198&gt;24,1,0)</x:f>
        <x:v>2</x:v>
      </x:c>
      <x:c r="L1198" s="1" t="str">
        <x:f>IF(K1198&gt;=3,"yes","no")</x:f>
        <x:v>no</x:v>
      </x:c>
      <x:c r="M1198" s="1"/>
      <x:c r="N1198" s="1"/>
      <x:c r="O1198" s="1"/>
    </x:row>
    <x:row r="1199">
      <x:c r="A1199" s="1" t="str">
        <x:v>S1198</x:v>
      </x:c>
      <x:c r="B1199" s="1" t="n">
        <x:v>37</x:v>
      </x:c>
      <x:c r="C1199" s="1" t="str">
        <x:v>premium</x:v>
      </x:c>
      <x:c r="D1199" s="8" t="n">
        <x:v>15.99</x:v>
      </x:c>
      <x:c r="E1199" s="1" t="n">
        <x:v>0</x:v>
      </x:c>
      <x:c r="F1199" s="1" t="n">
        <x:v>26</x:v>
      </x:c>
      <x:c r="G1199" s="1" t="n">
        <x:v>2</x:v>
      </x:c>
      <x:c r="H1199" s="1" t="n">
        <x:v>2</x:v>
      </x:c>
      <x:c r="I1199" s="1" t="n">
        <x:v>1</x:v>
      </x:c>
      <x:c r="J1199" s="1" t="str">
        <x:v>no</x:v>
      </x:c>
      <x:c r="K1199" s="1" t="n">
        <x:f>2*H1199+E1199+IF(G1199&gt;30,2,0)-IF(B1199&gt;24,1,0)</x:f>
        <x:v>3</x:v>
      </x:c>
      <x:c r="L1199" s="1" t="str">
        <x:f>IF(K1199&gt;=3,"yes","no")</x:f>
        <x:v>yes</x:v>
      </x:c>
      <x:c r="M1199" s="1"/>
      <x:c r="N1199" s="1"/>
      <x:c r="O1199" s="1"/>
    </x:row>
    <x:row r="1200">
      <x:c r="A1200" s="1" t="str">
        <x:v>S1199</x:v>
      </x:c>
      <x:c r="B1200" s="1" t="n">
        <x:v>48</x:v>
      </x:c>
      <x:c r="C1200" s="1" t="str">
        <x:v>basic</x:v>
      </x:c>
      <x:c r="D1200" s="8" t="n">
        <x:v>9.99</x:v>
      </x:c>
      <x:c r="E1200" s="1" t="n">
        <x:v>2</x:v>
      </x:c>
      <x:c r="F1200" s="1" t="n">
        <x:v>13</x:v>
      </x:c>
      <x:c r="G1200" s="1" t="n">
        <x:v>28</x:v>
      </x:c>
      <x:c r="H1200" s="1" t="n">
        <x:v>0</x:v>
      </x:c>
      <x:c r="I1200" s="1" t="n">
        <x:v>1</x:v>
      </x:c>
      <x:c r="J1200" s="1" t="str">
        <x:v>no</x:v>
      </x:c>
      <x:c r="K1200" s="1" t="n">
        <x:f>2*H1200+E1200+IF(G1200&gt;30,2,0)-IF(B1200&gt;24,1,0)</x:f>
        <x:v>1</x:v>
      </x:c>
      <x:c r="L1200" s="1" t="str">
        <x:f>IF(K1200&gt;=3,"yes","no")</x:f>
        <x:v>no</x:v>
      </x:c>
      <x:c r="M1200" s="1"/>
      <x:c r="N1200" s="1"/>
      <x:c r="O1200" s="1"/>
    </x:row>
    <x:row r="1201">
      <x:c r="A1201" s="1" t="str">
        <x:v>S1200</x:v>
      </x:c>
      <x:c r="B1201" s="1" t="n">
        <x:v>21</x:v>
      </x:c>
      <x:c r="C1201" s="1" t="str">
        <x:v>premium</x:v>
      </x:c>
      <x:c r="D1201" s="8" t="n">
        <x:v>15.99</x:v>
      </x:c>
      <x:c r="E1201" s="1" t="n">
        <x:v>0</x:v>
      </x:c>
      <x:c r="F1201" s="1" t="n">
        <x:v>15</x:v>
      </x:c>
      <x:c r="G1201" s="1" t="n">
        <x:v>3</x:v>
      </x:c>
      <x:c r="H1201" s="1" t="n">
        <x:v>0</x:v>
      </x:c>
      <x:c r="I1201" s="1" t="n">
        <x:v>0</x:v>
      </x:c>
      <x:c r="J1201" s="1" t="str">
        <x:v>no</x:v>
      </x:c>
      <x:c r="K1201" s="1" t="n">
        <x:f>2*H1201+E1201+IF(G1201&gt;30,2,0)-IF(B1201&gt;24,1,0)</x:f>
        <x:v>0</x:v>
      </x:c>
      <x:c r="L1201" s="1" t="str">
        <x:f>IF(K1201&gt;=3,"yes","no")</x:f>
        <x:v>no</x:v>
      </x:c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  <x:tableParts count="1">
    <x:tablePart xmlns:r="http://schemas.openxmlformats.org/officeDocument/2006/relationships" r:id="Raa5dc2b8b445481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9" hidden="0" customWidth="1"/>
    <x:col min="3" max="3" width="30" hidden="0" customWidth="1"/>
    <x:col min="4" max="4" width="8.130000114440918" hidden="0" customWidth="1"/>
    <x:col min="5" max="5" width="10.380000114440918" hidden="0" customWidth="1"/>
    <x:col min="6" max="6" width="13" hidden="0" customWidth="1"/>
    <x:col min="7" max="7" width="10" hidden="0" customWidth="1"/>
    <x:col min="8" max="8" width="15.130000114440918" hidden="0" customWidth="1"/>
    <x:col min="9" max="9" width="14.130000114440918" hidden="0" customWidth="1"/>
    <x:col min="10" max="10" width="11.630000114440918" hidden="0" customWidth="1"/>
    <x:col min="12" max="12" width="60" hidden="0" customWidth="1"/>
  </x:cols>
  <x:sheetData>
    <x:row r="1">
      <x:c r="A1" s="4" t="str">
        <x:v>customer_id</x:v>
      </x:c>
      <x:c r="B1" s="4" t="str">
        <x:v>first_name</x:v>
      </x:c>
      <x:c r="C1" s="4" t="str">
        <x:v>email</x:v>
      </x:c>
      <x:c r="D1" s="4" t="str">
        <x:v>country</x:v>
      </x:c>
      <x:c r="E1" s="4" t="str">
        <x:v>signup_date</x:v>
      </x:c>
      <x:c r="F1" s="4" t="str">
        <x:v>last_order_date</x:v>
      </x:c>
      <x:c r="G1" s="4" t="str">
        <x:v>orders_12m</x:v>
      </x:c>
      <x:c r="H1" s="4" t="str">
        <x:v>revenue_12m_usd</x:v>
      </x:c>
      <x:c r="I1" s="4" t="str">
        <x:v>email_clicks_90d</x:v>
      </x:c>
      <x:c r="J1" s="4" t="str">
        <x:v>main_channel</x:v>
      </x:c>
      <x:c r="K1" s="1"/>
      <x:c r="L1" s="9" t="str">
        <x:v>Import map: first_name → First name; email → Email; create Number properties orders_12m and revenue_12m_usd; map last_order_date as Date.</x:v>
      </x:c>
      <x:c r="M1" s="1"/>
      <x:c r="N1" s="1"/>
      <x:c r="O1" s="1"/>
    </x:row>
    <x:row r="2">
      <x:c r="A2" s="1" t="str">
        <x:v>C0001</x:v>
      </x:c>
      <x:c r="B2" s="1" t="str">
        <x:v>Samuel</x:v>
      </x:c>
      <x:c r="C2" s="1" t="str">
        <x:v>customer0001@example.com</x:v>
      </x:c>
      <x:c r="D2" s="1" t="str">
        <x:v>Japan</x:v>
      </x:c>
      <x:c r="E2" s="5" t="d">
        <x:v>2026-06-20T00:00:00.000Z</x:v>
      </x:c>
      <x:c r="F2" s="5" t="d">
        <x:v>2026-09-02T00:00:00.000Z</x:v>
      </x:c>
      <x:c r="G2" s="1" t="n">
        <x:v>6</x:v>
      </x:c>
      <x:c r="H2" s="6" t="n">
        <x:v>655.65</x:v>
      </x:c>
      <x:c r="I2" s="1" t="n">
        <x:v>1</x:v>
      </x:c>
      <x:c r="J2" s="1" t="str">
        <x:v>web</x:v>
      </x:c>
      <x:c r="K2" s="1"/>
      <x:c r="L2" s="1"/>
      <x:c r="M2" s="1"/>
      <x:c r="N2" s="1"/>
      <x:c r="O2" s="1"/>
    </x:row>
    <x:row r="3">
      <x:c r="A3" s="1" t="str">
        <x:v>C0002</x:v>
      </x:c>
      <x:c r="B3" s="1" t="str">
        <x:v>Hana</x:v>
      </x:c>
      <x:c r="C3" s="1" t="str">
        <x:v>customer0002@example.com</x:v>
      </x:c>
      <x:c r="D3" s="1" t="str">
        <x:v>Singapore</x:v>
      </x:c>
      <x:c r="E3" s="5" t="d">
        <x:v>2026-08-05T00:00:00.000Z</x:v>
      </x:c>
      <x:c r="F3" s="5" t="d">
        <x:v>2026-09-01T00:00:00.000Z</x:v>
      </x:c>
      <x:c r="G3" s="1" t="n">
        <x:v>1</x:v>
      </x:c>
      <x:c r="H3" s="6" t="n">
        <x:v>26</x:v>
      </x:c>
      <x:c r="I3" s="1" t="n">
        <x:v>3</x:v>
      </x:c>
      <x:c r="J3" s="1" t="str">
        <x:v>app</x:v>
      </x:c>
      <x:c r="K3" s="1"/>
      <x:c r="L3" s="1"/>
      <x:c r="M3" s="1"/>
      <x:c r="N3" s="1"/>
      <x:c r="O3" s="1"/>
    </x:row>
    <x:row r="4">
      <x:c r="A4" s="1" t="str">
        <x:v>C0003</x:v>
      </x:c>
      <x:c r="B4" s="1" t="str">
        <x:v>Felix</x:v>
      </x:c>
      <x:c r="C4" s="1" t="str">
        <x:v>customer0003@example.com</x:v>
      </x:c>
      <x:c r="D4" s="1" t="str">
        <x:v>Nigeria</x:v>
      </x:c>
      <x:c r="E4" s="5" t="d">
        <x:v>2025-10-28T00:00:00.000Z</x:v>
      </x:c>
      <x:c r="F4" s="5" t="d">
        <x:v>2026-06-13T00:00:00.000Z</x:v>
      </x:c>
      <x:c r="G4" s="1" t="n">
        <x:v>12</x:v>
      </x:c>
      <x:c r="H4" s="6" t="n">
        <x:v>392.37</x:v>
      </x:c>
      <x:c r="I4" s="1" t="n">
        <x:v>0</x:v>
      </x:c>
      <x:c r="J4" s="1" t="str">
        <x:v>store</x:v>
      </x:c>
      <x:c r="K4" s="1"/>
      <x:c r="L4" s="1"/>
      <x:c r="M4" s="1"/>
      <x:c r="N4" s="1"/>
      <x:c r="O4" s="1"/>
    </x:row>
    <x:row r="5">
      <x:c r="A5" s="1" t="str">
        <x:v>C0004</x:v>
      </x:c>
      <x:c r="B5" s="1" t="str">
        <x:v>Ines</x:v>
      </x:c>
      <x:c r="C5" s="1" t="str">
        <x:v>customer0004@example.com</x:v>
      </x:c>
      <x:c r="D5" s="1" t="str">
        <x:v>UAE</x:v>
      </x:c>
      <x:c r="E5" s="5" t="d">
        <x:v>2026-09-21T00:00:00.000Z</x:v>
      </x:c>
      <x:c r="F5" s="5" t="d">
        <x:v>2026-09-29T00:00:00.000Z</x:v>
      </x:c>
      <x:c r="G5" s="1" t="n">
        <x:v>1</x:v>
      </x:c>
      <x:c r="H5" s="6" t="n">
        <x:v>27.45</x:v>
      </x:c>
      <x:c r="I5" s="1" t="n">
        <x:v>2</x:v>
      </x:c>
      <x:c r="J5" s="1" t="str">
        <x:v>store</x:v>
      </x:c>
      <x:c r="K5" s="1"/>
      <x:c r="L5" s="1"/>
      <x:c r="M5" s="1"/>
      <x:c r="N5" s="1"/>
      <x:c r="O5" s="1"/>
    </x:row>
    <x:row r="6">
      <x:c r="A6" s="1" t="str">
        <x:v>C0005</x:v>
      </x:c>
      <x:c r="B6" s="1" t="str">
        <x:v>Sofia</x:v>
      </x:c>
      <x:c r="C6" s="1" t="str">
        <x:v>customer0005@example.com</x:v>
      </x:c>
      <x:c r="D6" s="1" t="str">
        <x:v>Nigeria</x:v>
      </x:c>
      <x:c r="E6" s="5" t="d">
        <x:v>2026-03-20T00:00:00.000Z</x:v>
      </x:c>
      <x:c r="F6" s="5" t="d">
        <x:v>2026-09-21T00:00:00.000Z</x:v>
      </x:c>
      <x:c r="G6" s="1" t="n">
        <x:v>16</x:v>
      </x:c>
      <x:c r="H6" s="6" t="n">
        <x:v>1905.8</x:v>
      </x:c>
      <x:c r="I6" s="1" t="n">
        <x:v>9</x:v>
      </x:c>
      <x:c r="J6" s="1" t="str">
        <x:v>store</x:v>
      </x:c>
      <x:c r="K6" s="1"/>
      <x:c r="L6" s="1"/>
      <x:c r="M6" s="1"/>
      <x:c r="N6" s="1"/>
      <x:c r="O6" s="1"/>
    </x:row>
    <x:row r="7">
      <x:c r="A7" s="1" t="str">
        <x:v>C0006</x:v>
      </x:c>
      <x:c r="B7" s="1" t="str">
        <x:v>Maya</x:v>
      </x:c>
      <x:c r="C7" s="1" t="str">
        <x:v>customer0006@example.com</x:v>
      </x:c>
      <x:c r="D7" s="1" t="str">
        <x:v>Nigeria</x:v>
      </x:c>
      <x:c r="E7" s="5" t="d">
        <x:v>2025-02-09T00:00:00.000Z</x:v>
      </x:c>
      <x:c r="F7" s="5" t="d">
        <x:v>2026-09-09T00:00:00.000Z</x:v>
      </x:c>
      <x:c r="G7" s="1" t="n">
        <x:v>7</x:v>
      </x:c>
      <x:c r="H7" s="6" t="n">
        <x:v>698.48</x:v>
      </x:c>
      <x:c r="I7" s="1" t="n">
        <x:v>3</x:v>
      </x:c>
      <x:c r="J7" s="1" t="str">
        <x:v>web</x:v>
      </x:c>
      <x:c r="K7" s="1"/>
      <x:c r="L7" s="1"/>
      <x:c r="M7" s="1"/>
      <x:c r="N7" s="1"/>
      <x:c r="O7" s="1"/>
    </x:row>
    <x:row r="8">
      <x:c r="A8" s="1" t="str">
        <x:v>C0007</x:v>
      </x:c>
      <x:c r="B8" s="1" t="str">
        <x:v>Chloe</x:v>
      </x:c>
      <x:c r="C8" s="1" t="str">
        <x:v>customer0007@example.com</x:v>
      </x:c>
      <x:c r="D8" s="1" t="str">
        <x:v>Germany</x:v>
      </x:c>
      <x:c r="E8" s="5" t="d">
        <x:v>2026-08-19T00:00:00.000Z</x:v>
      </x:c>
      <x:c r="F8" s="5" t="d">
        <x:v>2026-09-17T00:00:00.000Z</x:v>
      </x:c>
      <x:c r="G8" s="1" t="n">
        <x:v>2</x:v>
      </x:c>
      <x:c r="H8" s="6" t="n">
        <x:v>94.5</x:v>
      </x:c>
      <x:c r="I8" s="1" t="n">
        <x:v>3</x:v>
      </x:c>
      <x:c r="J8" s="1" t="str">
        <x:v>app</x:v>
      </x:c>
      <x:c r="K8" s="1"/>
      <x:c r="L8" s="1"/>
      <x:c r="M8" s="1"/>
      <x:c r="N8" s="1"/>
      <x:c r="O8" s="1"/>
    </x:row>
    <x:row r="9">
      <x:c r="A9" s="1" t="str">
        <x:v>C0008</x:v>
      </x:c>
      <x:c r="B9" s="1" t="str">
        <x:v>Priya</x:v>
      </x:c>
      <x:c r="C9" s="1" t="str">
        <x:v>customer0008@example.com</x:v>
      </x:c>
      <x:c r="D9" s="1" t="str">
        <x:v>Brazil</x:v>
      </x:c>
      <x:c r="E9" s="5" t="d">
        <x:v>2026-08-21T00:00:00.000Z</x:v>
      </x:c>
      <x:c r="F9" s="5" t="d">
        <x:v>2026-09-23T00:00:00.000Z</x:v>
      </x:c>
      <x:c r="G9" s="1" t="n">
        <x:v>1</x:v>
      </x:c>
      <x:c r="H9" s="6" t="n">
        <x:v>111.91</x:v>
      </x:c>
      <x:c r="I9" s="1" t="n">
        <x:v>11</x:v>
      </x:c>
      <x:c r="J9" s="1" t="str">
        <x:v>web</x:v>
      </x:c>
      <x:c r="K9" s="1"/>
      <x:c r="L9" s="1"/>
      <x:c r="M9" s="1"/>
      <x:c r="N9" s="1"/>
      <x:c r="O9" s="1"/>
    </x:row>
    <x:row r="10">
      <x:c r="A10" s="1" t="str">
        <x:v>C0009</x:v>
      </x:c>
      <x:c r="B10" s="1" t="str">
        <x:v>Kai</x:v>
      </x:c>
      <x:c r="C10" s="1" t="str">
        <x:v>customer0009@example.com</x:v>
      </x:c>
      <x:c r="D10" s="1" t="str">
        <x:v>Brazil</x:v>
      </x:c>
      <x:c r="E10" s="5" t="d">
        <x:v>2026-03-28T00:00:00.000Z</x:v>
      </x:c>
      <x:c r="F10" s="5" t="d">
        <x:v>2026-09-12T00:00:00.000Z</x:v>
      </x:c>
      <x:c r="G10" s="1" t="n">
        <x:v>3</x:v>
      </x:c>
      <x:c r="H10" s="6" t="n">
        <x:v>558.35</x:v>
      </x:c>
      <x:c r="I10" s="1" t="n">
        <x:v>2</x:v>
      </x:c>
      <x:c r="J10" s="1" t="str">
        <x:v>web</x:v>
      </x:c>
      <x:c r="K10" s="1"/>
      <x:c r="L10" s="1"/>
      <x:c r="M10" s="1"/>
      <x:c r="N10" s="1"/>
      <x:c r="O10" s="1"/>
    </x:row>
    <x:row r="11">
      <x:c r="A11" s="1" t="str">
        <x:v>C0010</x:v>
      </x:c>
      <x:c r="B11" s="1" t="str">
        <x:v>Ravi</x:v>
      </x:c>
      <x:c r="C11" s="1" t="str">
        <x:v>customer0010@example.com</x:v>
      </x:c>
      <x:c r="D11" s="1" t="str">
        <x:v>Brazil</x:v>
      </x:c>
      <x:c r="E11" s="5" t="d">
        <x:v>2025-07-23T00:00:00.000Z</x:v>
      </x:c>
      <x:c r="F11" s="5" t="d">
        <x:v>2026-06-09T00:00:00.000Z</x:v>
      </x:c>
      <x:c r="G11" s="1" t="n">
        <x:v>11</x:v>
      </x:c>
      <x:c r="H11" s="6" t="n">
        <x:v>908.98</x:v>
      </x:c>
      <x:c r="I11" s="1" t="n">
        <x:v>9</x:v>
      </x:c>
      <x:c r="J11" s="1" t="str">
        <x:v>web</x:v>
      </x:c>
      <x:c r="K11" s="1"/>
      <x:c r="L11" s="1"/>
      <x:c r="M11" s="1"/>
      <x:c r="N11" s="1"/>
      <x:c r="O11" s="1"/>
    </x:row>
    <x:row r="12">
      <x:c r="A12" s="1" t="str">
        <x:v>C0011</x:v>
      </x:c>
      <x:c r="B12" s="1" t="str">
        <x:v>Priya</x:v>
      </x:c>
      <x:c r="C12" s="1" t="str">
        <x:v>customer0011@example.com</x:v>
      </x:c>
      <x:c r="D12" s="1" t="str">
        <x:v>Singapore</x:v>
      </x:c>
      <x:c r="E12" s="5" t="d">
        <x:v>2026-08-30T00:00:00.000Z</x:v>
      </x:c>
      <x:c r="F12" s="5" t="d">
        <x:v>2026-09-16T00:00:00.000Z</x:v>
      </x:c>
      <x:c r="G12" s="1" t="n">
        <x:v>1</x:v>
      </x:c>
      <x:c r="H12" s="6" t="n">
        <x:v>154.39</x:v>
      </x:c>
      <x:c r="I12" s="1" t="n">
        <x:v>0</x:v>
      </x:c>
      <x:c r="J12" s="1" t="str">
        <x:v>store</x:v>
      </x:c>
      <x:c r="K12" s="1"/>
      <x:c r="L12" s="1"/>
      <x:c r="M12" s="1"/>
      <x:c r="N12" s="1"/>
      <x:c r="O12" s="1"/>
    </x:row>
    <x:row r="13">
      <x:c r="A13" s="1" t="str">
        <x:v>C0012</x:v>
      </x:c>
      <x:c r="B13" s="1" t="str">
        <x:v>Jonas</x:v>
      </x:c>
      <x:c r="C13" s="1" t="str">
        <x:v>customer0012@example.com</x:v>
      </x:c>
      <x:c r="D13" s="1" t="str">
        <x:v>Brazil</x:v>
      </x:c>
      <x:c r="E13" s="5" t="d">
        <x:v>2026-08-17T00:00:00.000Z</x:v>
      </x:c>
      <x:c r="F13" s="5" t="d">
        <x:v>2026-09-10T00:00:00.000Z</x:v>
      </x:c>
      <x:c r="G13" s="1" t="n">
        <x:v>2</x:v>
      </x:c>
      <x:c r="H13" s="6" t="n">
        <x:v>65.54</x:v>
      </x:c>
      <x:c r="I13" s="1" t="n">
        <x:v>0</x:v>
      </x:c>
      <x:c r="J13" s="1" t="str">
        <x:v>web</x:v>
      </x:c>
      <x:c r="K13" s="1"/>
      <x:c r="L13" s="1"/>
      <x:c r="M13" s="1"/>
      <x:c r="N13" s="1"/>
      <x:c r="O13" s="1"/>
    </x:row>
    <x:row r="14">
      <x:c r="A14" s="1" t="str">
        <x:v>C0013</x:v>
      </x:c>
      <x:c r="B14" s="1" t="str">
        <x:v>Kenji</x:v>
      </x:c>
      <x:c r="C14" s="1" t="str">
        <x:v>customer0013@example.com</x:v>
      </x:c>
      <x:c r="D14" s="1" t="str">
        <x:v>USA</x:v>
      </x:c>
      <x:c r="E14" s="5" t="d">
        <x:v>2025-11-17T00:00:00.000Z</x:v>
      </x:c>
      <x:c r="F14" s="5" t="d">
        <x:v>2026-09-07T00:00:00.000Z</x:v>
      </x:c>
      <x:c r="G14" s="1" t="n">
        <x:v>6</x:v>
      </x:c>
      <x:c r="H14" s="6" t="n">
        <x:v>241.27</x:v>
      </x:c>
      <x:c r="I14" s="1" t="n">
        <x:v>6</x:v>
      </x:c>
      <x:c r="J14" s="1" t="str">
        <x:v>web</x:v>
      </x:c>
      <x:c r="K14" s="1"/>
      <x:c r="L14" s="1"/>
      <x:c r="M14" s="1"/>
      <x:c r="N14" s="1"/>
      <x:c r="O14" s="1"/>
    </x:row>
    <x:row r="15">
      <x:c r="A15" s="1" t="str">
        <x:v>C0014</x:v>
      </x:c>
      <x:c r="B15" s="1" t="str">
        <x:v>Lina</x:v>
      </x:c>
      <x:c r="C15" s="1" t="str">
        <x:v>customer0014@example.com</x:v>
      </x:c>
      <x:c r="D15" s="1" t="str">
        <x:v>Germany</x:v>
      </x:c>
      <x:c r="E15" s="5" t="d">
        <x:v>2024-08-27T00:00:00.000Z</x:v>
      </x:c>
      <x:c r="F15" s="5" t="d">
        <x:v>2025-10-12T00:00:00.000Z</x:v>
      </x:c>
      <x:c r="G15" s="1" t="n">
        <x:v>1</x:v>
      </x:c>
      <x:c r="H15" s="6" t="n">
        <x:v>44.11</x:v>
      </x:c>
      <x:c r="I15" s="1" t="n">
        <x:v>2</x:v>
      </x:c>
      <x:c r="J15" s="1" t="str">
        <x:v>web</x:v>
      </x:c>
      <x:c r="K15" s="1"/>
      <x:c r="L15" s="1"/>
      <x:c r="M15" s="1"/>
      <x:c r="N15" s="1"/>
      <x:c r="O15" s="1"/>
    </x:row>
    <x:row r="16">
      <x:c r="A16" s="1" t="str">
        <x:v>C0015</x:v>
      </x:c>
      <x:c r="B16" s="1" t="str">
        <x:v>Jonas</x:v>
      </x:c>
      <x:c r="C16" s="1" t="str">
        <x:v>customer0015@example.com</x:v>
      </x:c>
      <x:c r="D16" s="1" t="str">
        <x:v>UAE</x:v>
      </x:c>
      <x:c r="E16" s="5" t="d">
        <x:v>2024-03-04T00:00:00.000Z</x:v>
      </x:c>
      <x:c r="F16" s="5" t="d">
        <x:v>2026-02-01T00:00:00.000Z</x:v>
      </x:c>
      <x:c r="G16" s="1" t="n">
        <x:v>2</x:v>
      </x:c>
      <x:c r="H16" s="6" t="n">
        <x:v>187.63</x:v>
      </x:c>
      <x:c r="I16" s="1" t="n">
        <x:v>3</x:v>
      </x:c>
      <x:c r="J16" s="1" t="str">
        <x:v>app</x:v>
      </x:c>
      <x:c r="K16" s="1"/>
      <x:c r="L16" s="1"/>
      <x:c r="M16" s="1"/>
      <x:c r="N16" s="1"/>
      <x:c r="O16" s="1"/>
    </x:row>
    <x:row r="17">
      <x:c r="A17" s="1" t="str">
        <x:v>C0016</x:v>
      </x:c>
      <x:c r="B17" s="1" t="str">
        <x:v>Priya</x:v>
      </x:c>
      <x:c r="C17" s="1" t="str">
        <x:v>customer0016@example.com</x:v>
      </x:c>
      <x:c r="D17" s="1" t="str">
        <x:v>Nigeria</x:v>
      </x:c>
      <x:c r="E17" s="5" t="d">
        <x:v>2026-09-14T00:00:00.000Z</x:v>
      </x:c>
      <x:c r="F17" s="5" t="d">
        <x:v>2026-09-26T00:00:00.000Z</x:v>
      </x:c>
      <x:c r="G17" s="1" t="n">
        <x:v>11</x:v>
      </x:c>
      <x:c r="H17" s="6" t="n">
        <x:v>1653.63</x:v>
      </x:c>
      <x:c r="I17" s="1" t="n">
        <x:v>2</x:v>
      </x:c>
      <x:c r="J17" s="1" t="str">
        <x:v>web</x:v>
      </x:c>
      <x:c r="K17" s="1"/>
      <x:c r="L17" s="1"/>
      <x:c r="M17" s="1"/>
      <x:c r="N17" s="1"/>
      <x:c r="O17" s="1"/>
    </x:row>
    <x:row r="18">
      <x:c r="A18" s="1" t="str">
        <x:v>C0017</x:v>
      </x:c>
      <x:c r="B18" s="1" t="str">
        <x:v>Diego</x:v>
      </x:c>
      <x:c r="C18" s="1" t="str">
        <x:v>customer0017@example.com</x:v>
      </x:c>
      <x:c r="D18" s="1" t="str">
        <x:v>Brazil</x:v>
      </x:c>
      <x:c r="E18" s="5" t="d">
        <x:v>2024-12-18T00:00:00.000Z</x:v>
      </x:c>
      <x:c r="F18" s="5" t="d">
        <x:v>2026-09-03T00:00:00.000Z</x:v>
      </x:c>
      <x:c r="G18" s="1" t="n">
        <x:v>6</x:v>
      </x:c>
      <x:c r="H18" s="6" t="n">
        <x:v>574.21</x:v>
      </x:c>
      <x:c r="I18" s="1" t="n">
        <x:v>2</x:v>
      </x:c>
      <x:c r="J18" s="1" t="str">
        <x:v>store</x:v>
      </x:c>
      <x:c r="K18" s="1"/>
      <x:c r="L18" s="1"/>
      <x:c r="M18" s="1"/>
      <x:c r="N18" s="1"/>
      <x:c r="O18" s="1"/>
    </x:row>
    <x:row r="19">
      <x:c r="A19" s="1" t="str">
        <x:v>C0018</x:v>
      </x:c>
      <x:c r="B19" s="1" t="str">
        <x:v>Yara</x:v>
      </x:c>
      <x:c r="C19" s="1" t="str">
        <x:v>customer0018@example.com</x:v>
      </x:c>
      <x:c r="D19" s="1" t="str">
        <x:v>Japan</x:v>
      </x:c>
      <x:c r="E19" s="5" t="d">
        <x:v>2024-06-30T00:00:00.000Z</x:v>
      </x:c>
      <x:c r="F19" s="5" t="d">
        <x:v>2026-05-27T00:00:00.000Z</x:v>
      </x:c>
      <x:c r="G19" s="1" t="n">
        <x:v>2</x:v>
      </x:c>
      <x:c r="H19" s="6" t="n">
        <x:v>172.42</x:v>
      </x:c>
      <x:c r="I19" s="1" t="n">
        <x:v>6</x:v>
      </x:c>
      <x:c r="J19" s="1" t="str">
        <x:v>web</x:v>
      </x:c>
      <x:c r="K19" s="1"/>
      <x:c r="L19" s="1"/>
      <x:c r="M19" s="1"/>
      <x:c r="N19" s="1"/>
      <x:c r="O19" s="1"/>
    </x:row>
    <x:row r="20">
      <x:c r="A20" s="1" t="str">
        <x:v>C0019</x:v>
      </x:c>
      <x:c r="B20" s="1" t="str">
        <x:v>Lucas</x:v>
      </x:c>
      <x:c r="C20" s="1" t="str">
        <x:v>customer0019@example.com</x:v>
      </x:c>
      <x:c r="D20" s="1" t="str">
        <x:v>Singapore</x:v>
      </x:c>
      <x:c r="E20" s="5" t="d">
        <x:v>2026-03-31T00:00:00.000Z</x:v>
      </x:c>
      <x:c r="F20" s="5" t="d">
        <x:v>2026-06-02T00:00:00.000Z</x:v>
      </x:c>
      <x:c r="G20" s="1" t="n">
        <x:v>10</x:v>
      </x:c>
      <x:c r="H20" s="6" t="n">
        <x:v>979.43</x:v>
      </x:c>
      <x:c r="I20" s="1" t="n">
        <x:v>3</x:v>
      </x:c>
      <x:c r="J20" s="1" t="str">
        <x:v>web</x:v>
      </x:c>
      <x:c r="K20" s="1"/>
      <x:c r="L20" s="1"/>
      <x:c r="M20" s="1"/>
      <x:c r="N20" s="1"/>
      <x:c r="O20" s="1"/>
    </x:row>
    <x:row r="21">
      <x:c r="A21" s="1" t="str">
        <x:v>C0020</x:v>
      </x:c>
      <x:c r="B21" s="1" t="str">
        <x:v>Diego</x:v>
      </x:c>
      <x:c r="C21" s="1" t="str">
        <x:v>customer0020@example.com</x:v>
      </x:c>
      <x:c r="D21" s="1" t="str">
        <x:v>UK</x:v>
      </x:c>
      <x:c r="E21" s="5" t="d">
        <x:v>2026-08-09T00:00:00.000Z</x:v>
      </x:c>
      <x:c r="F21" s="5" t="d">
        <x:v>2026-08-09T00:00:00.000Z</x:v>
      </x:c>
      <x:c r="G21" s="1" t="n">
        <x:v>7</x:v>
      </x:c>
      <x:c r="H21" s="6" t="n">
        <x:v>236.8</x:v>
      </x:c>
      <x:c r="I21" s="1" t="n">
        <x:v>8</x:v>
      </x:c>
      <x:c r="J21" s="1" t="str">
        <x:v>app</x:v>
      </x:c>
      <x:c r="K21" s="1"/>
      <x:c r="L21" s="1"/>
      <x:c r="M21" s="1"/>
      <x:c r="N21" s="1"/>
      <x:c r="O21" s="1"/>
    </x:row>
    <x:row r="22">
      <x:c r="A22" s="1" t="str">
        <x:v>C0021</x:v>
      </x:c>
      <x:c r="B22" s="1" t="str">
        <x:v>Mateo</x:v>
      </x:c>
      <x:c r="C22" s="1" t="str">
        <x:v>customer0021@example.com</x:v>
      </x:c>
      <x:c r="D22" s="1" t="str">
        <x:v>UK</x:v>
      </x:c>
      <x:c r="E22" s="5" t="d">
        <x:v>2024-09-20T00:00:00.000Z</x:v>
      </x:c>
      <x:c r="F22" s="5" t="d">
        <x:v>2026-06-10T00:00:00.000Z</x:v>
      </x:c>
      <x:c r="G22" s="1" t="n">
        <x:v>1</x:v>
      </x:c>
      <x:c r="H22" s="6" t="n">
        <x:v>168.01</x:v>
      </x:c>
      <x:c r="I22" s="1" t="n">
        <x:v>10</x:v>
      </x:c>
      <x:c r="J22" s="1" t="str">
        <x:v>web</x:v>
      </x:c>
      <x:c r="K22" s="1"/>
      <x:c r="L22" s="1"/>
      <x:c r="M22" s="1"/>
      <x:c r="N22" s="1"/>
      <x:c r="O22" s="1"/>
    </x:row>
    <x:row r="23">
      <x:c r="A23" s="1" t="str">
        <x:v>C0022</x:v>
      </x:c>
      <x:c r="B23" s="1" t="str">
        <x:v>Noah</x:v>
      </x:c>
      <x:c r="C23" s="1" t="str">
        <x:v>customer0022@example.com</x:v>
      </x:c>
      <x:c r="D23" s="1" t="str">
        <x:v>Australia</x:v>
      </x:c>
      <x:c r="E23" s="5" t="d">
        <x:v>2024-08-07T00:00:00.000Z</x:v>
      </x:c>
      <x:c r="F23" s="5" t="d">
        <x:v>2025-12-19T00:00:00.000Z</x:v>
      </x:c>
      <x:c r="G23" s="1" t="n">
        <x:v>2</x:v>
      </x:c>
      <x:c r="H23" s="6" t="n">
        <x:v>36.5</x:v>
      </x:c>
      <x:c r="I23" s="1" t="n">
        <x:v>7</x:v>
      </x:c>
      <x:c r="J23" s="1" t="str">
        <x:v>web</x:v>
      </x:c>
      <x:c r="K23" s="1"/>
      <x:c r="L23" s="1"/>
      <x:c r="M23" s="1"/>
      <x:c r="N23" s="1"/>
      <x:c r="O23" s="1"/>
    </x:row>
    <x:row r="24">
      <x:c r="A24" s="1" t="str">
        <x:v>C0023</x:v>
      </x:c>
      <x:c r="B24" s="1" t="str">
        <x:v>Priya</x:v>
      </x:c>
      <x:c r="C24" s="1" t="str">
        <x:v>customer0023@example.com</x:v>
      </x:c>
      <x:c r="D24" s="1" t="str">
        <x:v>UK</x:v>
      </x:c>
      <x:c r="E24" s="5" t="d">
        <x:v>2025-12-30T00:00:00.000Z</x:v>
      </x:c>
      <x:c r="F24" s="5" t="d">
        <x:v>2026-09-27T00:00:00.000Z</x:v>
      </x:c>
      <x:c r="G24" s="1" t="n">
        <x:v>19</x:v>
      </x:c>
      <x:c r="H24" s="6" t="n">
        <x:v>1148.22</x:v>
      </x:c>
      <x:c r="I24" s="1" t="n">
        <x:v>8</x:v>
      </x:c>
      <x:c r="J24" s="1" t="str">
        <x:v>app</x:v>
      </x:c>
      <x:c r="K24" s="1"/>
      <x:c r="L24" s="1"/>
      <x:c r="M24" s="1"/>
      <x:c r="N24" s="1"/>
      <x:c r="O24" s="1"/>
    </x:row>
    <x:row r="25">
      <x:c r="A25" s="1" t="str">
        <x:v>C0024</x:v>
      </x:c>
      <x:c r="B25" s="1" t="str">
        <x:v>Leila</x:v>
      </x:c>
      <x:c r="C25" s="1" t="str">
        <x:v>customer0024@example.com</x:v>
      </x:c>
      <x:c r="D25" s="1" t="str">
        <x:v>India</x:v>
      </x:c>
      <x:c r="E25" s="5" t="d">
        <x:v>2025-01-06T00:00:00.000Z</x:v>
      </x:c>
      <x:c r="F25" s="5" t="d">
        <x:v>2026-07-16T00:00:00.000Z</x:v>
      </x:c>
      <x:c r="G25" s="1" t="n">
        <x:v>5</x:v>
      </x:c>
      <x:c r="H25" s="6" t="n">
        <x:v>302.62</x:v>
      </x:c>
      <x:c r="I25" s="1" t="n">
        <x:v>12</x:v>
      </x:c>
      <x:c r="J25" s="1" t="str">
        <x:v>store</x:v>
      </x:c>
      <x:c r="K25" s="1"/>
      <x:c r="L25" s="1"/>
      <x:c r="M25" s="1"/>
      <x:c r="N25" s="1"/>
      <x:c r="O25" s="1"/>
    </x:row>
    <x:row r="26">
      <x:c r="A26" s="1" t="str">
        <x:v>C0025</x:v>
      </x:c>
      <x:c r="B26" s="1" t="str">
        <x:v>Chloe</x:v>
      </x:c>
      <x:c r="C26" s="1" t="str">
        <x:v>customer0025@example.com</x:v>
      </x:c>
      <x:c r="D26" s="1" t="str">
        <x:v>UK</x:v>
      </x:c>
      <x:c r="E26" s="5" t="d">
        <x:v>2025-03-29T00:00:00.000Z</x:v>
      </x:c>
      <x:c r="F26" s="5" t="d">
        <x:v>2026-09-10T00:00:00.000Z</x:v>
      </x:c>
      <x:c r="G26" s="1" t="n">
        <x:v>8</x:v>
      </x:c>
      <x:c r="H26" s="6" t="n">
        <x:v>791.81</x:v>
      </x:c>
      <x:c r="I26" s="1" t="n">
        <x:v>5</x:v>
      </x:c>
      <x:c r="J26" s="1" t="str">
        <x:v>app</x:v>
      </x:c>
      <x:c r="K26" s="1"/>
      <x:c r="L26" s="1"/>
      <x:c r="M26" s="1"/>
      <x:c r="N26" s="1"/>
      <x:c r="O26" s="1"/>
    </x:row>
    <x:row r="27">
      <x:c r="A27" s="1" t="str">
        <x:v>C0026</x:v>
      </x:c>
      <x:c r="B27" s="1" t="str">
        <x:v>Yara</x:v>
      </x:c>
      <x:c r="C27" s="1" t="str">
        <x:v>customer0026@example.com</x:v>
      </x:c>
      <x:c r="D27" s="1" t="str">
        <x:v>USA</x:v>
      </x:c>
      <x:c r="E27" s="5" t="d">
        <x:v>2024-06-03T00:00:00.000Z</x:v>
      </x:c>
      <x:c r="F27" s="5" t="d">
        <x:v>2026-02-20T00:00:00.000Z</x:v>
      </x:c>
      <x:c r="G27" s="1" t="n">
        <x:v>8</x:v>
      </x:c>
      <x:c r="H27" s="6" t="n">
        <x:v>981.91</x:v>
      </x:c>
      <x:c r="I27" s="1" t="n">
        <x:v>12</x:v>
      </x:c>
      <x:c r="J27" s="1" t="str">
        <x:v>app</x:v>
      </x:c>
      <x:c r="K27" s="1"/>
      <x:c r="L27" s="1"/>
      <x:c r="M27" s="1"/>
      <x:c r="N27" s="1"/>
      <x:c r="O27" s="1"/>
    </x:row>
    <x:row r="28">
      <x:c r="A28" s="1" t="str">
        <x:v>C0027</x:v>
      </x:c>
      <x:c r="B28" s="1" t="str">
        <x:v>Elena</x:v>
      </x:c>
      <x:c r="C28" s="1" t="str">
        <x:v>customer0027@example.com</x:v>
      </x:c>
      <x:c r="D28" s="1" t="str">
        <x:v>India</x:v>
      </x:c>
      <x:c r="E28" s="5" t="d">
        <x:v>2025-02-28T00:00:00.000Z</x:v>
      </x:c>
      <x:c r="F28" s="5" t="d">
        <x:v>2026-02-27T00:00:00.000Z</x:v>
      </x:c>
      <x:c r="G28" s="1" t="n">
        <x:v>1</x:v>
      </x:c>
      <x:c r="H28" s="6" t="n">
        <x:v>105.59</x:v>
      </x:c>
      <x:c r="I28" s="1" t="n">
        <x:v>0</x:v>
      </x:c>
      <x:c r="J28" s="1" t="str">
        <x:v>web</x:v>
      </x:c>
      <x:c r="K28" s="1"/>
      <x:c r="L28" s="1"/>
      <x:c r="M28" s="1"/>
      <x:c r="N28" s="1"/>
      <x:c r="O28" s="1"/>
    </x:row>
    <x:row r="29">
      <x:c r="A29" s="1" t="str">
        <x:v>C0028</x:v>
      </x:c>
      <x:c r="B29" s="1" t="str">
        <x:v>Yara</x:v>
      </x:c>
      <x:c r="C29" s="1" t="str">
        <x:v>customer0028@example.com</x:v>
      </x:c>
      <x:c r="D29" s="1" t="str">
        <x:v>Brazil</x:v>
      </x:c>
      <x:c r="E29" s="5" t="d">
        <x:v>2025-02-07T00:00:00.000Z</x:v>
      </x:c>
      <x:c r="F29" s="5" t="d">
        <x:v>2026-05-10T00:00:00.000Z</x:v>
      </x:c>
      <x:c r="G29" s="1" t="n">
        <x:v>12</x:v>
      </x:c>
      <x:c r="H29" s="6" t="n">
        <x:v>1349.99</x:v>
      </x:c>
      <x:c r="I29" s="1" t="n">
        <x:v>5</x:v>
      </x:c>
      <x:c r="J29" s="1" t="str">
        <x:v>app</x:v>
      </x:c>
      <x:c r="K29" s="1"/>
      <x:c r="L29" s="1"/>
      <x:c r="M29" s="1"/>
      <x:c r="N29" s="1"/>
      <x:c r="O29" s="1"/>
    </x:row>
    <x:row r="30">
      <x:c r="A30" s="1" t="str">
        <x:v>C0029</x:v>
      </x:c>
      <x:c r="B30" s="1" t="str">
        <x:v>Priya</x:v>
      </x:c>
      <x:c r="C30" s="1" t="str">
        <x:v>customer0029@example.com</x:v>
      </x:c>
      <x:c r="D30" s="1" t="str">
        <x:v>Nigeria</x:v>
      </x:c>
      <x:c r="E30" s="5" t="d">
        <x:v>2026-01-26T00:00:00.000Z</x:v>
      </x:c>
      <x:c r="F30" s="5" t="d">
        <x:v>2026-08-23T00:00:00.000Z</x:v>
      </x:c>
      <x:c r="G30" s="1" t="n">
        <x:v>6</x:v>
      </x:c>
      <x:c r="H30" s="6" t="n">
        <x:v>337.69</x:v>
      </x:c>
      <x:c r="I30" s="1" t="n">
        <x:v>9</x:v>
      </x:c>
      <x:c r="J30" s="1" t="str">
        <x:v>app</x:v>
      </x:c>
      <x:c r="K30" s="1"/>
      <x:c r="L30" s="1"/>
      <x:c r="M30" s="1"/>
      <x:c r="N30" s="1"/>
      <x:c r="O30" s="1"/>
    </x:row>
    <x:row r="31">
      <x:c r="A31" s="1" t="str">
        <x:v>C0030</x:v>
      </x:c>
      <x:c r="B31" s="1" t="str">
        <x:v>Leila</x:v>
      </x:c>
      <x:c r="C31" s="1" t="str">
        <x:v>customer0030@example.com</x:v>
      </x:c>
      <x:c r="D31" s="1" t="str">
        <x:v>UAE</x:v>
      </x:c>
      <x:c r="E31" s="5" t="d">
        <x:v>2025-11-30T00:00:00.000Z</x:v>
      </x:c>
      <x:c r="F31" s="5" t="d">
        <x:v>2026-04-01T00:00:00.000Z</x:v>
      </x:c>
      <x:c r="G31" s="1" t="n">
        <x:v>4</x:v>
      </x:c>
      <x:c r="H31" s="6" t="n">
        <x:v>1209.85</x:v>
      </x:c>
      <x:c r="I31" s="1" t="n">
        <x:v>12</x:v>
      </x:c>
      <x:c r="J31" s="1" t="str">
        <x:v>store</x:v>
      </x:c>
      <x:c r="K31" s="1"/>
      <x:c r="L31" s="1"/>
      <x:c r="M31" s="1"/>
      <x:c r="N31" s="1"/>
      <x:c r="O31" s="1"/>
    </x:row>
    <x:row r="32">
      <x:c r="A32" s="1" t="str">
        <x:v>C0031</x:v>
      </x:c>
      <x:c r="B32" s="1" t="str">
        <x:v>Ravi</x:v>
      </x:c>
      <x:c r="C32" s="1" t="str">
        <x:v>customer0031@example.com</x:v>
      </x:c>
      <x:c r="D32" s="1" t="str">
        <x:v>Singapore</x:v>
      </x:c>
      <x:c r="E32" s="5" t="d">
        <x:v>2024-01-10T00:00:00.000Z</x:v>
      </x:c>
      <x:c r="F32" s="5" t="d">
        <x:v>2025-10-22T00:00:00.000Z</x:v>
      </x:c>
      <x:c r="G32" s="1" t="n">
        <x:v>1</x:v>
      </x:c>
      <x:c r="H32" s="6" t="n">
        <x:v>90.94</x:v>
      </x:c>
      <x:c r="I32" s="1" t="n">
        <x:v>12</x:v>
      </x:c>
      <x:c r="J32" s="1" t="str">
        <x:v>store</x:v>
      </x:c>
      <x:c r="K32" s="1"/>
      <x:c r="L32" s="1"/>
      <x:c r="M32" s="1"/>
      <x:c r="N32" s="1"/>
      <x:c r="O32" s="1"/>
    </x:row>
    <x:row r="33">
      <x:c r="A33" s="1" t="str">
        <x:v>C0032</x:v>
      </x:c>
      <x:c r="B33" s="1" t="str">
        <x:v>Kenji</x:v>
      </x:c>
      <x:c r="C33" s="1" t="str">
        <x:v>customer0032@example.com</x:v>
      </x:c>
      <x:c r="D33" s="1" t="str">
        <x:v>India</x:v>
      </x:c>
      <x:c r="E33" s="5" t="d">
        <x:v>2025-09-25T00:00:00.000Z</x:v>
      </x:c>
      <x:c r="F33" s="5" t="d">
        <x:v>2026-03-18T00:00:00.000Z</x:v>
      </x:c>
      <x:c r="G33" s="1" t="n">
        <x:v>4</x:v>
      </x:c>
      <x:c r="H33" s="6" t="n">
        <x:v>1083.52</x:v>
      </x:c>
      <x:c r="I33" s="1" t="n">
        <x:v>2</x:v>
      </x:c>
      <x:c r="J33" s="1" t="str">
        <x:v>store</x:v>
      </x:c>
      <x:c r="K33" s="1"/>
      <x:c r="L33" s="1"/>
      <x:c r="M33" s="1"/>
      <x:c r="N33" s="1"/>
      <x:c r="O33" s="1"/>
    </x:row>
    <x:row r="34">
      <x:c r="A34" s="1" t="str">
        <x:v>C0033</x:v>
      </x:c>
      <x:c r="B34" s="1" t="str">
        <x:v>Kenji</x:v>
      </x:c>
      <x:c r="C34" s="1" t="str">
        <x:v>customer0033@example.com</x:v>
      </x:c>
      <x:c r="D34" s="1" t="str">
        <x:v>Japan</x:v>
      </x:c>
      <x:c r="E34" s="5" t="d">
        <x:v>2025-04-17T00:00:00.000Z</x:v>
      </x:c>
      <x:c r="F34" s="5" t="d">
        <x:v>2026-04-10T00:00:00.000Z</x:v>
      </x:c>
      <x:c r="G34" s="1" t="n">
        <x:v>2</x:v>
      </x:c>
      <x:c r="H34" s="6" t="n">
        <x:v>130.02</x:v>
      </x:c>
      <x:c r="I34" s="1" t="n">
        <x:v>8</x:v>
      </x:c>
      <x:c r="J34" s="1" t="str">
        <x:v>app</x:v>
      </x:c>
      <x:c r="K34" s="1"/>
      <x:c r="L34" s="1"/>
      <x:c r="M34" s="1"/>
      <x:c r="N34" s="1"/>
      <x:c r="O34" s="1"/>
    </x:row>
    <x:row r="35">
      <x:c r="A35" s="1" t="str">
        <x:v>C0034</x:v>
      </x:c>
      <x:c r="B35" s="1" t="str">
        <x:v>Elena</x:v>
      </x:c>
      <x:c r="C35" s="1" t="str">
        <x:v>customer0034@example.com</x:v>
      </x:c>
      <x:c r="D35" s="1" t="str">
        <x:v>UK</x:v>
      </x:c>
      <x:c r="E35" s="5" t="d">
        <x:v>2025-03-15T00:00:00.000Z</x:v>
      </x:c>
      <x:c r="F35" s="5" t="d">
        <x:v>2026-09-05T00:00:00.000Z</x:v>
      </x:c>
      <x:c r="G35" s="1" t="n">
        <x:v>19</x:v>
      </x:c>
      <x:c r="H35" s="6" t="n">
        <x:v>1639.48</x:v>
      </x:c>
      <x:c r="I35" s="1" t="n">
        <x:v>6</x:v>
      </x:c>
      <x:c r="J35" s="1" t="str">
        <x:v>app</x:v>
      </x:c>
      <x:c r="K35" s="1"/>
      <x:c r="L35" s="1"/>
      <x:c r="M35" s="1"/>
      <x:c r="N35" s="1"/>
      <x:c r="O35" s="1"/>
    </x:row>
    <x:row r="36">
      <x:c r="A36" s="1" t="str">
        <x:v>C0035</x:v>
      </x:c>
      <x:c r="B36" s="1" t="str">
        <x:v>Ethan</x:v>
      </x:c>
      <x:c r="C36" s="1" t="str">
        <x:v>customer0035@example.com</x:v>
      </x:c>
      <x:c r="D36" s="1" t="str">
        <x:v>USA</x:v>
      </x:c>
      <x:c r="E36" s="5" t="d">
        <x:v>2025-05-12T00:00:00.000Z</x:v>
      </x:c>
      <x:c r="F36" s="5" t="d">
        <x:v>2026-03-07T00:00:00.000Z</x:v>
      </x:c>
      <x:c r="G36" s="1" t="n">
        <x:v>1</x:v>
      </x:c>
      <x:c r="H36" s="6" t="n">
        <x:v>59.07</x:v>
      </x:c>
      <x:c r="I36" s="1" t="n">
        <x:v>12</x:v>
      </x:c>
      <x:c r="J36" s="1" t="str">
        <x:v>store</x:v>
      </x:c>
      <x:c r="K36" s="1"/>
      <x:c r="L36" s="1"/>
      <x:c r="M36" s="1"/>
      <x:c r="N36" s="1"/>
      <x:c r="O36" s="1"/>
    </x:row>
    <x:row r="37">
      <x:c r="A37" s="1" t="str">
        <x:v>C0036</x:v>
      </x:c>
      <x:c r="B37" s="1" t="str">
        <x:v>Leila</x:v>
      </x:c>
      <x:c r="C37" s="1" t="str">
        <x:v>customer0036@example.com</x:v>
      </x:c>
      <x:c r="D37" s="1" t="str">
        <x:v>Brazil</x:v>
      </x:c>
      <x:c r="E37" s="5" t="d">
        <x:v>2026-05-13T00:00:00.000Z</x:v>
      </x:c>
      <x:c r="F37" s="5" t="d">
        <x:v>2026-07-14T00:00:00.000Z</x:v>
      </x:c>
      <x:c r="G37" s="1" t="n">
        <x:v>6</x:v>
      </x:c>
      <x:c r="H37" s="6" t="n">
        <x:v>783.94</x:v>
      </x:c>
      <x:c r="I37" s="1" t="n">
        <x:v>7</x:v>
      </x:c>
      <x:c r="J37" s="1" t="str">
        <x:v>store</x:v>
      </x:c>
      <x:c r="K37" s="1"/>
      <x:c r="L37" s="1"/>
      <x:c r="M37" s="1"/>
      <x:c r="N37" s="1"/>
      <x:c r="O37" s="1"/>
    </x:row>
    <x:row r="38">
      <x:c r="A38" s="1" t="str">
        <x:v>C0037</x:v>
      </x:c>
      <x:c r="B38" s="1" t="str">
        <x:v>Kenji</x:v>
      </x:c>
      <x:c r="C38" s="1" t="str">
        <x:v>customer0037@example.com</x:v>
      </x:c>
      <x:c r="D38" s="1" t="str">
        <x:v>Japan</x:v>
      </x:c>
      <x:c r="E38" s="5" t="d">
        <x:v>2026-08-01T00:00:00.000Z</x:v>
      </x:c>
      <x:c r="F38" s="5" t="d">
        <x:v>2026-09-02T00:00:00.000Z</x:v>
      </x:c>
      <x:c r="G38" s="1" t="n">
        <x:v>2</x:v>
      </x:c>
      <x:c r="H38" s="6" t="n">
        <x:v>152.34</x:v>
      </x:c>
      <x:c r="I38" s="1" t="n">
        <x:v>2</x:v>
      </x:c>
      <x:c r="J38" s="1" t="str">
        <x:v>store</x:v>
      </x:c>
      <x:c r="K38" s="1"/>
      <x:c r="L38" s="1"/>
      <x:c r="M38" s="1"/>
      <x:c r="N38" s="1"/>
      <x:c r="O38" s="1"/>
    </x:row>
    <x:row r="39">
      <x:c r="A39" s="1" t="str">
        <x:v>C0038</x:v>
      </x:c>
      <x:c r="B39" s="1" t="str">
        <x:v>Amara</x:v>
      </x:c>
      <x:c r="C39" s="1" t="str">
        <x:v>customer0038@example.com</x:v>
      </x:c>
      <x:c r="D39" s="1" t="str">
        <x:v>UK</x:v>
      </x:c>
      <x:c r="E39" s="5" t="d">
        <x:v>2025-10-06T00:00:00.000Z</x:v>
      </x:c>
      <x:c r="F39" s="5" t="d">
        <x:v>2026-03-08T00:00:00.000Z</x:v>
      </x:c>
      <x:c r="G39" s="1" t="n">
        <x:v>5</x:v>
      </x:c>
      <x:c r="H39" s="6" t="n">
        <x:v>949.84</x:v>
      </x:c>
      <x:c r="I39" s="1" t="n">
        <x:v>7</x:v>
      </x:c>
      <x:c r="J39" s="1" t="str">
        <x:v>store</x:v>
      </x:c>
      <x:c r="K39" s="1"/>
      <x:c r="L39" s="1"/>
      <x:c r="M39" s="1"/>
      <x:c r="N39" s="1"/>
      <x:c r="O39" s="1"/>
    </x:row>
    <x:row r="40">
      <x:c r="A40" s="1" t="str">
        <x:v>C0039</x:v>
      </x:c>
      <x:c r="B40" s="1" t="str">
        <x:v>Ethan</x:v>
      </x:c>
      <x:c r="C40" s="1" t="str">
        <x:v>customer0039@example.com</x:v>
      </x:c>
      <x:c r="D40" s="1" t="str">
        <x:v>Japan</x:v>
      </x:c>
      <x:c r="E40" s="5" t="d">
        <x:v>2026-08-11T00:00:00.000Z</x:v>
      </x:c>
      <x:c r="F40" s="5" t="d">
        <x:v>2026-09-13T00:00:00.000Z</x:v>
      </x:c>
      <x:c r="G40" s="1" t="n">
        <x:v>1</x:v>
      </x:c>
      <x:c r="H40" s="6" t="n">
        <x:v>72.16</x:v>
      </x:c>
      <x:c r="I40" s="1" t="n">
        <x:v>7</x:v>
      </x:c>
      <x:c r="J40" s="1" t="str">
        <x:v>app</x:v>
      </x:c>
      <x:c r="K40" s="1"/>
      <x:c r="L40" s="1"/>
      <x:c r="M40" s="1"/>
      <x:c r="N40" s="1"/>
      <x:c r="O40" s="1"/>
    </x:row>
    <x:row r="41">
      <x:c r="A41" s="1" t="str">
        <x:v>C0040</x:v>
      </x:c>
      <x:c r="B41" s="1" t="str">
        <x:v>Kai</x:v>
      </x:c>
      <x:c r="C41" s="1" t="str">
        <x:v>customer0040@example.com</x:v>
      </x:c>
      <x:c r="D41" s="1" t="str">
        <x:v>Singapore</x:v>
      </x:c>
      <x:c r="E41" s="5" t="d">
        <x:v>2026-04-12T00:00:00.000Z</x:v>
      </x:c>
      <x:c r="F41" s="5" t="d">
        <x:v>2026-05-25T00:00:00.000Z</x:v>
      </x:c>
      <x:c r="G41" s="1" t="n">
        <x:v>1</x:v>
      </x:c>
      <x:c r="H41" s="6" t="n">
        <x:v>48.48</x:v>
      </x:c>
      <x:c r="I41" s="1" t="n">
        <x:v>8</x:v>
      </x:c>
      <x:c r="J41" s="1" t="str">
        <x:v>web</x:v>
      </x:c>
      <x:c r="K41" s="1"/>
      <x:c r="L41" s="1"/>
      <x:c r="M41" s="1"/>
      <x:c r="N41" s="1"/>
      <x:c r="O41" s="1"/>
    </x:row>
    <x:row r="42">
      <x:c r="A42" s="1" t="str">
        <x:v>C0041</x:v>
      </x:c>
      <x:c r="B42" s="1" t="str">
        <x:v>Aisha</x:v>
      </x:c>
      <x:c r="C42" s="1" t="str">
        <x:v>customer0041@example.com</x:v>
      </x:c>
      <x:c r="D42" s="1" t="str">
        <x:v>Japan</x:v>
      </x:c>
      <x:c r="E42" s="5" t="d">
        <x:v>2025-01-11T00:00:00.000Z</x:v>
      </x:c>
      <x:c r="F42" s="5" t="d">
        <x:v>2026-06-12T00:00:00.000Z</x:v>
      </x:c>
      <x:c r="G42" s="1" t="n">
        <x:v>10</x:v>
      </x:c>
      <x:c r="H42" s="6" t="n">
        <x:v>624.46</x:v>
      </x:c>
      <x:c r="I42" s="1" t="n">
        <x:v>3</x:v>
      </x:c>
      <x:c r="J42" s="1" t="str">
        <x:v>store</x:v>
      </x:c>
      <x:c r="K42" s="1"/>
      <x:c r="L42" s="1"/>
      <x:c r="M42" s="1"/>
      <x:c r="N42" s="1"/>
      <x:c r="O42" s="1"/>
    </x:row>
    <x:row r="43">
      <x:c r="A43" s="1" t="str">
        <x:v>C0042</x:v>
      </x:c>
      <x:c r="B43" s="1" t="str">
        <x:v>Zara</x:v>
      </x:c>
      <x:c r="C43" s="1" t="str">
        <x:v>customer0042@example.com</x:v>
      </x:c>
      <x:c r="D43" s="1" t="str">
        <x:v>Japan</x:v>
      </x:c>
      <x:c r="E43" s="5" t="d">
        <x:v>2025-02-14T00:00:00.000Z</x:v>
      </x:c>
      <x:c r="F43" s="5" t="d">
        <x:v>2026-07-18T00:00:00.000Z</x:v>
      </x:c>
      <x:c r="G43" s="1" t="n">
        <x:v>7</x:v>
      </x:c>
      <x:c r="H43" s="6" t="n">
        <x:v>765.15</x:v>
      </x:c>
      <x:c r="I43" s="1" t="n">
        <x:v>4</x:v>
      </x:c>
      <x:c r="J43" s="1" t="str">
        <x:v>store</x:v>
      </x:c>
      <x:c r="K43" s="1"/>
      <x:c r="L43" s="1"/>
      <x:c r="M43" s="1"/>
      <x:c r="N43" s="1"/>
      <x:c r="O43" s="1"/>
    </x:row>
    <x:row r="44">
      <x:c r="A44" s="1" t="str">
        <x:v>C0043</x:v>
      </x:c>
      <x:c r="B44" s="1" t="str">
        <x:v>Mateo</x:v>
      </x:c>
      <x:c r="C44" s="1" t="str">
        <x:v>customer0043@example.com</x:v>
      </x:c>
      <x:c r="D44" s="1" t="str">
        <x:v>Australia</x:v>
      </x:c>
      <x:c r="E44" s="5" t="d">
        <x:v>2025-11-08T00:00:00.000Z</x:v>
      </x:c>
      <x:c r="F44" s="5" t="d">
        <x:v>2026-03-12T00:00:00.000Z</x:v>
      </x:c>
      <x:c r="G44" s="1" t="n">
        <x:v>2</x:v>
      </x:c>
      <x:c r="H44" s="6" t="n">
        <x:v>39</x:v>
      </x:c>
      <x:c r="I44" s="1" t="n">
        <x:v>5</x:v>
      </x:c>
      <x:c r="J44" s="1" t="str">
        <x:v>app</x:v>
      </x:c>
      <x:c r="K44" s="1"/>
      <x:c r="L44" s="1"/>
      <x:c r="M44" s="1"/>
      <x:c r="N44" s="1"/>
      <x:c r="O44" s="1"/>
    </x:row>
    <x:row r="45">
      <x:c r="A45" s="1" t="str">
        <x:v>C0044</x:v>
      </x:c>
      <x:c r="B45" s="1" t="str">
        <x:v>Yara</x:v>
      </x:c>
      <x:c r="C45" s="1" t="str">
        <x:v>customer0044@example.com</x:v>
      </x:c>
      <x:c r="D45" s="1" t="str">
        <x:v>Singapore</x:v>
      </x:c>
      <x:c r="E45" s="5" t="d">
        <x:v>2026-08-29T00:00:00.000Z</x:v>
      </x:c>
      <x:c r="F45" s="5" t="d">
        <x:v>2026-09-17T00:00:00.000Z</x:v>
      </x:c>
      <x:c r="G45" s="1" t="n">
        <x:v>1</x:v>
      </x:c>
      <x:c r="H45" s="6" t="n">
        <x:v>54.03</x:v>
      </x:c>
      <x:c r="I45" s="1" t="n">
        <x:v>12</x:v>
      </x:c>
      <x:c r="J45" s="1" t="str">
        <x:v>app</x:v>
      </x:c>
      <x:c r="K45" s="1"/>
      <x:c r="L45" s="1"/>
      <x:c r="M45" s="1"/>
      <x:c r="N45" s="1"/>
      <x:c r="O45" s="1"/>
    </x:row>
    <x:row r="46">
      <x:c r="A46" s="1" t="str">
        <x:v>C0045</x:v>
      </x:c>
      <x:c r="B46" s="1" t="str">
        <x:v>Noah</x:v>
      </x:c>
      <x:c r="C46" s="1" t="str">
        <x:v>customer0045@example.com</x:v>
      </x:c>
      <x:c r="D46" s="1" t="str">
        <x:v>USA</x:v>
      </x:c>
      <x:c r="E46" s="5" t="d">
        <x:v>2025-07-31T00:00:00.000Z</x:v>
      </x:c>
      <x:c r="F46" s="5" t="d">
        <x:v>2025-12-18T00:00:00.000Z</x:v>
      </x:c>
      <x:c r="G46" s="1" t="n">
        <x:v>1</x:v>
      </x:c>
      <x:c r="H46" s="6" t="n">
        <x:v>59.29</x:v>
      </x:c>
      <x:c r="I46" s="1" t="n">
        <x:v>11</x:v>
      </x:c>
      <x:c r="J46" s="1" t="str">
        <x:v>app</x:v>
      </x:c>
      <x:c r="K46" s="1"/>
      <x:c r="L46" s="1"/>
      <x:c r="M46" s="1"/>
      <x:c r="N46" s="1"/>
      <x:c r="O46" s="1"/>
    </x:row>
    <x:row r="47">
      <x:c r="A47" s="1" t="str">
        <x:v>C0046</x:v>
      </x:c>
      <x:c r="B47" s="1" t="str">
        <x:v>Amara</x:v>
      </x:c>
      <x:c r="C47" s="1" t="str">
        <x:v>customer0046@example.com</x:v>
      </x:c>
      <x:c r="D47" s="1" t="str">
        <x:v>UAE</x:v>
      </x:c>
      <x:c r="E47" s="5" t="d">
        <x:v>2025-07-10T00:00:00.000Z</x:v>
      </x:c>
      <x:c r="F47" s="5" t="d">
        <x:v>2026-02-24T00:00:00.000Z</x:v>
      </x:c>
      <x:c r="G47" s="1" t="n">
        <x:v>5</x:v>
      </x:c>
      <x:c r="H47" s="6" t="n">
        <x:v>1388.35</x:v>
      </x:c>
      <x:c r="I47" s="1" t="n">
        <x:v>8</x:v>
      </x:c>
      <x:c r="J47" s="1" t="str">
        <x:v>web</x:v>
      </x:c>
      <x:c r="K47" s="1"/>
      <x:c r="L47" s="1"/>
      <x:c r="M47" s="1"/>
      <x:c r="N47" s="1"/>
      <x:c r="O47" s="1"/>
    </x:row>
    <x:row r="48">
      <x:c r="A48" s="1" t="str">
        <x:v>C0047</x:v>
      </x:c>
      <x:c r="B48" s="1" t="str">
        <x:v>Aarav</x:v>
      </x:c>
      <x:c r="C48" s="1" t="str">
        <x:v>customer0047@example.com</x:v>
      </x:c>
      <x:c r="D48" s="1" t="str">
        <x:v>Brazil</x:v>
      </x:c>
      <x:c r="E48" s="5" t="d">
        <x:v>2025-08-18T00:00:00.000Z</x:v>
      </x:c>
      <x:c r="F48" s="5" t="d">
        <x:v>2026-08-27T00:00:00.000Z</x:v>
      </x:c>
      <x:c r="G48" s="1" t="n">
        <x:v>5</x:v>
      </x:c>
      <x:c r="H48" s="6" t="n">
        <x:v>422.97</x:v>
      </x:c>
      <x:c r="I48" s="1" t="n">
        <x:v>8</x:v>
      </x:c>
      <x:c r="J48" s="1" t="str">
        <x:v>web</x:v>
      </x:c>
      <x:c r="K48" s="1"/>
      <x:c r="L48" s="1"/>
      <x:c r="M48" s="1"/>
      <x:c r="N48" s="1"/>
      <x:c r="O48" s="1"/>
    </x:row>
    <x:row r="49">
      <x:c r="A49" s="1" t="str">
        <x:v>C0048</x:v>
      </x:c>
      <x:c r="B49" s="1" t="str">
        <x:v>Ines</x:v>
      </x:c>
      <x:c r="C49" s="1" t="str">
        <x:v>customer0048@example.com</x:v>
      </x:c>
      <x:c r="D49" s="1" t="str">
        <x:v>Japan</x:v>
      </x:c>
      <x:c r="E49" s="5" t="d">
        <x:v>2024-09-24T00:00:00.000Z</x:v>
      </x:c>
      <x:c r="F49" s="5" t="d">
        <x:v>2026-06-24T00:00:00.000Z</x:v>
      </x:c>
      <x:c r="G49" s="1" t="n">
        <x:v>9</x:v>
      </x:c>
      <x:c r="H49" s="6" t="n">
        <x:v>631.22</x:v>
      </x:c>
      <x:c r="I49" s="1" t="n">
        <x:v>1</x:v>
      </x:c>
      <x:c r="J49" s="1" t="str">
        <x:v>app</x:v>
      </x:c>
      <x:c r="K49" s="1"/>
      <x:c r="L49" s="1"/>
      <x:c r="M49" s="1"/>
      <x:c r="N49" s="1"/>
      <x:c r="O49" s="1"/>
    </x:row>
    <x:row r="50">
      <x:c r="A50" s="1" t="str">
        <x:v>C0049</x:v>
      </x:c>
      <x:c r="B50" s="1" t="str">
        <x:v>Maya</x:v>
      </x:c>
      <x:c r="C50" s="1" t="str">
        <x:v>customer0049@example.com</x:v>
      </x:c>
      <x:c r="D50" s="1" t="str">
        <x:v>UK</x:v>
      </x:c>
      <x:c r="E50" s="5" t="d">
        <x:v>2025-05-24T00:00:00.000Z</x:v>
      </x:c>
      <x:c r="F50" s="5" t="d">
        <x:v>2026-02-26T00:00:00.000Z</x:v>
      </x:c>
      <x:c r="G50" s="1" t="n">
        <x:v>1</x:v>
      </x:c>
      <x:c r="H50" s="6" t="n">
        <x:v>29.71</x:v>
      </x:c>
      <x:c r="I50" s="1" t="n">
        <x:v>4</x:v>
      </x:c>
      <x:c r="J50" s="1" t="str">
        <x:v>app</x:v>
      </x:c>
      <x:c r="K50" s="1"/>
      <x:c r="L50" s="1"/>
      <x:c r="M50" s="1"/>
      <x:c r="N50" s="1"/>
      <x:c r="O50" s="1"/>
    </x:row>
    <x:row r="51">
      <x:c r="A51" s="1" t="str">
        <x:v>C0050</x:v>
      </x:c>
      <x:c r="B51" s="1" t="str">
        <x:v>Diego</x:v>
      </x:c>
      <x:c r="C51" s="1" t="str">
        <x:v>customer0050@example.com</x:v>
      </x:c>
      <x:c r="D51" s="1" t="str">
        <x:v>Australia</x:v>
      </x:c>
      <x:c r="E51" s="5" t="d">
        <x:v>2024-09-02T00:00:00.000Z</x:v>
      </x:c>
      <x:c r="F51" s="5" t="d">
        <x:v>2026-02-11T00:00:00.000Z</x:v>
      </x:c>
      <x:c r="G51" s="1" t="n">
        <x:v>2</x:v>
      </x:c>
      <x:c r="H51" s="6" t="n">
        <x:v>41.14</x:v>
      </x:c>
      <x:c r="I51" s="1" t="n">
        <x:v>11</x:v>
      </x:c>
      <x:c r="J51" s="1" t="str">
        <x:v>web</x:v>
      </x:c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  <x:tableParts count="1">
    <x:tablePart xmlns:r="http://schemas.openxmlformats.org/officeDocument/2006/relationships" r:id="R2f509fc36a5847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22" t="str">
        <x:v>MailerLite welcome automation plan</x:v>
      </x:c>
      <x:c r="B1" s="22" t="str"/>
      <x:c r="C1" s="10" t="str"/>
      <x:c r="D1" s="10" t="str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3"/>
      <x:c r="B2" s="23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24" t="str">
        <x:v>Item</x:v>
      </x:c>
      <x:c r="B3" s="24" t="str">
        <x:v>Copy-ready setup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25" t="str">
        <x:v>Group</x:v>
      </x:c>
      <x:c r="B4" s="25" t="str">
        <x:v>Doomsday waitlist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25" t="str">
        <x:v>Form</x:v>
      </x:c>
      <x:c r="B5" s="25" t="str">
        <x:v>Embedded form linked to Doomsday waitlist. Marketing-consent checkbox unticked by default. Include link to the L4 Privacy page.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25" t="str">
        <x:v>Trigger</x:v>
      </x:c>
      <x:c r="B6" s="25" t="str">
        <x:v>When subscriber joins group: Doomsday waitlist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25" t="str">
        <x:v>Step 1</x:v>
      </x:c>
      <x:c r="B7" s="25" t="str">
        <x:v>Welcome email. Say what subscribers will receive, how often, and how to unsubscribe. Use First name token.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25" t="str">
        <x:v>Step 2</x:v>
      </x:c>
      <x:c r="B8" s="25" t="str">
        <x:v>Wait 1 day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25" t="str">
        <x:v>Step 3</x:v>
      </x:c>
      <x:c r="B9" s="25" t="str">
        <x:v>Condition: clicked email 1?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25" t="str">
        <x:v>Yes branch</x:v>
      </x:c>
      <x:c r="B10" s="25" t="str">
        <x:v>Send “Your next step”, tailored to the subscriber’s stated interest.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25" t="str">
        <x:v>No branch</x:v>
      </x:c>
      <x:c r="B11" s="25" t="str">
        <x:v>Send “Here’s what you missed”.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25" t="str">
        <x:v>Before activation</x:v>
      </x:c>
      <x:c r="B12" s="25" t="str">
        <x:v>Preview form, confirm consent is not preselected, test with your own address, and activate only after verifying both branches.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</x:sheetData>
  <x:pageMargins left="0.7" right="0.7" top="0.75" bottom="0.75" header="0.3" footer="0.3"/>
</x:worksheet>
</file>